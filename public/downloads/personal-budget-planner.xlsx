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Planner" state="visible" r:id="rId5"/>
    <sheet sheetId="3" name="Summary" state="visible" r:id="rId6"/>
  </sheets>
  <calcPr calcId="171027"/>
</workbook>
</file>

<file path=xl/sharedStrings.xml><?xml version="1.0" encoding="utf-8"?>
<sst xmlns="http://schemas.openxmlformats.org/spreadsheetml/2006/main" count="101" uniqueCount="77">
  <si>
    <t>How this workbook works</t>
  </si>
  <si>
    <t>Explore Excel  ·  exploreexcel.com</t>
  </si>
  <si>
    <t>What this is</t>
  </si>
  <si>
    <t>A twelve-month personal budget. Income and spending by category for every month of the year, with the surplus or deficit each month and the running balance that follows from it.</t>
  </si>
  <si>
    <t>Filling it in</t>
  </si>
  <si>
    <t>Type over the blue figures on the Planner sheet. Every line runs across twelve months, so a cost that changes with the season — utilities, gifts in December — can be entered month by month rather than averaged into something that is wrong all year.</t>
  </si>
  <si>
    <t>The two rows that matter</t>
  </si>
  <si>
    <t>Surplus or deficit is that month on its own: income less everything you spent. Running balance carries it forward, so it answers the question the monthly figure cannot — whether a good January is still covering you by June.</t>
  </si>
  <si>
    <t>The Summary sheet</t>
  </si>
  <si>
    <t>Pick any month in the blue cell and the whole sheet re-reads for that month. It finds the column with MATCH and pulls the figures with INDEX, which is why it works in every version of Excel rather than only the recent ones.</t>
  </si>
  <si>
    <t>Savings is an expense here</t>
  </si>
  <si>
    <t>Money moved to an emergency fund or a retirement account sits in the expense block deliberately. Treating it as something left over at the end is how it stops happening; treating it as a bill you pay yourself is how it does not.</t>
  </si>
  <si>
    <t>The check at the foot of the Summary</t>
  </si>
  <si>
    <t>It adds the six category totals and compares them against the planner. It should always say Agrees. If it does not, a line has been given a category that is not one of the six.</t>
  </si>
  <si>
    <t>Reading the colors</t>
  </si>
  <si>
    <t>Blue figures are yours to type over. Black figures are calculated — typing over one replaces the formula. Green shading is a heading or a total. This is the standard financial-modeling convention, so anyone in a finance or audit role will read it without being told.</t>
  </si>
  <si>
    <t>Personal Budget Planner</t>
  </si>
  <si>
    <t>Explore Excel  ·  exploreexcel.com  ·  Twelve months, income against spending</t>
  </si>
  <si>
    <t>Line</t>
  </si>
  <si>
    <t>Category</t>
  </si>
  <si>
    <t>Jan</t>
  </si>
  <si>
    <t>Feb</t>
  </si>
  <si>
    <t>Mar</t>
  </si>
  <si>
    <t>Apr</t>
  </si>
  <si>
    <t>May</t>
  </si>
  <si>
    <t>Jun</t>
  </si>
  <si>
    <t>Jul</t>
  </si>
  <si>
    <t>Aug</t>
  </si>
  <si>
    <t>Sep</t>
  </si>
  <si>
    <t>Oct</t>
  </si>
  <si>
    <t>Nov</t>
  </si>
  <si>
    <t>Dec</t>
  </si>
  <si>
    <t>Year</t>
  </si>
  <si>
    <t>INCOME</t>
  </si>
  <si>
    <t>Take-home pay</t>
  </si>
  <si>
    <t>Income</t>
  </si>
  <si>
    <t>Second income</t>
  </si>
  <si>
    <t>Other income</t>
  </si>
  <si>
    <t>Total income</t>
  </si>
  <si>
    <t>EXPENSES</t>
  </si>
  <si>
    <t>Rent or mortgage</t>
  </si>
  <si>
    <t>Housing</t>
  </si>
  <si>
    <t>Utilities</t>
  </si>
  <si>
    <t>Home insurance</t>
  </si>
  <si>
    <t>Repairs and maintenance</t>
  </si>
  <si>
    <t>Groceries</t>
  </si>
  <si>
    <t>Food</t>
  </si>
  <si>
    <t>Eating out</t>
  </si>
  <si>
    <t>Car payment</t>
  </si>
  <si>
    <t>Transport</t>
  </si>
  <si>
    <t>Fuel</t>
  </si>
  <si>
    <t>Auto insurance</t>
  </si>
  <si>
    <t>Credit card payment</t>
  </si>
  <si>
    <t>Debt</t>
  </si>
  <si>
    <t>Student loan</t>
  </si>
  <si>
    <t>Emergency fund</t>
  </si>
  <si>
    <t>Savings</t>
  </si>
  <si>
    <t>Retirement</t>
  </si>
  <si>
    <t>Subscriptions</t>
  </si>
  <si>
    <t>Discretionary</t>
  </si>
  <si>
    <t>Entertainment</t>
  </si>
  <si>
    <t>Clothing</t>
  </si>
  <si>
    <t>Gifts and giving</t>
  </si>
  <si>
    <t>Total spending</t>
  </si>
  <si>
    <t>Surplus / (deficit)</t>
  </si>
  <si>
    <t>Running balance</t>
  </si>
  <si>
    <t>Summary</t>
  </si>
  <si>
    <t>Explore Excel  ·  exploreexcel.com  ·  One month in focus, and the year behind it</t>
  </si>
  <si>
    <t>Month in focus</t>
  </si>
  <si>
    <t>This month</t>
  </si>
  <si>
    <t>Year total</t>
  </si>
  <si>
    <t>Share of income</t>
  </si>
  <si>
    <t>Where the month lands</t>
  </si>
  <si>
    <t>Spending</t>
  </si>
  <si>
    <t>Savings rate</t>
  </si>
  <si>
    <t>Check</t>
  </si>
  <si>
    <t>Categories against the planner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</si>
</sst>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10" x14ac:knownFonts="1">
    <font>
      <color theme="1"/>
      <family val="2"/>
      <scheme val="minor"/>
      <sz val="11"/>
      <name val="Calibri"/>
    </font>
    <font>
      <b/>
      <color rgb="FFFFFFFF"/>
      <sz val="16"/>
      <name val="Arial"/>
    </font>
    <font>
      <color rgb="FFC6E4D9"/>
      <sz val="9"/>
      <name val="Arial"/>
    </font>
    <font>
      <b/>
      <color rgb="FF0A4A3A"/>
      <sz val="11"/>
      <name val="Arial"/>
    </font>
    <font>
      <color rgb="FF141414"/>
      <sz val="10"/>
      <name val="Arial"/>
    </font>
    <font>
      <b/>
      <color rgb="FFFFFFFF"/>
      <sz val="10"/>
      <name val="Arial"/>
    </font>
    <font>
      <b/>
      <color rgb="FF0A4A3A"/>
      <sz val="10"/>
      <name val="Arial"/>
    </font>
    <font>
      <color rgb="FF0000FF"/>
      <sz val="10"/>
      <name val="Arial"/>
    </font>
    <font>
      <b/>
      <color rgb="FF141414"/>
      <sz val="10"/>
      <name val="Arial"/>
    </font>
    <font>
      <b/>
      <color rgb="FF0000FF"/>
      <sz val="11"/>
      <name val="Arial"/>
    </font>
  </fonts>
  <fills count="6">
    <fill>
      <patternFill patternType="none"/>
    </fill>
    <fill>
      <patternFill patternType="gray125"/>
    </fill>
    <fill>
      <patternFill patternType="solid">
        <fgColor rgb="FF0F6E56"/>
      </patternFill>
    </fill>
    <fill>
      <patternFill patternType="solid">
        <fgColor rgb="FFE1F5EE"/>
      </patternFill>
    </fill>
    <fill>
      <patternFill patternType="solid">
        <fgColor rgb="FFFAFAF8"/>
      </patternFill>
    </fill>
    <fill>
      <patternFill patternType="solid">
        <fgColor rgb="FFFFFDF0"/>
      </patternFill>
    </fill>
  </fills>
  <borders count="2">
    <border>
      <left/>
      <right/>
      <top/>
      <bottom/>
      <diagonal/>
    </border>
    <border>
      <left style="thin">
        <color rgb="FFE4E4E0"/>
      </left>
      <right style="thin">
        <color rgb="FFE4E4E0"/>
      </right>
      <top style="thin">
        <color rgb="FFE4E4E0"/>
      </top>
      <bottom style="thin">
        <color rgb="FFE4E4E0"/>
      </bottom>
      <diagonal/>
    </border>
  </borders>
  <cellStyleXfs count="1">
    <xf numFmtId="0" fontId="0" fillId="0" borderId="0"/>
  </cellStyleXfs>
  <cellXfs count="27">
    <xf numFmtId="0" fontId="0" fillId="0" borderId="0" xfId="0"/>
    <xf numFmtId="0" fontId="1" fillId="2" borderId="0" xfId="0" applyFont="1" applyFill="1" applyAlignment="1">
      <alignment vertical="center"/>
    </xf>
    <xf numFmtId="0" fontId="2" fillId="2" borderId="0" xfId="0" applyFont="1" applyFill="1"/>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xf numFmtId="0" fontId="4" fillId="0" borderId="1" xfId="0" applyFont="1" applyBorder="1"/>
    <xf numFmtId="164" fontId="7" fillId="0" borderId="1" xfId="0" applyNumberFormat="1" applyFont="1" applyBorder="1"/>
    <xf numFmtId="164" fontId="8" fillId="0" borderId="1" xfId="0" applyNumberFormat="1" applyFont="1" applyBorder="1"/>
    <xf numFmtId="0" fontId="4" fillId="4" borderId="1" xfId="0" applyFont="1" applyFill="1" applyBorder="1"/>
    <xf numFmtId="164" fontId="7" fillId="4" borderId="1" xfId="0" applyNumberFormat="1" applyFont="1" applyFill="1" applyBorder="1"/>
    <xf numFmtId="164" fontId="8" fillId="4" borderId="1" xfId="0" applyNumberFormat="1" applyFont="1" applyFill="1" applyBorder="1"/>
    <xf numFmtId="0" fontId="5" fillId="2" borderId="1" xfId="0" applyFont="1" applyFill="1" applyBorder="1"/>
    <xf numFmtId="164" fontId="5" fillId="2" borderId="1" xfId="0" applyNumberFormat="1" applyFont="1" applyFill="1" applyBorder="1"/>
    <xf numFmtId="164" fontId="6" fillId="3" borderId="1" xfId="0" applyNumberFormat="1" applyFont="1" applyFill="1" applyBorder="1"/>
    <xf numFmtId="0" fontId="8" fillId="0" borderId="0" xfId="0" applyFont="1"/>
    <xf numFmtId="0" fontId="9" fillId="5" borderId="1" xfId="0" applyFont="1" applyFill="1" applyBorder="1" applyAlignment="1">
      <alignment horizontal="center"/>
    </xf>
    <xf numFmtId="164" fontId="4" fillId="0" borderId="1" xfId="0" applyNumberFormat="1" applyFont="1" applyBorder="1"/>
    <xf numFmtId="165" fontId="4" fillId="0" borderId="1" xfId="0" applyNumberFormat="1" applyFont="1" applyBorder="1"/>
    <xf numFmtId="164" fontId="4" fillId="4" borderId="1" xfId="0" applyNumberFormat="1" applyFont="1" applyFill="1" applyBorder="1"/>
    <xf numFmtId="165" fontId="4" fillId="4" borderId="1" xfId="0" applyNumberFormat="1" applyFont="1" applyFill="1" applyBorder="1"/>
    <xf numFmtId="165" fontId="5" fillId="2" borderId="1" xfId="0" applyNumberFormat="1" applyFont="1" applyFill="1" applyBorder="1"/>
    <xf numFmtId="0" fontId="6" fillId="0" borderId="1" xfId="0" applyFont="1" applyBorder="1"/>
    <xf numFmtId="164" fontId="6" fillId="0" borderId="1" xfId="0" applyNumberFormat="1" applyFont="1" applyBorder="1"/>
    <xf numFmtId="0" fontId="4" fillId="0" borderId="0" xfId="0" applyFont="1"/>
    <xf numFmtId="0" fontId="6" fillId="3" borderId="1" xfId="0" applyFont="1" applyFill="1" applyBorder="1" applyAlignment="1">
      <alignment horizontal="center"/>
    </xf>
  </cellXfs>
  <cellStyles count="1">
    <cellStyle name="Normal" xfId="0" builtinId="0"/>
  </cellStyles>
  <dxfs count="3">
    <dxf>
      <font>
        <b/>
        <color rgb="FF7A2020"/>
      </font>
    </dxf>
    <dxf>
      <font>
        <b/>
        <color rgb="FF7A2020"/>
      </font>
    </dxf>
    <dxf>
      <font>
        <b/>
        <color rgb="FF7A202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4A48"/>
    <pageSetUpPr fitToPage="1"/>
  </sheetPr>
  <dimension ref="A1:C23"/>
  <sheetViews>
    <sheetView workbookViewId="0" showGridLines="0" zoomScale="100"/>
  </sheetViews>
  <sheetFormatPr defaultRowHeight="15" outlineLevelRow="0" outlineLevelCol="0" x14ac:dyDescent="55"/>
  <cols>
    <col min="1" max="1" width="40" customWidth="1"/>
    <col min="2" max="3" width="30" customWidth="1"/>
  </cols>
  <sheetData>
    <row r="1" ht="25.5" customHeight="1" spans="1:3" x14ac:dyDescent="0.25">
      <c r="A1" s="1" t="s">
        <v>0</v>
      </c>
      <c r="B1" s="1"/>
      <c r="C1" s="1"/>
    </row>
    <row r="2" ht="15" customHeight="1" spans="1:3" x14ac:dyDescent="0.25">
      <c r="A2" s="2" t="s">
        <v>1</v>
      </c>
      <c r="B2" s="2"/>
      <c r="C2" s="2"/>
    </row>
    <row r="4" ht="15" customHeight="1" spans="1:1" x14ac:dyDescent="0.25">
      <c r="A4" s="3" t="s">
        <v>2</v>
      </c>
    </row>
    <row r="5" ht="33.75" customHeight="1" spans="1:1" x14ac:dyDescent="0.25">
      <c r="A5" s="4" t="s">
        <v>3</v>
      </c>
    </row>
    <row r="7" ht="15" customHeight="1" spans="1:1" x14ac:dyDescent="0.25">
      <c r="A7" s="3" t="s">
        <v>4</v>
      </c>
    </row>
    <row r="8" ht="48" customHeight="1" spans="1:1" x14ac:dyDescent="0.25">
      <c r="A8" s="4" t="s">
        <v>5</v>
      </c>
    </row>
    <row r="10" ht="15" customHeight="1" spans="1:1" x14ac:dyDescent="0.25">
      <c r="A10" s="3" t="s">
        <v>6</v>
      </c>
    </row>
    <row r="11" ht="48" customHeight="1" spans="1:1" x14ac:dyDescent="0.25">
      <c r="A11" s="4" t="s">
        <v>7</v>
      </c>
    </row>
    <row r="13" ht="15" customHeight="1" spans="1:1" x14ac:dyDescent="0.25">
      <c r="A13" s="3" t="s">
        <v>8</v>
      </c>
    </row>
    <row r="14" ht="48" customHeight="1" spans="1:1" x14ac:dyDescent="0.25">
      <c r="A14" s="4" t="s">
        <v>9</v>
      </c>
    </row>
    <row r="16" ht="15" customHeight="1" spans="1:1" x14ac:dyDescent="0.25">
      <c r="A16" s="3" t="s">
        <v>10</v>
      </c>
    </row>
    <row r="17" ht="48" customHeight="1" spans="1:1" x14ac:dyDescent="0.25">
      <c r="A17" s="4" t="s">
        <v>11</v>
      </c>
    </row>
    <row r="19" ht="15" customHeight="1" spans="1:1" x14ac:dyDescent="0.25">
      <c r="A19" s="3" t="s">
        <v>12</v>
      </c>
    </row>
    <row r="20" ht="48" customHeight="1" spans="1:1" x14ac:dyDescent="0.25">
      <c r="A20" s="4" t="s">
        <v>13</v>
      </c>
    </row>
    <row r="22" ht="15" customHeight="1" spans="1:1" x14ac:dyDescent="0.25">
      <c r="A22" s="3" t="s">
        <v>14</v>
      </c>
    </row>
    <row r="23" ht="48" customHeight="1" spans="1:1" x14ac:dyDescent="0.25">
      <c r="A23" s="4" t="s">
        <v>15</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E56"/>
    <pageSetUpPr fitToPage="1"/>
  </sheetPr>
  <dimension ref="A1:O32"/>
  <sheetViews>
    <sheetView workbookViewId="0" showGridLines="0" zoomScale="100">
      <pane xSplit="2" ySplit="4" topLeftCell="C5" activePane="bottomRight" state="frozen"/>
      <selection pane="bottomRight"/>
    </sheetView>
  </sheetViews>
  <sheetFormatPr defaultRowHeight="15" outlineLevelRow="0" outlineLevelCol="0" x14ac:dyDescent="55"/>
  <cols>
    <col min="1" max="1" width="30" customWidth="1"/>
    <col min="2" max="2" width="15" customWidth="1"/>
    <col min="3" max="14" width="10" customWidth="1"/>
    <col min="15" max="15" width="12" customWidth="1"/>
  </cols>
  <sheetData>
    <row r="1" ht="25.5" customHeight="1" spans="1:15" x14ac:dyDescent="0.25">
      <c r="A1" s="1" t="s">
        <v>16</v>
      </c>
      <c r="B1" s="1"/>
      <c r="C1" s="1"/>
      <c r="D1" s="1"/>
      <c r="E1" s="1"/>
      <c r="F1" s="1"/>
      <c r="G1" s="1"/>
      <c r="H1" s="1"/>
      <c r="I1" s="1"/>
      <c r="J1" s="1"/>
      <c r="K1" s="1"/>
      <c r="L1" s="1"/>
      <c r="M1" s="1"/>
      <c r="N1" s="1"/>
      <c r="O1" s="1"/>
    </row>
    <row r="2" ht="15" customHeight="1" spans="1:15" x14ac:dyDescent="0.25">
      <c r="A2" s="2" t="s">
        <v>17</v>
      </c>
      <c r="B2" s="2"/>
      <c r="C2" s="2"/>
      <c r="D2" s="2"/>
      <c r="E2" s="2"/>
      <c r="F2" s="2"/>
      <c r="G2" s="2"/>
      <c r="H2" s="2"/>
      <c r="I2" s="2"/>
      <c r="J2" s="2"/>
      <c r="K2" s="2"/>
      <c r="L2" s="2"/>
      <c r="M2" s="2"/>
      <c r="N2" s="2"/>
      <c r="O2" s="2"/>
    </row>
    <row r="4" ht="24" customHeight="1" spans="1:15" x14ac:dyDescent="0.25">
      <c r="A4" s="5" t="s">
        <v>18</v>
      </c>
      <c r="B4" s="5" t="s">
        <v>19</v>
      </c>
      <c r="C4" s="5" t="s">
        <v>20</v>
      </c>
      <c r="D4" s="5" t="s">
        <v>21</v>
      </c>
      <c r="E4" s="5" t="s">
        <v>22</v>
      </c>
      <c r="F4" s="5" t="s">
        <v>23</v>
      </c>
      <c r="G4" s="5" t="s">
        <v>24</v>
      </c>
      <c r="H4" s="5" t="s">
        <v>25</v>
      </c>
      <c r="I4" s="5" t="s">
        <v>26</v>
      </c>
      <c r="J4" s="5" t="s">
        <v>27</v>
      </c>
      <c r="K4" s="5" t="s">
        <v>28</v>
      </c>
      <c r="L4" s="5" t="s">
        <v>29</v>
      </c>
      <c r="M4" s="5" t="s">
        <v>30</v>
      </c>
      <c r="N4" s="5" t="s">
        <v>31</v>
      </c>
      <c r="O4" s="5" t="s">
        <v>32</v>
      </c>
    </row>
    <row r="5" ht="18" customHeight="1" spans="1:15" x14ac:dyDescent="0.25">
      <c r="A5" s="6" t="s">
        <v>33</v>
      </c>
      <c r="B5" s="6"/>
      <c r="C5" s="6"/>
      <c r="D5" s="6"/>
      <c r="E5" s="6"/>
      <c r="F5" s="6"/>
      <c r="G5" s="6"/>
      <c r="H5" s="6"/>
      <c r="I5" s="6"/>
      <c r="J5" s="6"/>
      <c r="K5" s="6"/>
      <c r="L5" s="6"/>
      <c r="M5" s="6"/>
      <c r="N5" s="6"/>
      <c r="O5" s="6"/>
    </row>
    <row r="6" spans="1:15" x14ac:dyDescent="0.25">
      <c r="A6" s="7" t="s">
        <v>34</v>
      </c>
      <c r="B6" s="7" t="s">
        <v>35</v>
      </c>
      <c r="C6" s="8">
        <v>4200</v>
      </c>
      <c r="D6" s="8">
        <v>4200</v>
      </c>
      <c r="E6" s="8">
        <v>4200</v>
      </c>
      <c r="F6" s="8">
        <v>4200</v>
      </c>
      <c r="G6" s="8">
        <v>4200</v>
      </c>
      <c r="H6" s="8">
        <v>4200</v>
      </c>
      <c r="I6" s="8">
        <v>4200</v>
      </c>
      <c r="J6" s="8">
        <v>4200</v>
      </c>
      <c r="K6" s="8">
        <v>4200</v>
      </c>
      <c r="L6" s="8">
        <v>4200</v>
      </c>
      <c r="M6" s="8">
        <v>4200</v>
      </c>
      <c r="N6" s="8">
        <v>4200</v>
      </c>
      <c r="O6" s="9">
        <f>SUM(C6:N6)</f>
      </c>
    </row>
    <row r="7" spans="1:15" x14ac:dyDescent="0.25">
      <c r="A7" s="10" t="s">
        <v>36</v>
      </c>
      <c r="B7" s="10" t="s">
        <v>35</v>
      </c>
      <c r="C7" s="11">
        <v>1150</v>
      </c>
      <c r="D7" s="11">
        <v>1150</v>
      </c>
      <c r="E7" s="11">
        <v>1150</v>
      </c>
      <c r="F7" s="11">
        <v>1150</v>
      </c>
      <c r="G7" s="11">
        <v>1150</v>
      </c>
      <c r="H7" s="11">
        <v>1150</v>
      </c>
      <c r="I7" s="11">
        <v>1150</v>
      </c>
      <c r="J7" s="11">
        <v>1150</v>
      </c>
      <c r="K7" s="11">
        <v>1150</v>
      </c>
      <c r="L7" s="11">
        <v>1150</v>
      </c>
      <c r="M7" s="11">
        <v>1150</v>
      </c>
      <c r="N7" s="11">
        <v>1150</v>
      </c>
      <c r="O7" s="12">
        <f>SUM(C7:N7)</f>
      </c>
    </row>
    <row r="8" spans="1:15" x14ac:dyDescent="0.25">
      <c r="A8" s="7" t="s">
        <v>37</v>
      </c>
      <c r="B8" s="7" t="s">
        <v>35</v>
      </c>
      <c r="C8" s="8">
        <v>0</v>
      </c>
      <c r="D8" s="8">
        <v>0</v>
      </c>
      <c r="E8" s="8">
        <v>0</v>
      </c>
      <c r="F8" s="8">
        <v>0</v>
      </c>
      <c r="G8" s="8">
        <v>0</v>
      </c>
      <c r="H8" s="8">
        <v>300</v>
      </c>
      <c r="I8" s="8">
        <v>0</v>
      </c>
      <c r="J8" s="8">
        <v>0</v>
      </c>
      <c r="K8" s="8">
        <v>0</v>
      </c>
      <c r="L8" s="8">
        <v>0</v>
      </c>
      <c r="M8" s="8">
        <v>0</v>
      </c>
      <c r="N8" s="8">
        <v>250</v>
      </c>
      <c r="O8" s="9">
        <f>SUM(C8:N8)</f>
      </c>
    </row>
    <row r="9" ht="20" customHeight="1" spans="1:15" x14ac:dyDescent="0.25">
      <c r="A9" s="13" t="s">
        <v>38</v>
      </c>
      <c r="B9" s="13"/>
      <c r="C9" s="14">
        <f>SUM(C6:C8)</f>
      </c>
      <c r="D9" s="14">
        <f>SUM(D6:D8)</f>
      </c>
      <c r="E9" s="14">
        <f>SUM(E6:E8)</f>
      </c>
      <c r="F9" s="14">
        <f>SUM(F6:F8)</f>
      </c>
      <c r="G9" s="14">
        <f>SUM(G6:G8)</f>
      </c>
      <c r="H9" s="14">
        <f>SUM(H6:H8)</f>
      </c>
      <c r="I9" s="14">
        <f>SUM(I6:I8)</f>
      </c>
      <c r="J9" s="14">
        <f>SUM(J6:J8)</f>
      </c>
      <c r="K9" s="14">
        <f>SUM(K6:K8)</f>
      </c>
      <c r="L9" s="14">
        <f>SUM(L6:L8)</f>
      </c>
      <c r="M9" s="14">
        <f>SUM(M6:M8)</f>
      </c>
      <c r="N9" s="14">
        <f>SUM(N6:N8)</f>
      </c>
      <c r="O9" s="14">
        <f>SUM(C9:N9)</f>
      </c>
    </row>
    <row r="11" ht="18" customHeight="1" spans="1:15" x14ac:dyDescent="0.25">
      <c r="A11" s="6" t="s">
        <v>39</v>
      </c>
      <c r="B11" s="6"/>
      <c r="C11" s="6"/>
      <c r="D11" s="6"/>
      <c r="E11" s="6"/>
      <c r="F11" s="6"/>
      <c r="G11" s="6"/>
      <c r="H11" s="6"/>
      <c r="I11" s="6"/>
      <c r="J11" s="6"/>
      <c r="K11" s="6"/>
      <c r="L11" s="6"/>
      <c r="M11" s="6"/>
      <c r="N11" s="6"/>
      <c r="O11" s="6"/>
    </row>
    <row r="12" spans="1:15" x14ac:dyDescent="0.25">
      <c r="A12" s="7" t="s">
        <v>40</v>
      </c>
      <c r="B12" s="7" t="s">
        <v>41</v>
      </c>
      <c r="C12" s="8">
        <v>1450</v>
      </c>
      <c r="D12" s="8">
        <v>1450</v>
      </c>
      <c r="E12" s="8">
        <v>1450</v>
      </c>
      <c r="F12" s="8">
        <v>1450</v>
      </c>
      <c r="G12" s="8">
        <v>1450</v>
      </c>
      <c r="H12" s="8">
        <v>1450</v>
      </c>
      <c r="I12" s="8">
        <v>1450</v>
      </c>
      <c r="J12" s="8">
        <v>1450</v>
      </c>
      <c r="K12" s="8">
        <v>1450</v>
      </c>
      <c r="L12" s="8">
        <v>1450</v>
      </c>
      <c r="M12" s="8">
        <v>1450</v>
      </c>
      <c r="N12" s="8">
        <v>1450</v>
      </c>
      <c r="O12" s="9">
        <f>SUM(C12:N12)</f>
      </c>
    </row>
    <row r="13" spans="1:15" x14ac:dyDescent="0.25">
      <c r="A13" s="10" t="s">
        <v>42</v>
      </c>
      <c r="B13" s="10" t="s">
        <v>41</v>
      </c>
      <c r="C13" s="11">
        <v>265</v>
      </c>
      <c r="D13" s="11">
        <v>250</v>
      </c>
      <c r="E13" s="11">
        <v>180</v>
      </c>
      <c r="F13" s="11">
        <v>180</v>
      </c>
      <c r="G13" s="11">
        <v>180</v>
      </c>
      <c r="H13" s="11">
        <v>180</v>
      </c>
      <c r="I13" s="11">
        <v>230</v>
      </c>
      <c r="J13" s="11">
        <v>235</v>
      </c>
      <c r="K13" s="11">
        <v>180</v>
      </c>
      <c r="L13" s="11">
        <v>180</v>
      </c>
      <c r="M13" s="11">
        <v>180</v>
      </c>
      <c r="N13" s="11">
        <v>240</v>
      </c>
      <c r="O13" s="12">
        <f>SUM(C13:N13)</f>
      </c>
    </row>
    <row r="14" spans="1:15" x14ac:dyDescent="0.25">
      <c r="A14" s="7" t="s">
        <v>43</v>
      </c>
      <c r="B14" s="7" t="s">
        <v>41</v>
      </c>
      <c r="C14" s="8">
        <v>95</v>
      </c>
      <c r="D14" s="8">
        <v>95</v>
      </c>
      <c r="E14" s="8">
        <v>95</v>
      </c>
      <c r="F14" s="8">
        <v>95</v>
      </c>
      <c r="G14" s="8">
        <v>95</v>
      </c>
      <c r="H14" s="8">
        <v>95</v>
      </c>
      <c r="I14" s="8">
        <v>95</v>
      </c>
      <c r="J14" s="8">
        <v>95</v>
      </c>
      <c r="K14" s="8">
        <v>95</v>
      </c>
      <c r="L14" s="8">
        <v>95</v>
      </c>
      <c r="M14" s="8">
        <v>95</v>
      </c>
      <c r="N14" s="8">
        <v>95</v>
      </c>
      <c r="O14" s="9">
        <f>SUM(C14:N14)</f>
      </c>
    </row>
    <row r="15" spans="1:15" x14ac:dyDescent="0.25">
      <c r="A15" s="10" t="s">
        <v>44</v>
      </c>
      <c r="B15" s="10" t="s">
        <v>41</v>
      </c>
      <c r="C15" s="11">
        <v>60</v>
      </c>
      <c r="D15" s="11">
        <v>60</v>
      </c>
      <c r="E15" s="11">
        <v>60</v>
      </c>
      <c r="F15" s="11">
        <v>400</v>
      </c>
      <c r="G15" s="11">
        <v>60</v>
      </c>
      <c r="H15" s="11">
        <v>60</v>
      </c>
      <c r="I15" s="11">
        <v>60</v>
      </c>
      <c r="J15" s="11">
        <v>60</v>
      </c>
      <c r="K15" s="11">
        <v>220</v>
      </c>
      <c r="L15" s="11">
        <v>60</v>
      </c>
      <c r="M15" s="11">
        <v>60</v>
      </c>
      <c r="N15" s="11">
        <v>60</v>
      </c>
      <c r="O15" s="12">
        <f>SUM(C15:N15)</f>
      </c>
    </row>
    <row r="16" spans="1:15" x14ac:dyDescent="0.25">
      <c r="A16" s="7" t="s">
        <v>45</v>
      </c>
      <c r="B16" s="7" t="s">
        <v>46</v>
      </c>
      <c r="C16" s="8">
        <v>620</v>
      </c>
      <c r="D16" s="8">
        <v>620</v>
      </c>
      <c r="E16" s="8">
        <v>620</v>
      </c>
      <c r="F16" s="8">
        <v>620</v>
      </c>
      <c r="G16" s="8">
        <v>620</v>
      </c>
      <c r="H16" s="8">
        <v>620</v>
      </c>
      <c r="I16" s="8">
        <v>620</v>
      </c>
      <c r="J16" s="8">
        <v>620</v>
      </c>
      <c r="K16" s="8">
        <v>620</v>
      </c>
      <c r="L16" s="8">
        <v>620</v>
      </c>
      <c r="M16" s="8">
        <v>700</v>
      </c>
      <c r="N16" s="8">
        <v>760</v>
      </c>
      <c r="O16" s="9">
        <f>SUM(C16:N16)</f>
      </c>
    </row>
    <row r="17" spans="1:15" x14ac:dyDescent="0.25">
      <c r="A17" s="10" t="s">
        <v>47</v>
      </c>
      <c r="B17" s="10" t="s">
        <v>46</v>
      </c>
      <c r="C17" s="11">
        <v>180</v>
      </c>
      <c r="D17" s="11">
        <v>180</v>
      </c>
      <c r="E17" s="11">
        <v>180</v>
      </c>
      <c r="F17" s="11">
        <v>180</v>
      </c>
      <c r="G17" s="11">
        <v>180</v>
      </c>
      <c r="H17" s="11">
        <v>180</v>
      </c>
      <c r="I17" s="11">
        <v>180</v>
      </c>
      <c r="J17" s="11">
        <v>180</v>
      </c>
      <c r="K17" s="11">
        <v>180</v>
      </c>
      <c r="L17" s="11">
        <v>180</v>
      </c>
      <c r="M17" s="11">
        <v>180</v>
      </c>
      <c r="N17" s="11">
        <v>260</v>
      </c>
      <c r="O17" s="12">
        <f>SUM(C17:N17)</f>
      </c>
    </row>
    <row r="18" spans="1:15" x14ac:dyDescent="0.25">
      <c r="A18" s="7" t="s">
        <v>48</v>
      </c>
      <c r="B18" s="7" t="s">
        <v>49</v>
      </c>
      <c r="C18" s="8">
        <v>340</v>
      </c>
      <c r="D18" s="8">
        <v>340</v>
      </c>
      <c r="E18" s="8">
        <v>340</v>
      </c>
      <c r="F18" s="8">
        <v>340</v>
      </c>
      <c r="G18" s="8">
        <v>340</v>
      </c>
      <c r="H18" s="8">
        <v>340</v>
      </c>
      <c r="I18" s="8">
        <v>340</v>
      </c>
      <c r="J18" s="8">
        <v>340</v>
      </c>
      <c r="K18" s="8">
        <v>340</v>
      </c>
      <c r="L18" s="8">
        <v>340</v>
      </c>
      <c r="M18" s="8">
        <v>340</v>
      </c>
      <c r="N18" s="8">
        <v>340</v>
      </c>
      <c r="O18" s="9">
        <f>SUM(C18:N18)</f>
      </c>
    </row>
    <row r="19" spans="1:15" x14ac:dyDescent="0.25">
      <c r="A19" s="10" t="s">
        <v>50</v>
      </c>
      <c r="B19" s="10" t="s">
        <v>49</v>
      </c>
      <c r="C19" s="11">
        <v>145</v>
      </c>
      <c r="D19" s="11">
        <v>145</v>
      </c>
      <c r="E19" s="11">
        <v>145</v>
      </c>
      <c r="F19" s="11">
        <v>145</v>
      </c>
      <c r="G19" s="11">
        <v>145</v>
      </c>
      <c r="H19" s="11">
        <v>145</v>
      </c>
      <c r="I19" s="11">
        <v>190</v>
      </c>
      <c r="J19" s="11">
        <v>185</v>
      </c>
      <c r="K19" s="11">
        <v>145</v>
      </c>
      <c r="L19" s="11">
        <v>145</v>
      </c>
      <c r="M19" s="11">
        <v>145</v>
      </c>
      <c r="N19" s="11">
        <v>145</v>
      </c>
      <c r="O19" s="12">
        <f>SUM(C19:N19)</f>
      </c>
    </row>
    <row r="20" spans="1:15" x14ac:dyDescent="0.25">
      <c r="A20" s="7" t="s">
        <v>51</v>
      </c>
      <c r="B20" s="7" t="s">
        <v>49</v>
      </c>
      <c r="C20" s="8">
        <v>120</v>
      </c>
      <c r="D20" s="8">
        <v>120</v>
      </c>
      <c r="E20" s="8">
        <v>120</v>
      </c>
      <c r="F20" s="8">
        <v>120</v>
      </c>
      <c r="G20" s="8">
        <v>120</v>
      </c>
      <c r="H20" s="8">
        <v>120</v>
      </c>
      <c r="I20" s="8">
        <v>120</v>
      </c>
      <c r="J20" s="8">
        <v>120</v>
      </c>
      <c r="K20" s="8">
        <v>120</v>
      </c>
      <c r="L20" s="8">
        <v>120</v>
      </c>
      <c r="M20" s="8">
        <v>120</v>
      </c>
      <c r="N20" s="8">
        <v>120</v>
      </c>
      <c r="O20" s="9">
        <f>SUM(C20:N20)</f>
      </c>
    </row>
    <row r="21" spans="1:15" x14ac:dyDescent="0.25">
      <c r="A21" s="10" t="s">
        <v>52</v>
      </c>
      <c r="B21" s="10" t="s">
        <v>53</v>
      </c>
      <c r="C21" s="11">
        <v>250</v>
      </c>
      <c r="D21" s="11">
        <v>250</v>
      </c>
      <c r="E21" s="11">
        <v>250</v>
      </c>
      <c r="F21" s="11">
        <v>250</v>
      </c>
      <c r="G21" s="11">
        <v>250</v>
      </c>
      <c r="H21" s="11">
        <v>250</v>
      </c>
      <c r="I21" s="11">
        <v>250</v>
      </c>
      <c r="J21" s="11">
        <v>250</v>
      </c>
      <c r="K21" s="11">
        <v>250</v>
      </c>
      <c r="L21" s="11">
        <v>250</v>
      </c>
      <c r="M21" s="11">
        <v>250</v>
      </c>
      <c r="N21" s="11">
        <v>250</v>
      </c>
      <c r="O21" s="12">
        <f>SUM(C21:N21)</f>
      </c>
    </row>
    <row r="22" spans="1:15" x14ac:dyDescent="0.25">
      <c r="A22" s="7" t="s">
        <v>54</v>
      </c>
      <c r="B22" s="7" t="s">
        <v>53</v>
      </c>
      <c r="C22" s="8">
        <v>310</v>
      </c>
      <c r="D22" s="8">
        <v>310</v>
      </c>
      <c r="E22" s="8">
        <v>310</v>
      </c>
      <c r="F22" s="8">
        <v>310</v>
      </c>
      <c r="G22" s="8">
        <v>310</v>
      </c>
      <c r="H22" s="8">
        <v>310</v>
      </c>
      <c r="I22" s="8">
        <v>310</v>
      </c>
      <c r="J22" s="8">
        <v>310</v>
      </c>
      <c r="K22" s="8">
        <v>310</v>
      </c>
      <c r="L22" s="8">
        <v>310</v>
      </c>
      <c r="M22" s="8">
        <v>310</v>
      </c>
      <c r="N22" s="8">
        <v>310</v>
      </c>
      <c r="O22" s="9">
        <f>SUM(C22:N22)</f>
      </c>
    </row>
    <row r="23" spans="1:15" x14ac:dyDescent="0.25">
      <c r="A23" s="10" t="s">
        <v>55</v>
      </c>
      <c r="B23" s="10" t="s">
        <v>56</v>
      </c>
      <c r="C23" s="11">
        <v>300</v>
      </c>
      <c r="D23" s="11">
        <v>300</v>
      </c>
      <c r="E23" s="11">
        <v>300</v>
      </c>
      <c r="F23" s="11">
        <v>300</v>
      </c>
      <c r="G23" s="11">
        <v>300</v>
      </c>
      <c r="H23" s="11">
        <v>300</v>
      </c>
      <c r="I23" s="11">
        <v>300</v>
      </c>
      <c r="J23" s="11">
        <v>300</v>
      </c>
      <c r="K23" s="11">
        <v>300</v>
      </c>
      <c r="L23" s="11">
        <v>300</v>
      </c>
      <c r="M23" s="11">
        <v>300</v>
      </c>
      <c r="N23" s="11">
        <v>300</v>
      </c>
      <c r="O23" s="12">
        <f>SUM(C23:N23)</f>
      </c>
    </row>
    <row r="24" spans="1:15" x14ac:dyDescent="0.25">
      <c r="A24" s="7" t="s">
        <v>57</v>
      </c>
      <c r="B24" s="7" t="s">
        <v>56</v>
      </c>
      <c r="C24" s="8">
        <v>450</v>
      </c>
      <c r="D24" s="8">
        <v>450</v>
      </c>
      <c r="E24" s="8">
        <v>450</v>
      </c>
      <c r="F24" s="8">
        <v>450</v>
      </c>
      <c r="G24" s="8">
        <v>450</v>
      </c>
      <c r="H24" s="8">
        <v>450</v>
      </c>
      <c r="I24" s="8">
        <v>450</v>
      </c>
      <c r="J24" s="8">
        <v>450</v>
      </c>
      <c r="K24" s="8">
        <v>450</v>
      </c>
      <c r="L24" s="8">
        <v>450</v>
      </c>
      <c r="M24" s="8">
        <v>450</v>
      </c>
      <c r="N24" s="8">
        <v>450</v>
      </c>
      <c r="O24" s="9">
        <f>SUM(C24:N24)</f>
      </c>
    </row>
    <row r="25" spans="1:15" x14ac:dyDescent="0.25">
      <c r="A25" s="10" t="s">
        <v>58</v>
      </c>
      <c r="B25" s="10" t="s">
        <v>59</v>
      </c>
      <c r="C25" s="11">
        <v>55</v>
      </c>
      <c r="D25" s="11">
        <v>55</v>
      </c>
      <c r="E25" s="11">
        <v>55</v>
      </c>
      <c r="F25" s="11">
        <v>55</v>
      </c>
      <c r="G25" s="11">
        <v>55</v>
      </c>
      <c r="H25" s="11">
        <v>55</v>
      </c>
      <c r="I25" s="11">
        <v>55</v>
      </c>
      <c r="J25" s="11">
        <v>55</v>
      </c>
      <c r="K25" s="11">
        <v>55</v>
      </c>
      <c r="L25" s="11">
        <v>55</v>
      </c>
      <c r="M25" s="11">
        <v>55</v>
      </c>
      <c r="N25" s="11">
        <v>55</v>
      </c>
      <c r="O25" s="12">
        <f>SUM(C25:N25)</f>
      </c>
    </row>
    <row r="26" spans="1:15" x14ac:dyDescent="0.25">
      <c r="A26" s="7" t="s">
        <v>60</v>
      </c>
      <c r="B26" s="7" t="s">
        <v>59</v>
      </c>
      <c r="C26" s="8">
        <v>140</v>
      </c>
      <c r="D26" s="8">
        <v>140</v>
      </c>
      <c r="E26" s="8">
        <v>140</v>
      </c>
      <c r="F26" s="8">
        <v>140</v>
      </c>
      <c r="G26" s="8">
        <v>140</v>
      </c>
      <c r="H26" s="8">
        <v>140</v>
      </c>
      <c r="I26" s="8">
        <v>320</v>
      </c>
      <c r="J26" s="8">
        <v>140</v>
      </c>
      <c r="K26" s="8">
        <v>140</v>
      </c>
      <c r="L26" s="8">
        <v>140</v>
      </c>
      <c r="M26" s="8">
        <v>140</v>
      </c>
      <c r="N26" s="8">
        <v>140</v>
      </c>
      <c r="O26" s="9">
        <f>SUM(C26:N26)</f>
      </c>
    </row>
    <row r="27" spans="1:15" x14ac:dyDescent="0.25">
      <c r="A27" s="10" t="s">
        <v>61</v>
      </c>
      <c r="B27" s="10" t="s">
        <v>59</v>
      </c>
      <c r="C27" s="11">
        <v>90</v>
      </c>
      <c r="D27" s="11">
        <v>90</v>
      </c>
      <c r="E27" s="11">
        <v>90</v>
      </c>
      <c r="F27" s="11">
        <v>90</v>
      </c>
      <c r="G27" s="11">
        <v>90</v>
      </c>
      <c r="H27" s="11">
        <v>90</v>
      </c>
      <c r="I27" s="11">
        <v>90</v>
      </c>
      <c r="J27" s="11">
        <v>90</v>
      </c>
      <c r="K27" s="11">
        <v>240</v>
      </c>
      <c r="L27" s="11">
        <v>90</v>
      </c>
      <c r="M27" s="11">
        <v>90</v>
      </c>
      <c r="N27" s="11">
        <v>90</v>
      </c>
      <c r="O27" s="12">
        <f>SUM(C27:N27)</f>
      </c>
    </row>
    <row r="28" spans="1:15" x14ac:dyDescent="0.25">
      <c r="A28" s="7" t="s">
        <v>62</v>
      </c>
      <c r="B28" s="7" t="s">
        <v>59</v>
      </c>
      <c r="C28" s="8">
        <v>75</v>
      </c>
      <c r="D28" s="8">
        <v>75</v>
      </c>
      <c r="E28" s="8">
        <v>75</v>
      </c>
      <c r="F28" s="8">
        <v>75</v>
      </c>
      <c r="G28" s="8">
        <v>75</v>
      </c>
      <c r="H28" s="8">
        <v>75</v>
      </c>
      <c r="I28" s="8">
        <v>75</v>
      </c>
      <c r="J28" s="8">
        <v>75</v>
      </c>
      <c r="K28" s="8">
        <v>75</v>
      </c>
      <c r="L28" s="8">
        <v>75</v>
      </c>
      <c r="M28" s="8">
        <v>75</v>
      </c>
      <c r="N28" s="8">
        <v>480</v>
      </c>
      <c r="O28" s="9">
        <f>SUM(C28:N28)</f>
      </c>
    </row>
    <row r="29" ht="20" customHeight="1" spans="1:15" x14ac:dyDescent="0.25">
      <c r="A29" s="13" t="s">
        <v>63</v>
      </c>
      <c r="B29" s="13"/>
      <c r="C29" s="14">
        <f>SUM(C12:C28)</f>
      </c>
      <c r="D29" s="14">
        <f>SUM(D12:D28)</f>
      </c>
      <c r="E29" s="14">
        <f>SUM(E12:E28)</f>
      </c>
      <c r="F29" s="14">
        <f>SUM(F12:F28)</f>
      </c>
      <c r="G29" s="14">
        <f>SUM(G12:G28)</f>
      </c>
      <c r="H29" s="14">
        <f>SUM(H12:H28)</f>
      </c>
      <c r="I29" s="14">
        <f>SUM(I12:I28)</f>
      </c>
      <c r="J29" s="14">
        <f>SUM(J12:J28)</f>
      </c>
      <c r="K29" s="14">
        <f>SUM(K12:K28)</f>
      </c>
      <c r="L29" s="14">
        <f>SUM(L12:L28)</f>
      </c>
      <c r="M29" s="14">
        <f>SUM(M12:M28)</f>
      </c>
      <c r="N29" s="14">
        <f>SUM(N12:N28)</f>
      </c>
      <c r="O29" s="14">
        <f>SUM(C29:N29)</f>
      </c>
    </row>
    <row r="31" ht="20" customHeight="1" spans="1:15" x14ac:dyDescent="0.25">
      <c r="A31" s="13" t="s">
        <v>64</v>
      </c>
      <c r="B31" s="13"/>
      <c r="C31" s="14">
        <f>C9-C29</f>
      </c>
      <c r="D31" s="14">
        <f>D9-D29</f>
      </c>
      <c r="E31" s="14">
        <f>E9-E29</f>
      </c>
      <c r="F31" s="14">
        <f>F9-F29</f>
      </c>
      <c r="G31" s="14">
        <f>G9-G29</f>
      </c>
      <c r="H31" s="14">
        <f>H9-H29</f>
      </c>
      <c r="I31" s="14">
        <f>I9-I29</f>
      </c>
      <c r="J31" s="14">
        <f>J9-J29</f>
      </c>
      <c r="K31" s="14">
        <f>K9-K29</f>
      </c>
      <c r="L31" s="14">
        <f>L9-L29</f>
      </c>
      <c r="M31" s="14">
        <f>M9-M29</f>
      </c>
      <c r="N31" s="14">
        <f>N9-N29</f>
      </c>
      <c r="O31" s="14">
        <f>SUM(C31:N31)</f>
      </c>
    </row>
    <row r="32" ht="18" customHeight="1" spans="1:15" x14ac:dyDescent="0.25">
      <c r="A32" s="6" t="s">
        <v>65</v>
      </c>
      <c r="B32" s="6"/>
      <c r="C32" s="15">
        <f>C31</f>
      </c>
      <c r="D32" s="15">
        <f>C32+D31</f>
      </c>
      <c r="E32" s="15">
        <f>D32+E31</f>
      </c>
      <c r="F32" s="15">
        <f>E32+F31</f>
      </c>
      <c r="G32" s="15">
        <f>F32+G31</f>
      </c>
      <c r="H32" s="15">
        <f>G32+H31</f>
      </c>
      <c r="I32" s="15">
        <f>H32+I31</f>
      </c>
      <c r="J32" s="15">
        <f>I32+J31</f>
      </c>
      <c r="K32" s="15">
        <f>J32+K31</f>
      </c>
      <c r="L32" s="15">
        <f>K32+L31</f>
      </c>
      <c r="M32" s="15">
        <f>L32+M31</f>
      </c>
      <c r="N32" s="15">
        <f>M32+N31</f>
      </c>
      <c r="O32" s="15">
        <f>N32</f>
      </c>
    </row>
  </sheetData>
  <conditionalFormatting sqref="C31:O31">
    <cfRule type="cellIs" dxfId="0" priority="1" operator="lessThan">
      <formula>0</formula>
    </cfRule>
  </conditionalFormatting>
  <conditionalFormatting sqref="C32:O32">
    <cfRule type="cellIs" dxfId="1" priority="1" operator="lessThan">
      <formula>0</formula>
    </cfRule>
  </conditionalFormatting>
  <printOptions horizontalCentered="1"/>
  <pageMargins left="0.4" right="0.4" top="0.6" bottom="0.6" header="0.3" footer="0.3"/>
  <pageSetup paperSize="1" orientation="landscape" fitToWidth="1" fitToHeight="0"/>
  <headerFooter>
    <oddFooter>&amp;L&amp;9Explore Excel&amp;R&amp;9Page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4A3A"/>
    <pageSetUpPr fitToPage="1"/>
  </sheetPr>
  <dimension ref="A1:D22"/>
  <sheetViews>
    <sheetView workbookViewId="0" showGridLines="0" zoomScale="100"/>
  </sheetViews>
  <sheetFormatPr defaultRowHeight="15" outlineLevelRow="0" outlineLevelCol="0" x14ac:dyDescent="55"/>
  <cols>
    <col min="1" max="1" width="30" customWidth="1"/>
    <col min="2" max="4" width="16" customWidth="1"/>
  </cols>
  <sheetData>
    <row r="1" ht="25.5" customHeight="1" spans="1:4" x14ac:dyDescent="0.25">
      <c r="A1" s="1" t="s">
        <v>66</v>
      </c>
      <c r="B1" s="1"/>
      <c r="C1" s="1"/>
      <c r="D1" s="1"/>
    </row>
    <row r="2" ht="15" customHeight="1" spans="1:4" x14ac:dyDescent="0.25">
      <c r="A2" s="2" t="s">
        <v>67</v>
      </c>
      <c r="B2" s="2"/>
      <c r="C2" s="2"/>
      <c r="D2" s="2"/>
    </row>
    <row r="4" spans="1:2" x14ac:dyDescent="0.25">
      <c r="A4" s="16" t="s">
        <v>68</v>
      </c>
      <c r="B4" s="17" t="s">
        <v>22</v>
      </c>
    </row>
    <row r="6" ht="24" customHeight="1" spans="1:4" x14ac:dyDescent="0.25">
      <c r="A6" s="5" t="s">
        <v>19</v>
      </c>
      <c r="B6" s="5" t="s">
        <v>69</v>
      </c>
      <c r="C6" s="5" t="s">
        <v>70</v>
      </c>
      <c r="D6" s="5" t="s">
        <v>71</v>
      </c>
    </row>
    <row r="7" spans="1:4" x14ac:dyDescent="0.25">
      <c r="A7" s="7" t="s">
        <v>41</v>
      </c>
      <c r="B7" s="18">
        <f>SUMPRODUCT((Planner!$B$12:$B$28=$A7)*INDEX(Planner!$C$12:$N$28,0,MATCH($B$4,Planner!$C$4:$N$4,0)))</f>
      </c>
      <c r="C7" s="18">
        <f>SUMIF(Planner!$B$12:$B$28,$A7,Planner!$O$12:$O$28)</f>
      </c>
      <c r="D7" s="19">
        <f>IFERROR(C7/Planner!$O$9,0)</f>
      </c>
    </row>
    <row r="8" spans="1:4" x14ac:dyDescent="0.25">
      <c r="A8" s="10" t="s">
        <v>46</v>
      </c>
      <c r="B8" s="20">
        <f>SUMPRODUCT((Planner!$B$12:$B$28=$A8)*INDEX(Planner!$C$12:$N$28,0,MATCH($B$4,Planner!$C$4:$N$4,0)))</f>
      </c>
      <c r="C8" s="20">
        <f>SUMIF(Planner!$B$12:$B$28,$A8,Planner!$O$12:$O$28)</f>
      </c>
      <c r="D8" s="21">
        <f>IFERROR(C8/Planner!$O$9,0)</f>
      </c>
    </row>
    <row r="9" spans="1:4" x14ac:dyDescent="0.25">
      <c r="A9" s="7" t="s">
        <v>49</v>
      </c>
      <c r="B9" s="18">
        <f>SUMPRODUCT((Planner!$B$12:$B$28=$A9)*INDEX(Planner!$C$12:$N$28,0,MATCH($B$4,Planner!$C$4:$N$4,0)))</f>
      </c>
      <c r="C9" s="18">
        <f>SUMIF(Planner!$B$12:$B$28,$A9,Planner!$O$12:$O$28)</f>
      </c>
      <c r="D9" s="19">
        <f>IFERROR(C9/Planner!$O$9,0)</f>
      </c>
    </row>
    <row r="10" spans="1:4" x14ac:dyDescent="0.25">
      <c r="A10" s="10" t="s">
        <v>53</v>
      </c>
      <c r="B10" s="20">
        <f>SUMPRODUCT((Planner!$B$12:$B$28=$A10)*INDEX(Planner!$C$12:$N$28,0,MATCH($B$4,Planner!$C$4:$N$4,0)))</f>
      </c>
      <c r="C10" s="20">
        <f>SUMIF(Planner!$B$12:$B$28,$A10,Planner!$O$12:$O$28)</f>
      </c>
      <c r="D10" s="21">
        <f>IFERROR(C10/Planner!$O$9,0)</f>
      </c>
    </row>
    <row r="11" spans="1:4" x14ac:dyDescent="0.25">
      <c r="A11" s="7" t="s">
        <v>56</v>
      </c>
      <c r="B11" s="18">
        <f>SUMPRODUCT((Planner!$B$12:$B$28=$A11)*INDEX(Planner!$C$12:$N$28,0,MATCH($B$4,Planner!$C$4:$N$4,0)))</f>
      </c>
      <c r="C11" s="18">
        <f>SUMIF(Planner!$B$12:$B$28,$A11,Planner!$O$12:$O$28)</f>
      </c>
      <c r="D11" s="19">
        <f>IFERROR(C11/Planner!$O$9,0)</f>
      </c>
    </row>
    <row r="12" spans="1:4" x14ac:dyDescent="0.25">
      <c r="A12" s="10" t="s">
        <v>59</v>
      </c>
      <c r="B12" s="20">
        <f>SUMPRODUCT((Planner!$B$12:$B$28=$A12)*INDEX(Planner!$C$12:$N$28,0,MATCH($B$4,Planner!$C$4:$N$4,0)))</f>
      </c>
      <c r="C12" s="20">
        <f>SUMIF(Planner!$B$12:$B$28,$A12,Planner!$O$12:$O$28)</f>
      </c>
      <c r="D12" s="21">
        <f>IFERROR(C12/Planner!$O$9,0)</f>
      </c>
    </row>
    <row r="13" ht="20" customHeight="1" spans="1:4" x14ac:dyDescent="0.25">
      <c r="A13" s="13" t="s">
        <v>63</v>
      </c>
      <c r="B13" s="14">
        <f>SUM(B7:B12)</f>
      </c>
      <c r="C13" s="14">
        <f>SUM(C7:C12)</f>
      </c>
      <c r="D13" s="22">
        <f>SUM(D7:D12)</f>
      </c>
    </row>
    <row r="15" ht="15" customHeight="1" spans="1:1" x14ac:dyDescent="0.25">
      <c r="A15" s="3" t="s">
        <v>72</v>
      </c>
    </row>
    <row r="16" spans="1:3" x14ac:dyDescent="0.25">
      <c r="A16" s="7" t="s">
        <v>35</v>
      </c>
      <c r="B16" s="18">
        <f>INDEX(Planner!$C$9:$N$9,MATCH($B$4,Planner!$C$4:$N$4,0))</f>
      </c>
      <c r="C16" s="18">
        <f>Planner!$O$9</f>
      </c>
    </row>
    <row r="17" spans="1:3" x14ac:dyDescent="0.25">
      <c r="A17" s="10" t="s">
        <v>73</v>
      </c>
      <c r="B17" s="20">
        <f>INDEX(Planner!$C$29:$N$29,MATCH($B$4,Planner!$C$4:$N$4,0))</f>
      </c>
      <c r="C17" s="20">
        <f>Planner!$O$29</f>
      </c>
    </row>
    <row r="18" spans="1:3" x14ac:dyDescent="0.25">
      <c r="A18" s="23" t="s">
        <v>64</v>
      </c>
      <c r="B18" s="24">
        <f>B16-B17</f>
      </c>
      <c r="C18" s="24">
        <f>C16-C17</f>
      </c>
    </row>
    <row r="19" spans="1:3" x14ac:dyDescent="0.25">
      <c r="A19" s="10" t="s">
        <v>74</v>
      </c>
      <c r="B19" s="21">
        <f>IFERROR(B11/B16,0)</f>
      </c>
      <c r="C19" s="21">
        <f>IFERROR(C11/C16,0)</f>
      </c>
    </row>
    <row r="21" ht="15" customHeight="1" spans="1:1" x14ac:dyDescent="0.25">
      <c r="A21" s="3" t="s">
        <v>75</v>
      </c>
    </row>
    <row r="22" spans="1:2" x14ac:dyDescent="0.25">
      <c r="A22" s="25" t="s">
        <v>76</v>
      </c>
      <c r="B22" s="26">
        <f>IF(ROUND(C13-Planner!$O$29,2)=0,"Agrees","Out by "&amp;TEXT(C13-Planner!$O$29,"#,##0"))</f>
      </c>
    </row>
  </sheetData>
  <conditionalFormatting sqref="B18:C18">
    <cfRule type="cellIs" dxfId="2" priority="1" operator="lessThan">
      <formula>0</formula>
    </cfRule>
  </conditionalFormatting>
  <dataValidations count="1">
    <dataValidation type="list" showErrorMessage="1" errorStyle="stop" errorTitle="Pick a month" error="Choose one of the twelve month abbreviations, for example Mar." sqref="B4:B4">
      <formula1>"Jan,Feb,Mar,Apr,May,Jun,Jul,Aug,Sep,Oct,Nov,Dec"</formula1>
    </dataValidation>
  </dataValidations>
  <printOptions horizontalCentered="1"/>
  <pageMargins left="0.4" right="0.4" top="0.6" bottom="0.6" header="0.3" footer="0.3"/>
  <pageSetup paperSize="1" orientation="portrait" fitToWidth="1" fitToHeight="0"/>
  <headerFooter>
    <oddFooter>&amp;L&amp;9Explore Excel&amp;R&amp;9Page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Planner</vt:lpstr>
      <vt:lpstr>Summary</vt:lpstr>
    </vt:vector>
  </TitlesOfParts>
  <Company>Explore Excel</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Explore Excel</dc:creator>
  <dc:title/>
  <dc:subject/>
  <dc:description/>
  <cp:keywords/>
  <cp:category/>
  <cp:lastModifiedBy>Unknown</cp:lastModifiedBy>
  <dcterms:created xsi:type="dcterms:W3CDTF">2026-08-18T11:00:16Z</dcterms:created>
  <dcterms:modified xsi:type="dcterms:W3CDTF">2026-08-18T11:00:16Z</dcterms:modified>
</cp:coreProperties>
</file>