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heet" sheetId="1" state="visible" r:id="rId1"/>
    <sheet xmlns:r="http://schemas.openxmlformats.org/officeDocument/2006/relationships" name="By project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-mmm-yy"/>
    <numFmt numFmtId="165" formatCode="#,##0;(#,##0);&quot;-&quot;"/>
    <numFmt numFmtId="166" formatCode="hh:mm"/>
    <numFmt numFmtId="167" formatCode="#,##0.00;(#,##0.00)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C6E4D9"/>
      <sz val="9"/>
    </font>
    <font>
      <name val="Arial"/>
      <b val="1"/>
      <color rgb="000A4A3A"/>
      <sz val="11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41414"/>
      <sz val="10"/>
    </font>
    <font>
      <name val="Arial"/>
      <b val="1"/>
      <color rgb="000A4A3A"/>
      <sz val="10"/>
    </font>
  </fonts>
  <fills count="5">
    <fill>
      <patternFill/>
    </fill>
    <fill>
      <patternFill patternType="gray125"/>
    </fill>
    <fill>
      <patternFill patternType="solid">
        <fgColor rgb="000F6E56"/>
        <bgColor rgb="000F6E56"/>
      </patternFill>
    </fill>
    <fill>
      <patternFill patternType="solid">
        <fgColor rgb="00FFFDF0"/>
        <bgColor rgb="00FFFDF0"/>
      </patternFill>
    </fill>
    <fill>
      <patternFill patternType="solid">
        <fgColor rgb="00E1F5EE"/>
        <bgColor rgb="00E1F5EE"/>
      </patternFill>
    </fill>
  </fills>
  <borders count="2">
    <border>
      <left/>
      <right/>
      <top/>
      <bottom/>
      <diagonal/>
    </border>
    <border>
      <left style="thin">
        <color rgb="00E4E4E0"/>
      </left>
      <right style="thin">
        <color rgb="00E4E4E0"/>
      </right>
      <top style="thin">
        <color rgb="00E4E4E0"/>
      </top>
      <bottom style="thin">
        <color rgb="00E4E4E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2" borderId="0" applyAlignment="1" pivotButton="0" quotePrefix="0" xfId="0">
      <alignment vertical="center" indent="1"/>
    </xf>
    <xf numFmtId="0" fontId="3" fillId="0" borderId="0" pivotButton="0" quotePrefix="0" xfId="0"/>
    <xf numFmtId="0" fontId="4" fillId="3" borderId="1" pivotButton="0" quotePrefix="0" xfId="0"/>
    <xf numFmtId="165" fontId="4" fillId="3" borderId="1" pivotButton="0" quotePrefix="0" xfId="0"/>
    <xf numFmtId="164" fontId="4" fillId="3" borderId="1" pivotButton="0" quotePrefix="0" xfId="0"/>
    <xf numFmtId="2" fontId="4" fillId="3" borderId="1" pivotButton="0" quotePrefix="0" xfId="0"/>
    <xf numFmtId="0" fontId="5" fillId="2" borderId="1" applyAlignment="1" pivotButton="0" quotePrefix="0" xfId="0">
      <alignment horizontal="center" vertical="center" wrapText="1"/>
    </xf>
    <xf numFmtId="164" fontId="6" fillId="0" borderId="1" pivotButton="0" quotePrefix="0" xfId="0"/>
    <xf numFmtId="0" fontId="6" fillId="0" borderId="1" pivotButton="0" quotePrefix="0" xfId="0"/>
    <xf numFmtId="166" fontId="4" fillId="3" borderId="1" pivotButton="0" quotePrefix="0" xfId="0"/>
    <xf numFmtId="2" fontId="6" fillId="0" borderId="1" pivotButton="0" quotePrefix="0" xfId="0"/>
    <xf numFmtId="0" fontId="7" fillId="4" borderId="1" pivotButton="0" quotePrefix="0" xfId="0"/>
    <xf numFmtId="0" fontId="0" fillId="4" borderId="1" pivotButton="0" quotePrefix="0" xfId="0"/>
    <xf numFmtId="2" fontId="7" fillId="4" borderId="1" pivotButton="0" quotePrefix="0" xfId="0"/>
    <xf numFmtId="0" fontId="6" fillId="0" borderId="0" pivotButton="0" quotePrefix="0" xfId="0"/>
    <xf numFmtId="167" fontId="4" fillId="3" borderId="1" pivotButton="0" quotePrefix="0" xfId="0"/>
    <xf numFmtId="167" fontId="6" fillId="0" borderId="1" pivotButton="0" quotePrefix="0" xfId="0"/>
    <xf numFmtId="0" fontId="7" fillId="0" borderId="0" pivotButton="0" quotePrefix="0" xfId="0"/>
    <xf numFmtId="167" fontId="7" fillId="4" borderId="1" pivotButton="0" quotePrefix="0" xfId="0"/>
    <xf numFmtId="0" fontId="7" fillId="4" borderId="0" pivotButton="0" quotePrefix="0" xfId="0"/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0" customWidth="1" min="4" max="4"/>
    <col width="10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</cols>
  <sheetData>
    <row r="1" ht="26" customHeight="1">
      <c r="A1" s="1" t="inlineStr">
        <is>
          <t>Weekly Timesheet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5" customHeight="1">
      <c r="A2" s="3" t="inlineStr">
        <is>
          <t>Explore Excel  ·  exploreexcel.com  ·  Overtime applies automatically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4">
      <c r="A4" s="4" t="inlineStr">
        <is>
          <t>Employee</t>
        </is>
      </c>
      <c r="C4" s="5" t="inlineStr"/>
      <c r="E4" s="4" t="inlineStr">
        <is>
          <t>Standard hours/day</t>
        </is>
      </c>
      <c r="G4" s="6" t="n">
        <v>8</v>
      </c>
    </row>
    <row r="5">
      <c r="A5" s="4" t="inlineStr">
        <is>
          <t>Week commencing</t>
        </is>
      </c>
      <c r="C5" s="7" t="inlineStr">
        <is>
          <t>2026-01-05</t>
        </is>
      </c>
      <c r="E5" s="4" t="inlineStr">
        <is>
          <t>Overtime multiplier</t>
        </is>
      </c>
      <c r="G5" s="8" t="n">
        <v>1.5</v>
      </c>
    </row>
    <row r="7" ht="24" customHeight="1">
      <c r="A7" s="9" t="inlineStr">
        <is>
          <t>Date</t>
        </is>
      </c>
      <c r="B7" s="9" t="inlineStr">
        <is>
          <t>Day</t>
        </is>
      </c>
      <c r="C7" s="9" t="inlineStr">
        <is>
          <t>Project code</t>
        </is>
      </c>
      <c r="D7" s="9" t="inlineStr">
        <is>
          <t>Start</t>
        </is>
      </c>
      <c r="E7" s="9" t="inlineStr">
        <is>
          <t>Finish</t>
        </is>
      </c>
      <c r="F7" s="9" t="inlineStr">
        <is>
          <t>Break (hrs)</t>
        </is>
      </c>
      <c r="G7" s="9" t="inlineStr">
        <is>
          <t>Total hours</t>
        </is>
      </c>
      <c r="H7" s="9" t="inlineStr">
        <is>
          <t>Standard</t>
        </is>
      </c>
      <c r="I7" s="9" t="inlineStr">
        <is>
          <t>Overtime</t>
        </is>
      </c>
      <c r="J7" s="9" t="inlineStr">
        <is>
          <t>Notes</t>
        </is>
      </c>
    </row>
    <row r="8">
      <c r="A8" s="10">
        <f>$C$5+0</f>
        <v/>
      </c>
      <c r="B8" s="11" t="inlineStr">
        <is>
          <t>Monday</t>
        </is>
      </c>
      <c r="C8" s="5" t="n"/>
      <c r="D8" s="12" t="n"/>
      <c r="E8" s="12" t="n"/>
      <c r="F8" s="8" t="n"/>
      <c r="G8" s="13">
        <f>IF(OR(D8="",E8=""),0,ROUND((E8-D8)*24-N(F8),2))</f>
        <v/>
      </c>
      <c r="H8" s="13">
        <f>MIN(G8,$G$4)</f>
        <v/>
      </c>
      <c r="I8" s="13">
        <f>MAX(0,G8-$G$4)</f>
        <v/>
      </c>
      <c r="J8" s="5" t="n"/>
    </row>
    <row r="9">
      <c r="A9" s="10">
        <f>$C$5+1</f>
        <v/>
      </c>
      <c r="B9" s="11" t="inlineStr">
        <is>
          <t>Tuesday</t>
        </is>
      </c>
      <c r="C9" s="5" t="n"/>
      <c r="D9" s="12" t="n"/>
      <c r="E9" s="12" t="n"/>
      <c r="F9" s="8" t="n"/>
      <c r="G9" s="13">
        <f>IF(OR(D9="",E9=""),0,ROUND((E9-D9)*24-N(F9),2))</f>
        <v/>
      </c>
      <c r="H9" s="13">
        <f>MIN(G9,$G$4)</f>
        <v/>
      </c>
      <c r="I9" s="13">
        <f>MAX(0,G9-$G$4)</f>
        <v/>
      </c>
      <c r="J9" s="5" t="n"/>
    </row>
    <row r="10">
      <c r="A10" s="10">
        <f>$C$5+2</f>
        <v/>
      </c>
      <c r="B10" s="11" t="inlineStr">
        <is>
          <t>Wednesday</t>
        </is>
      </c>
      <c r="C10" s="5" t="n"/>
      <c r="D10" s="12" t="n"/>
      <c r="E10" s="12" t="n"/>
      <c r="F10" s="8" t="n"/>
      <c r="G10" s="13">
        <f>IF(OR(D10="",E10=""),0,ROUND((E10-D10)*24-N(F10),2))</f>
        <v/>
      </c>
      <c r="H10" s="13">
        <f>MIN(G10,$G$4)</f>
        <v/>
      </c>
      <c r="I10" s="13">
        <f>MAX(0,G10-$G$4)</f>
        <v/>
      </c>
      <c r="J10" s="5" t="n"/>
    </row>
    <row r="11">
      <c r="A11" s="10">
        <f>$C$5+3</f>
        <v/>
      </c>
      <c r="B11" s="11" t="inlineStr">
        <is>
          <t>Thursday</t>
        </is>
      </c>
      <c r="C11" s="5" t="n"/>
      <c r="D11" s="12" t="n"/>
      <c r="E11" s="12" t="n"/>
      <c r="F11" s="8" t="n"/>
      <c r="G11" s="13">
        <f>IF(OR(D11="",E11=""),0,ROUND((E11-D11)*24-N(F11),2))</f>
        <v/>
      </c>
      <c r="H11" s="13">
        <f>MIN(G11,$G$4)</f>
        <v/>
      </c>
      <c r="I11" s="13">
        <f>MAX(0,G11-$G$4)</f>
        <v/>
      </c>
      <c r="J11" s="5" t="n"/>
    </row>
    <row r="12">
      <c r="A12" s="10">
        <f>$C$5+4</f>
        <v/>
      </c>
      <c r="B12" s="11" t="inlineStr">
        <is>
          <t>Friday</t>
        </is>
      </c>
      <c r="C12" s="5" t="n"/>
      <c r="D12" s="12" t="n"/>
      <c r="E12" s="12" t="n"/>
      <c r="F12" s="8" t="n"/>
      <c r="G12" s="13">
        <f>IF(OR(D12="",E12=""),0,ROUND((E12-D12)*24-N(F12),2))</f>
        <v/>
      </c>
      <c r="H12" s="13">
        <f>MIN(G12,$G$4)</f>
        <v/>
      </c>
      <c r="I12" s="13">
        <f>MAX(0,G12-$G$4)</f>
        <v/>
      </c>
      <c r="J12" s="5" t="n"/>
    </row>
    <row r="13">
      <c r="A13" s="10">
        <f>$C$5+5</f>
        <v/>
      </c>
      <c r="B13" s="11" t="inlineStr">
        <is>
          <t>Saturday</t>
        </is>
      </c>
      <c r="C13" s="5" t="n"/>
      <c r="D13" s="12" t="n"/>
      <c r="E13" s="12" t="n"/>
      <c r="F13" s="8" t="n"/>
      <c r="G13" s="13">
        <f>IF(OR(D13="",E13=""),0,ROUND((E13-D13)*24-N(F13),2))</f>
        <v/>
      </c>
      <c r="H13" s="13">
        <f>MIN(G13,$G$4)</f>
        <v/>
      </c>
      <c r="I13" s="13">
        <f>MAX(0,G13-$G$4)</f>
        <v/>
      </c>
      <c r="J13" s="5" t="n"/>
    </row>
    <row r="14">
      <c r="A14" s="10">
        <f>$C$5+6</f>
        <v/>
      </c>
      <c r="B14" s="11" t="inlineStr">
        <is>
          <t>Sunday</t>
        </is>
      </c>
      <c r="C14" s="5" t="n"/>
      <c r="D14" s="12" t="n"/>
      <c r="E14" s="12" t="n"/>
      <c r="F14" s="8" t="n"/>
      <c r="G14" s="13">
        <f>IF(OR(D14="",E14=""),0,ROUND((E14-D14)*24-N(F14),2))</f>
        <v/>
      </c>
      <c r="H14" s="13">
        <f>MIN(G14,$G$4)</f>
        <v/>
      </c>
      <c r="I14" s="13">
        <f>MAX(0,G14-$G$4)</f>
        <v/>
      </c>
      <c r="J14" s="5" t="n"/>
    </row>
    <row r="15">
      <c r="A15" s="14" t="inlineStr">
        <is>
          <t>Week total</t>
        </is>
      </c>
      <c r="B15" s="15" t="n"/>
      <c r="C15" s="15" t="n"/>
      <c r="D15" s="15" t="n"/>
      <c r="E15" s="15" t="n"/>
      <c r="F15" s="15" t="n"/>
      <c r="G15" s="16">
        <f>SUM(G8:G14)</f>
        <v/>
      </c>
      <c r="H15" s="16">
        <f>SUM(H8:H14)</f>
        <v/>
      </c>
      <c r="I15" s="16">
        <f>SUM(I8:I14)</f>
        <v/>
      </c>
      <c r="J15" s="15" t="n"/>
    </row>
    <row r="17">
      <c r="A17" s="4" t="inlineStr">
        <is>
          <t>Cost</t>
        </is>
      </c>
    </row>
    <row r="18">
      <c r="A18" s="17" t="inlineStr">
        <is>
          <t>Hourly rate</t>
        </is>
      </c>
      <c r="C18" s="18" t="n">
        <v>22.5</v>
      </c>
    </row>
    <row r="19">
      <c r="A19" s="17" t="inlineStr">
        <is>
          <t>Standard pay</t>
        </is>
      </c>
      <c r="C19" s="19">
        <f>H15*C18</f>
        <v/>
      </c>
    </row>
    <row r="20">
      <c r="A20" s="17" t="inlineStr">
        <is>
          <t>Overtime pay</t>
        </is>
      </c>
      <c r="C20" s="19">
        <f>I15*C18*$G$5</f>
        <v/>
      </c>
    </row>
    <row r="21">
      <c r="A21" s="20" t="inlineStr">
        <is>
          <t>Total pay</t>
        </is>
      </c>
      <c r="C21" s="21">
        <f>C19+C20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40" customWidth="1" min="4" max="4"/>
  </cols>
  <sheetData>
    <row r="1" ht="26" customHeight="1">
      <c r="A1" s="1" t="inlineStr">
        <is>
          <t>Hours by Project</t>
        </is>
      </c>
      <c r="B1" s="2" t="n"/>
      <c r="C1" s="2" t="n"/>
      <c r="D1" s="2" t="n"/>
    </row>
    <row r="2" ht="15" customHeight="1">
      <c r="A2" s="3" t="inlineStr">
        <is>
          <t>Enter your project codes; hours pull from the timesheet.</t>
        </is>
      </c>
      <c r="B2" s="2" t="n"/>
      <c r="C2" s="2" t="n"/>
      <c r="D2" s="2" t="n"/>
    </row>
    <row r="4" ht="24" customHeight="1">
      <c r="A4" s="9" t="inlineStr">
        <is>
          <t>Project code</t>
        </is>
      </c>
      <c r="B4" s="9" t="inlineStr">
        <is>
          <t>Hours</t>
        </is>
      </c>
      <c r="C4" s="9" t="inlineStr">
        <is>
          <t>Cost</t>
        </is>
      </c>
      <c r="D4" s="9" t="inlineStr"/>
    </row>
    <row r="5">
      <c r="A5" s="5" t="n"/>
      <c r="B5" s="13">
        <f>IF(A5="","",SUMIFS(Timesheet!$G$8:$G$14,Timesheet!$C$8:$C$14,A5))</f>
        <v/>
      </c>
      <c r="C5" s="19">
        <f>IF(A5="","",B5*Timesheet!$C$18)</f>
        <v/>
      </c>
    </row>
    <row r="6">
      <c r="A6" s="5" t="n"/>
      <c r="B6" s="13">
        <f>IF(A6="","",SUMIFS(Timesheet!$G$8:$G$14,Timesheet!$C$8:$C$14,A6))</f>
        <v/>
      </c>
      <c r="C6" s="19">
        <f>IF(A6="","",B6*Timesheet!$C$18)</f>
        <v/>
      </c>
    </row>
    <row r="7">
      <c r="A7" s="5" t="n"/>
      <c r="B7" s="13">
        <f>IF(A7="","",SUMIFS(Timesheet!$G$8:$G$14,Timesheet!$C$8:$C$14,A7))</f>
        <v/>
      </c>
      <c r="C7" s="19">
        <f>IF(A7="","",B7*Timesheet!$C$18)</f>
        <v/>
      </c>
    </row>
    <row r="8">
      <c r="A8" s="5" t="n"/>
      <c r="B8" s="13">
        <f>IF(A8="","",SUMIFS(Timesheet!$G$8:$G$14,Timesheet!$C$8:$C$14,A8))</f>
        <v/>
      </c>
      <c r="C8" s="19">
        <f>IF(A8="","",B8*Timesheet!$C$18)</f>
        <v/>
      </c>
    </row>
    <row r="9">
      <c r="A9" s="5" t="n"/>
      <c r="B9" s="13">
        <f>IF(A9="","",SUMIFS(Timesheet!$G$8:$G$14,Timesheet!$C$8:$C$14,A9))</f>
        <v/>
      </c>
      <c r="C9" s="19">
        <f>IF(A9="","",B9*Timesheet!$C$18)</f>
        <v/>
      </c>
    </row>
    <row r="10">
      <c r="A10" s="5" t="n"/>
      <c r="B10" s="13">
        <f>IF(A10="","",SUMIFS(Timesheet!$G$8:$G$14,Timesheet!$C$8:$C$14,A10))</f>
        <v/>
      </c>
      <c r="C10" s="19">
        <f>IF(A10="","",B10*Timesheet!$C$18)</f>
        <v/>
      </c>
    </row>
    <row r="11">
      <c r="A11" s="5" t="n"/>
      <c r="B11" s="13">
        <f>IF(A11="","",SUMIFS(Timesheet!$G$8:$G$14,Timesheet!$C$8:$C$14,A11))</f>
        <v/>
      </c>
      <c r="C11" s="19">
        <f>IF(A11="","",B11*Timesheet!$C$18)</f>
        <v/>
      </c>
    </row>
    <row r="12">
      <c r="A12" s="5" t="n"/>
      <c r="B12" s="13">
        <f>IF(A12="","",SUMIFS(Timesheet!$G$8:$G$14,Timesheet!$C$8:$C$14,A12))</f>
        <v/>
      </c>
      <c r="C12" s="19">
        <f>IF(A12="","",B12*Timesheet!$C$18)</f>
        <v/>
      </c>
    </row>
    <row r="13">
      <c r="A13" s="5" t="n"/>
      <c r="B13" s="13">
        <f>IF(A13="","",SUMIFS(Timesheet!$G$8:$G$14,Timesheet!$C$8:$C$14,A13))</f>
        <v/>
      </c>
      <c r="C13" s="19">
        <f>IF(A13="","",B13*Timesheet!$C$18)</f>
        <v/>
      </c>
    </row>
    <row r="14">
      <c r="A14" s="5" t="n"/>
      <c r="B14" s="13">
        <f>IF(A14="","",SUMIFS(Timesheet!$G$8:$G$14,Timesheet!$C$8:$C$14,A14))</f>
        <v/>
      </c>
      <c r="C14" s="19">
        <f>IF(A14="","",B14*Timesheet!$C$18)</f>
        <v/>
      </c>
    </row>
    <row r="15">
      <c r="A15" s="5" t="n"/>
      <c r="B15" s="13">
        <f>IF(A15="","",SUMIFS(Timesheet!$G$8:$G$14,Timesheet!$C$8:$C$14,A15))</f>
        <v/>
      </c>
      <c r="C15" s="19">
        <f>IF(A15="","",B15*Timesheet!$C$18)</f>
        <v/>
      </c>
    </row>
    <row r="16">
      <c r="A16" s="5" t="n"/>
      <c r="B16" s="13">
        <f>IF(A16="","",SUMIFS(Timesheet!$G$8:$G$14,Timesheet!$C$8:$C$14,A16))</f>
        <v/>
      </c>
      <c r="C16" s="19">
        <f>IF(A16="","",B16*Timesheet!$C$18)</f>
        <v/>
      </c>
    </row>
    <row r="18">
      <c r="A18" s="22" t="inlineStr">
        <is>
          <t>Total</t>
        </is>
      </c>
      <c r="B18" s="16">
        <f>SUM(B5:B16)</f>
        <v/>
      </c>
      <c r="C18" s="21">
        <f>SUM(C5:C16)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</cols>
  <sheetData>
    <row r="1" ht="26" customHeight="1">
      <c r="A1" s="1" t="inlineStr">
        <is>
          <t>How this workbook works</t>
        </is>
      </c>
      <c r="B1" s="2" t="n"/>
      <c r="C1" s="2" t="n"/>
    </row>
    <row r="2" ht="15" customHeight="1">
      <c r="A2" s="3" t="inlineStr">
        <is>
          <t>Explore Excel  ·  exploreexcel.com</t>
        </is>
      </c>
      <c r="B2" s="2" t="n"/>
      <c r="C2" s="2" t="n"/>
    </row>
    <row r="4">
      <c r="A4" s="23" t="inlineStr">
        <is>
          <t>What this is</t>
        </is>
      </c>
    </row>
    <row r="5" ht="34" customHeight="1">
      <c r="A5" s="24" t="inlineStr">
        <is>
          <t>A weekly timesheet that splits hours into standard and overtime, costs both at the right rate, and totals hours by project code.</t>
        </is>
      </c>
    </row>
    <row r="7">
      <c r="A7" s="23" t="inlineStr">
        <is>
          <t>Entering times</t>
        </is>
      </c>
    </row>
    <row r="8" ht="34" customHeight="1">
      <c r="A8" s="24" t="inlineStr">
        <is>
          <t>Type start and finish as times, for example 09:00 and 17:30. Enter breaks in hours as a decimal — half an hour is 0.5, not 0:30. Total hours calculates from these.</t>
        </is>
      </c>
    </row>
    <row r="10">
      <c r="A10" s="23" t="inlineStr">
        <is>
          <t>How overtime is decided</t>
        </is>
      </c>
    </row>
    <row r="11" ht="34" customHeight="1">
      <c r="A11" s="24" t="inlineStr">
        <is>
          <t>Anything above the standard hours per day counts as overtime for that day. This is a daily test, not a weekly one. If your rules run weekly instead, change column I to compare the week total against a weekly threshold.</t>
        </is>
      </c>
    </row>
    <row r="13">
      <c r="A13" s="23" t="inlineStr">
        <is>
          <t>A caution on time arithmetic</t>
        </is>
      </c>
    </row>
    <row r="14" ht="34" customHeight="1">
      <c r="A14" s="24" t="inlineStr">
        <is>
          <t>Excel stores times as fractions of a day, which is why the formula multiplies by 24. A shift crossing midnight will give a negative result — if you run night shifts, change the formula to add 1 when finish is earlier than start.</t>
        </is>
      </c>
    </row>
    <row r="16">
      <c r="A16" s="23" t="inlineStr">
        <is>
          <t>Project codes</t>
        </is>
      </c>
    </row>
    <row r="17" ht="34" customHeight="1">
      <c r="A17" s="24" t="inlineStr">
        <is>
          <t>Enter the same code on the timesheet and on the By project sheet, spelled identically. A trailing space makes them different values and the hours will not add up.</t>
        </is>
      </c>
    </row>
  </sheetData>
  <mergeCells count="12">
    <mergeCell ref="A10:C10"/>
    <mergeCell ref="A13:C13"/>
    <mergeCell ref="A11:C11"/>
    <mergeCell ref="A1:C1"/>
    <mergeCell ref="A5:C5"/>
    <mergeCell ref="A16:C16"/>
    <mergeCell ref="A8:C8"/>
    <mergeCell ref="A14:C14"/>
    <mergeCell ref="A17:C17"/>
    <mergeCell ref="A7:C7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2026-07-23T18:22:56Z</dcterms:created>
  <dcterms:modified xmlns:dcterms="http://purl.org/dc/terms/" xmlns:xsi="http://www.w3.org/2001/XMLSchema-instance" xsi:type="dcterms:W3CDTF">2026-07-23T18:22:56Z</dcterms:modified>
</cp:coreProperties>
</file>