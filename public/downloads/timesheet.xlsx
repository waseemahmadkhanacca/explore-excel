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2F02B7D8-52AB-4D19-8480-75774C01EA63}" xr6:coauthVersionLast="36" xr6:coauthVersionMax="36" xr10:uidLastSave="{00000000-0000-0000-0000-000000000000}"/>
  <bookViews>
    <workbookView xWindow="0" yWindow="0" windowWidth="23040" windowHeight="12684" xr2:uid="{00000000-000D-0000-FFFF-FFFF00000000}"/>
  </bookViews>
  <sheets>
    <sheet name="Timesheet" sheetId="1" r:id="rId1"/>
    <sheet name="By project" sheetId="2" r:id="rId2"/>
    <sheet name="Read me" sheetId="3" r:id="rId3"/>
  </sheets>
  <calcPr calcId="191029"/>
</workbook>
</file>

<file path=xl/calcChain.xml><?xml version="1.0" encoding="utf-8"?>
<calcChain xmlns="http://schemas.openxmlformats.org/spreadsheetml/2006/main">
  <c r="C16" i="2" l="1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C18" i="2" s="1"/>
  <c r="B5" i="2"/>
  <c r="B18" i="2" s="1"/>
  <c r="G14" i="1"/>
  <c r="I14" i="1" s="1"/>
  <c r="A14" i="1"/>
  <c r="G13" i="1"/>
  <c r="I13" i="1" s="1"/>
  <c r="A13" i="1"/>
  <c r="G12" i="1"/>
  <c r="I12" i="1" s="1"/>
  <c r="A12" i="1"/>
  <c r="G11" i="1"/>
  <c r="I11" i="1" s="1"/>
  <c r="A11" i="1"/>
  <c r="G10" i="1"/>
  <c r="I10" i="1" s="1"/>
  <c r="A10" i="1"/>
  <c r="I9" i="1"/>
  <c r="H9" i="1"/>
  <c r="G9" i="1"/>
  <c r="A9" i="1"/>
  <c r="G8" i="1"/>
  <c r="I8" i="1" s="1"/>
  <c r="I15" i="1" s="1"/>
  <c r="C20" i="1" s="1"/>
  <c r="A8" i="1"/>
  <c r="H14" i="1" l="1"/>
  <c r="H10" i="1"/>
  <c r="G15" i="1"/>
  <c r="H11" i="1"/>
  <c r="H12" i="1"/>
  <c r="H8" i="1"/>
  <c r="H13" i="1"/>
  <c r="H15" i="1" l="1"/>
  <c r="C19" i="1" s="1"/>
  <c r="C21" i="1" s="1"/>
</calcChain>
</file>

<file path=xl/sharedStrings.xml><?xml version="1.0" encoding="utf-8"?>
<sst xmlns="http://schemas.openxmlformats.org/spreadsheetml/2006/main" count="48" uniqueCount="46">
  <si>
    <t>Weekly Timesheet</t>
  </si>
  <si>
    <t>Explore Excel  ·  exploreexcel.com  ·  Overtime applies automatically</t>
  </si>
  <si>
    <t>Employee</t>
  </si>
  <si>
    <t>Standard hours/day</t>
  </si>
  <si>
    <t>Week commencing</t>
  </si>
  <si>
    <t>2026-01-05</t>
  </si>
  <si>
    <t>Overtime multiplier</t>
  </si>
  <si>
    <t>Date</t>
  </si>
  <si>
    <t>Day</t>
  </si>
  <si>
    <t>Project code</t>
  </si>
  <si>
    <t>Start</t>
  </si>
  <si>
    <t>Finish</t>
  </si>
  <si>
    <t>Break (hrs)</t>
  </si>
  <si>
    <t>Total hours</t>
  </si>
  <si>
    <t>Standard</t>
  </si>
  <si>
    <t>Overtime</t>
  </si>
  <si>
    <t>Notes</t>
  </si>
  <si>
    <t>Monday</t>
  </si>
  <si>
    <t>Tuesday</t>
  </si>
  <si>
    <t>Wednesday</t>
  </si>
  <si>
    <t>Thursday</t>
  </si>
  <si>
    <t>Friday</t>
  </si>
  <si>
    <t>Saturday</t>
  </si>
  <si>
    <t>Sunday</t>
  </si>
  <si>
    <t>Week total</t>
  </si>
  <si>
    <t>Cost</t>
  </si>
  <si>
    <t>Hourly rate</t>
  </si>
  <si>
    <t>Standard pay</t>
  </si>
  <si>
    <t>Overtime pay</t>
  </si>
  <si>
    <t>Total pay</t>
  </si>
  <si>
    <t>Hours by Project</t>
  </si>
  <si>
    <t>Enter your project codes; hours pull from the timesheet.</t>
  </si>
  <si>
    <t>Hours</t>
  </si>
  <si>
    <t>Total</t>
  </si>
  <si>
    <t>How this workbook works</t>
  </si>
  <si>
    <t>Explore Excel  ·  exploreexcel.com</t>
  </si>
  <si>
    <t>What this is</t>
  </si>
  <si>
    <t>A weekly timesheet that splits hours into standard and overtime, costs both at the right rate, and totals hours by project code.</t>
  </si>
  <si>
    <t>Entering times</t>
  </si>
  <si>
    <t>Type start and finish as times, for example 09:00 and 17:30. Enter breaks in hours as a decimal — half an hour is 0.5, not 0:30. Total hours calculates from these.</t>
  </si>
  <si>
    <t>How overtime is decided</t>
  </si>
  <si>
    <t>Anything above the standard hours per day counts as overtime for that day. This is a daily test, not a weekly one. If your rules run weekly instead, change column I to compare the week total against a weekly threshold.</t>
  </si>
  <si>
    <t>A caution on time arithmetic</t>
  </si>
  <si>
    <t>Excel stores times as fractions of a day, which is why the formula multiplies by 24. A shift crossing midnight will give a negative result — if you run night shifts, change the formula to add 1 when finish is earlier than start.</t>
  </si>
  <si>
    <t>Project codes</t>
  </si>
  <si>
    <t>Enter the same code on the timesheet and on the By project sheet, spelled identically. A trailing space makes them different values and the hours will not add 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</si>
</sst>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"/>
    <numFmt numFmtId="165" formatCode="#,##0;\(#,##0\);&quot;-&quot;"/>
    <numFmt numFmtId="166" formatCode="hh:mm"/>
    <numFmt numFmtId="167" formatCode="#,##0.00;\(#,##0.00\);&quot;-&quot;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C6E4D9"/>
      <name val="Arial"/>
    </font>
    <font>
      <b/>
      <sz val="11"/>
      <color rgb="FF0A4A3A"/>
      <name val="Arial"/>
    </font>
    <font>
      <sz val="10"/>
      <color rgb="FF0000FF"/>
      <name val="Arial"/>
    </font>
    <font>
      <b/>
      <sz val="10"/>
      <color rgb="FFFFFFFF"/>
      <name val="Arial"/>
    </font>
    <font>
      <sz val="10"/>
      <color rgb="FF141414"/>
      <name val="Arial"/>
    </font>
    <font>
      <b/>
      <sz val="10"/>
      <color rgb="FF0A4A3A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FFFDF0"/>
        <bgColor rgb="FFFFFDF0"/>
      </patternFill>
    </fill>
    <fill>
      <patternFill patternType="solid">
        <fgColor rgb="FFE1F5EE"/>
        <b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165" fontId="4" fillId="3" borderId="1" xfId="0" applyNumberFormat="1" applyFont="1" applyFill="1" applyBorder="1"/>
    <xf numFmtId="164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/>
    <xf numFmtId="0" fontId="6" fillId="0" borderId="1" xfId="0" applyFont="1" applyBorder="1"/>
    <xf numFmtId="166" fontId="4" fillId="3" borderId="1" xfId="0" applyNumberFormat="1" applyFont="1" applyFill="1" applyBorder="1"/>
    <xf numFmtId="2" fontId="6" fillId="0" borderId="1" xfId="0" applyNumberFormat="1" applyFont="1" applyBorder="1"/>
    <xf numFmtId="0" fontId="7" fillId="4" borderId="1" xfId="0" applyFont="1" applyFill="1" applyBorder="1"/>
    <xf numFmtId="0" fontId="0" fillId="4" borderId="1" xfId="0" applyFill="1" applyBorder="1"/>
    <xf numFmtId="2" fontId="7" fillId="4" borderId="1" xfId="0" applyNumberFormat="1" applyFont="1" applyFill="1" applyBorder="1"/>
    <xf numFmtId="0" fontId="6" fillId="0" borderId="0" xfId="0" applyFont="1"/>
    <xf numFmtId="167" fontId="4" fillId="3" borderId="1" xfId="0" applyNumberFormat="1" applyFont="1" applyFill="1" applyBorder="1"/>
    <xf numFmtId="167" fontId="6" fillId="0" borderId="1" xfId="0" applyNumberFormat="1" applyFont="1" applyBorder="1"/>
    <xf numFmtId="0" fontId="7" fillId="0" borderId="0" xfId="0" applyFont="1"/>
    <xf numFmtId="167" fontId="7" fillId="4" borderId="1" xfId="0" applyNumberFormat="1" applyFont="1" applyFill="1" applyBorder="1"/>
    <xf numFmtId="0" fontId="7" fillId="4" borderId="0" xfId="0" applyFont="1" applyFill="1"/>
    <xf numFmtId="0" fontId="1" fillId="2" borderId="0" xfId="0" applyFont="1" applyFill="1" applyAlignment="1">
      <alignment vertical="center" indent="1"/>
    </xf>
    <xf numFmtId="0" fontId="0" fillId="2" borderId="0" xfId="0" applyFill="1"/>
    <xf numFmtId="0" fontId="2" fillId="2" borderId="0" xfId="0" applyFont="1" applyFill="1" applyAlignment="1">
      <alignment vertical="center" indent="1"/>
    </xf>
    <xf numFmtId="0" fontId="3" fillId="0" borderId="0" xfId="0" applyFont="1" applyAlignment="1">
      <alignment vertical="top" wrapText="1"/>
    </xf>
    <xf numFmtId="0" fontId="0" fillId="0" borderId="0" xfId="0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showGridLines="0" tabSelected="1" workbookViewId="0">
      <selection sqref="A1:J1"/>
    </sheetView>
  </sheetViews>
  <sheetFormatPr defaultRowHeight="14.4" x14ac:dyDescent="0.3"/>
  <cols>
    <col min="1" max="1" width="13" customWidth="1"/>
    <col min="2" max="2" width="12" customWidth="1"/>
    <col min="3" max="3" width="14" customWidth="1"/>
    <col min="4" max="5" width="10" customWidth="1"/>
    <col min="6" max="7" width="12" customWidth="1"/>
    <col min="8" max="9" width="11" customWidth="1"/>
    <col min="10" max="10" width="30" customWidth="1"/>
  </cols>
  <sheetData>
    <row r="1" spans="1:10" ht="25.9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15" customHeight="1" x14ac:dyDescent="0.3">
      <c r="A2" s="22" t="s">
        <v>1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x14ac:dyDescent="0.3">
      <c r="A4" s="1" t="s">
        <v>2</v>
      </c>
      <c r="C4" s="2"/>
      <c r="E4" s="1" t="s">
        <v>3</v>
      </c>
      <c r="G4" s="3">
        <v>8</v>
      </c>
    </row>
    <row r="5" spans="1:10" x14ac:dyDescent="0.3">
      <c r="A5" s="1" t="s">
        <v>4</v>
      </c>
      <c r="C5" s="4" t="s">
        <v>5</v>
      </c>
      <c r="E5" s="1" t="s">
        <v>6</v>
      </c>
      <c r="G5" s="5">
        <v>1.5</v>
      </c>
    </row>
    <row r="7" spans="1:10" ht="24" customHeight="1" x14ac:dyDescent="0.3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</row>
    <row r="8" spans="1:10" x14ac:dyDescent="0.3">
      <c r="A8" s="7">
        <f>$C$5+0</f>
        <v>46027</v>
      </c>
      <c r="B8" s="8" t="s">
        <v>17</v>
      </c>
      <c r="C8" s="2"/>
      <c r="D8" s="9"/>
      <c r="E8" s="9"/>
      <c r="F8" s="5"/>
      <c r="G8" s="10">
        <f t="shared" ref="G8:G14" si="0">IF(OR(D8="",E8=""),0,ROUND((E8-D8)*24-N(F8),2))</f>
        <v>0</v>
      </c>
      <c r="H8" s="10">
        <f t="shared" ref="H8:H14" si="1">MIN(G8,$G$4)</f>
        <v>0</v>
      </c>
      <c r="I8" s="10">
        <f t="shared" ref="I8:I14" si="2">MAX(0,G8-$G$4)</f>
        <v>0</v>
      </c>
      <c r="J8" s="2"/>
    </row>
    <row r="9" spans="1:10" x14ac:dyDescent="0.3">
      <c r="A9" s="7">
        <f>$C$5+1</f>
        <v>46028</v>
      </c>
      <c r="B9" s="8" t="s">
        <v>18</v>
      </c>
      <c r="C9" s="2"/>
      <c r="D9" s="9"/>
      <c r="E9" s="9"/>
      <c r="F9" s="5"/>
      <c r="G9" s="10">
        <f t="shared" si="0"/>
        <v>0</v>
      </c>
      <c r="H9" s="10">
        <f t="shared" si="1"/>
        <v>0</v>
      </c>
      <c r="I9" s="10">
        <f t="shared" si="2"/>
        <v>0</v>
      </c>
      <c r="J9" s="2"/>
    </row>
    <row r="10" spans="1:10" x14ac:dyDescent="0.3">
      <c r="A10" s="7">
        <f>$C$5+2</f>
        <v>46029</v>
      </c>
      <c r="B10" s="8" t="s">
        <v>19</v>
      </c>
      <c r="C10" s="2"/>
      <c r="D10" s="9"/>
      <c r="E10" s="9"/>
      <c r="F10" s="5"/>
      <c r="G10" s="10">
        <f t="shared" si="0"/>
        <v>0</v>
      </c>
      <c r="H10" s="10">
        <f t="shared" si="1"/>
        <v>0</v>
      </c>
      <c r="I10" s="10">
        <f t="shared" si="2"/>
        <v>0</v>
      </c>
      <c r="J10" s="2"/>
    </row>
    <row r="11" spans="1:10" x14ac:dyDescent="0.3">
      <c r="A11" s="7">
        <f>$C$5+3</f>
        <v>46030</v>
      </c>
      <c r="B11" s="8" t="s">
        <v>20</v>
      </c>
      <c r="C11" s="2"/>
      <c r="D11" s="9"/>
      <c r="E11" s="9"/>
      <c r="F11" s="5"/>
      <c r="G11" s="10">
        <f t="shared" si="0"/>
        <v>0</v>
      </c>
      <c r="H11" s="10">
        <f t="shared" si="1"/>
        <v>0</v>
      </c>
      <c r="I11" s="10">
        <f t="shared" si="2"/>
        <v>0</v>
      </c>
      <c r="J11" s="2"/>
    </row>
    <row r="12" spans="1:10" x14ac:dyDescent="0.3">
      <c r="A12" s="7">
        <f>$C$5+4</f>
        <v>46031</v>
      </c>
      <c r="B12" s="8" t="s">
        <v>21</v>
      </c>
      <c r="C12" s="2"/>
      <c r="D12" s="9"/>
      <c r="E12" s="9"/>
      <c r="F12" s="5"/>
      <c r="G12" s="10">
        <f t="shared" si="0"/>
        <v>0</v>
      </c>
      <c r="H12" s="10">
        <f t="shared" si="1"/>
        <v>0</v>
      </c>
      <c r="I12" s="10">
        <f t="shared" si="2"/>
        <v>0</v>
      </c>
      <c r="J12" s="2"/>
    </row>
    <row r="13" spans="1:10" x14ac:dyDescent="0.3">
      <c r="A13" s="7">
        <f>$C$5+5</f>
        <v>46032</v>
      </c>
      <c r="B13" s="8" t="s">
        <v>22</v>
      </c>
      <c r="C13" s="2"/>
      <c r="D13" s="9"/>
      <c r="E13" s="9"/>
      <c r="F13" s="5"/>
      <c r="G13" s="10">
        <f t="shared" si="0"/>
        <v>0</v>
      </c>
      <c r="H13" s="10">
        <f t="shared" si="1"/>
        <v>0</v>
      </c>
      <c r="I13" s="10">
        <f t="shared" si="2"/>
        <v>0</v>
      </c>
      <c r="J13" s="2"/>
    </row>
    <row r="14" spans="1:10" x14ac:dyDescent="0.3">
      <c r="A14" s="7">
        <f>$C$5+6</f>
        <v>46033</v>
      </c>
      <c r="B14" s="8" t="s">
        <v>23</v>
      </c>
      <c r="C14" s="2"/>
      <c r="D14" s="9"/>
      <c r="E14" s="9"/>
      <c r="F14" s="5"/>
      <c r="G14" s="10">
        <f t="shared" si="0"/>
        <v>0</v>
      </c>
      <c r="H14" s="10">
        <f t="shared" si="1"/>
        <v>0</v>
      </c>
      <c r="I14" s="10">
        <f t="shared" si="2"/>
        <v>0</v>
      </c>
      <c r="J14" s="2"/>
    </row>
    <row r="15" spans="1:10" x14ac:dyDescent="0.3">
      <c r="A15" s="11" t="s">
        <v>24</v>
      </c>
      <c r="B15" s="12"/>
      <c r="C15" s="12"/>
      <c r="D15" s="12"/>
      <c r="E15" s="12"/>
      <c r="F15" s="12"/>
      <c r="G15" s="13">
        <f>SUM(G8:G14)</f>
        <v>0</v>
      </c>
      <c r="H15" s="13">
        <f>SUM(H8:H14)</f>
        <v>0</v>
      </c>
      <c r="I15" s="13">
        <f>SUM(I8:I14)</f>
        <v>0</v>
      </c>
      <c r="J15" s="12"/>
    </row>
    <row r="17" spans="1:3" x14ac:dyDescent="0.3">
      <c r="A17" s="1" t="s">
        <v>25</v>
      </c>
    </row>
    <row r="18" spans="1:3" x14ac:dyDescent="0.3">
      <c r="A18" s="14" t="s">
        <v>26</v>
      </c>
      <c r="C18" s="15">
        <v>22.5</v>
      </c>
    </row>
    <row r="19" spans="1:3" x14ac:dyDescent="0.3">
      <c r="A19" s="14" t="s">
        <v>27</v>
      </c>
      <c r="C19" s="16">
        <f>H15*C18</f>
        <v>0</v>
      </c>
    </row>
    <row r="20" spans="1:3" x14ac:dyDescent="0.3">
      <c r="A20" s="14" t="s">
        <v>28</v>
      </c>
      <c r="C20" s="16">
        <f>I15*C18*$G$5</f>
        <v>0</v>
      </c>
    </row>
    <row r="21" spans="1:3" x14ac:dyDescent="0.3">
      <c r="A21" s="17" t="s">
        <v>29</v>
      </c>
      <c r="C21" s="18">
        <f>C19+C20</f>
        <v>0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selection sqref="A1:D1"/>
    </sheetView>
  </sheetViews>
  <sheetFormatPr defaultRowHeight="14.4" x14ac:dyDescent="0.3"/>
  <cols>
    <col min="1" max="1" width="18" customWidth="1"/>
    <col min="2" max="2" width="12" customWidth="1"/>
    <col min="3" max="3" width="14" customWidth="1"/>
    <col min="4" max="4" width="40" customWidth="1"/>
  </cols>
  <sheetData>
    <row r="1" spans="1:4" ht="25.95" customHeight="1" x14ac:dyDescent="0.3">
      <c r="A1" s="20" t="s">
        <v>30</v>
      </c>
      <c r="B1" s="21"/>
      <c r="C1" s="21"/>
      <c r="D1" s="21"/>
    </row>
    <row r="2" spans="1:4" ht="15" customHeight="1" x14ac:dyDescent="0.3">
      <c r="A2" s="22" t="s">
        <v>31</v>
      </c>
      <c r="B2" s="21"/>
      <c r="C2" s="21"/>
      <c r="D2" s="21"/>
    </row>
    <row r="4" spans="1:4" ht="24" customHeight="1" x14ac:dyDescent="0.3">
      <c r="A4" s="6" t="s">
        <v>9</v>
      </c>
      <c r="B4" s="6" t="s">
        <v>32</v>
      </c>
      <c r="C4" s="6" t="s">
        <v>25</v>
      </c>
      <c r="D4" s="6"/>
    </row>
    <row r="5" spans="1:4" x14ac:dyDescent="0.3">
      <c r="A5" s="2"/>
      <c r="B5" s="10" t="str">
        <f>IF(A5="","",SUMIFS(Timesheet!$G$8:$G$14,Timesheet!$C$8:$C$14,A5))</f>
        <v/>
      </c>
      <c r="C5" s="16" t="str">
        <f>IF(A5="","",B5*Timesheet!$C$18)</f>
        <v/>
      </c>
    </row>
    <row r="6" spans="1:4" x14ac:dyDescent="0.3">
      <c r="A6" s="2"/>
      <c r="B6" s="10" t="str">
        <f>IF(A6="","",SUMIFS(Timesheet!$G$8:$G$14,Timesheet!$C$8:$C$14,A6))</f>
        <v/>
      </c>
      <c r="C6" s="16" t="str">
        <f>IF(A6="","",B6*Timesheet!$C$18)</f>
        <v/>
      </c>
    </row>
    <row r="7" spans="1:4" x14ac:dyDescent="0.3">
      <c r="A7" s="2"/>
      <c r="B7" s="10" t="str">
        <f>IF(A7="","",SUMIFS(Timesheet!$G$8:$G$14,Timesheet!$C$8:$C$14,A7))</f>
        <v/>
      </c>
      <c r="C7" s="16" t="str">
        <f>IF(A7="","",B7*Timesheet!$C$18)</f>
        <v/>
      </c>
    </row>
    <row r="8" spans="1:4" x14ac:dyDescent="0.3">
      <c r="A8" s="2"/>
      <c r="B8" s="10" t="str">
        <f>IF(A8="","",SUMIFS(Timesheet!$G$8:$G$14,Timesheet!$C$8:$C$14,A8))</f>
        <v/>
      </c>
      <c r="C8" s="16" t="str">
        <f>IF(A8="","",B8*Timesheet!$C$18)</f>
        <v/>
      </c>
    </row>
    <row r="9" spans="1:4" x14ac:dyDescent="0.3">
      <c r="A9" s="2"/>
      <c r="B9" s="10" t="str">
        <f>IF(A9="","",SUMIFS(Timesheet!$G$8:$G$14,Timesheet!$C$8:$C$14,A9))</f>
        <v/>
      </c>
      <c r="C9" s="16" t="str">
        <f>IF(A9="","",B9*Timesheet!$C$18)</f>
        <v/>
      </c>
    </row>
    <row r="10" spans="1:4" x14ac:dyDescent="0.3">
      <c r="A10" s="2"/>
      <c r="B10" s="10" t="str">
        <f>IF(A10="","",SUMIFS(Timesheet!$G$8:$G$14,Timesheet!$C$8:$C$14,A10))</f>
        <v/>
      </c>
      <c r="C10" s="16" t="str">
        <f>IF(A10="","",B10*Timesheet!$C$18)</f>
        <v/>
      </c>
    </row>
    <row r="11" spans="1:4" x14ac:dyDescent="0.3">
      <c r="A11" s="2"/>
      <c r="B11" s="10" t="str">
        <f>IF(A11="","",SUMIFS(Timesheet!$G$8:$G$14,Timesheet!$C$8:$C$14,A11))</f>
        <v/>
      </c>
      <c r="C11" s="16" t="str">
        <f>IF(A11="","",B11*Timesheet!$C$18)</f>
        <v/>
      </c>
    </row>
    <row r="12" spans="1:4" x14ac:dyDescent="0.3">
      <c r="A12" s="2"/>
      <c r="B12" s="10" t="str">
        <f>IF(A12="","",SUMIFS(Timesheet!$G$8:$G$14,Timesheet!$C$8:$C$14,A12))</f>
        <v/>
      </c>
      <c r="C12" s="16" t="str">
        <f>IF(A12="","",B12*Timesheet!$C$18)</f>
        <v/>
      </c>
    </row>
    <row r="13" spans="1:4" x14ac:dyDescent="0.3">
      <c r="A13" s="2"/>
      <c r="B13" s="10" t="str">
        <f>IF(A13="","",SUMIFS(Timesheet!$G$8:$G$14,Timesheet!$C$8:$C$14,A13))</f>
        <v/>
      </c>
      <c r="C13" s="16" t="str">
        <f>IF(A13="","",B13*Timesheet!$C$18)</f>
        <v/>
      </c>
    </row>
    <row r="14" spans="1:4" x14ac:dyDescent="0.3">
      <c r="A14" s="2"/>
      <c r="B14" s="10" t="str">
        <f>IF(A14="","",SUMIFS(Timesheet!$G$8:$G$14,Timesheet!$C$8:$C$14,A14))</f>
        <v/>
      </c>
      <c r="C14" s="16" t="str">
        <f>IF(A14="","",B14*Timesheet!$C$18)</f>
        <v/>
      </c>
    </row>
    <row r="15" spans="1:4" x14ac:dyDescent="0.3">
      <c r="A15" s="2"/>
      <c r="B15" s="10" t="str">
        <f>IF(A15="","",SUMIFS(Timesheet!$G$8:$G$14,Timesheet!$C$8:$C$14,A15))</f>
        <v/>
      </c>
      <c r="C15" s="16" t="str">
        <f>IF(A15="","",B15*Timesheet!$C$18)</f>
        <v/>
      </c>
    </row>
    <row r="16" spans="1:4" x14ac:dyDescent="0.3">
      <c r="A16" s="2"/>
      <c r="B16" s="10" t="str">
        <f>IF(A16="","",SUMIFS(Timesheet!$G$8:$G$14,Timesheet!$C$8:$C$14,A16))</f>
        <v/>
      </c>
      <c r="C16" s="16" t="str">
        <f>IF(A16="","",B16*Timesheet!$C$18)</f>
        <v/>
      </c>
    </row>
    <row r="18" spans="1:3" x14ac:dyDescent="0.3">
      <c r="A18" s="19" t="s">
        <v>33</v>
      </c>
      <c r="B18" s="13">
        <f>SUM(B5:B16)</f>
        <v>0</v>
      </c>
      <c r="C18" s="18">
        <f>SUM(C5:C16)</f>
        <v>0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showGridLines="0" workbookViewId="0">
      <selection sqref="A1:C1"/>
    </sheetView>
  </sheetViews>
  <sheetFormatPr defaultRowHeight="14.4" x14ac:dyDescent="0.3"/>
  <cols>
    <col min="1" max="1" width="40" customWidth="1"/>
    <col min="2" max="3" width="30" customWidth="1"/>
  </cols>
  <sheetData>
    <row r="1" spans="1:3" ht="25.95" customHeight="1" x14ac:dyDescent="0.3">
      <c r="A1" s="20" t="s">
        <v>34</v>
      </c>
      <c r="B1" s="21"/>
      <c r="C1" s="21"/>
    </row>
    <row r="2" spans="1:3" ht="15" customHeight="1" x14ac:dyDescent="0.3">
      <c r="A2" s="22" t="s">
        <v>35</v>
      </c>
      <c r="B2" s="21"/>
      <c r="C2" s="21"/>
    </row>
    <row r="4" spans="1:3" x14ac:dyDescent="0.3">
      <c r="A4" s="23" t="s">
        <v>36</v>
      </c>
      <c r="B4" s="24"/>
      <c r="C4" s="24"/>
    </row>
    <row r="5" spans="1:3" ht="34.049999999999997" customHeight="1" x14ac:dyDescent="0.3">
      <c r="A5" s="25" t="s">
        <v>37</v>
      </c>
      <c r="B5" s="24"/>
      <c r="C5" s="24"/>
    </row>
    <row r="7" spans="1:3" x14ac:dyDescent="0.3">
      <c r="A7" s="23" t="s">
        <v>38</v>
      </c>
      <c r="B7" s="24"/>
      <c r="C7" s="24"/>
    </row>
    <row r="8" spans="1:3" ht="34.049999999999997" customHeight="1" x14ac:dyDescent="0.3">
      <c r="A8" s="25" t="s">
        <v>39</v>
      </c>
      <c r="B8" s="24"/>
      <c r="C8" s="24"/>
    </row>
    <row r="10" spans="1:3" x14ac:dyDescent="0.3">
      <c r="A10" s="23" t="s">
        <v>40</v>
      </c>
      <c r="B10" s="24"/>
      <c r="C10" s="24"/>
    </row>
    <row r="11" spans="1:3" ht="34.049999999999997" customHeight="1" x14ac:dyDescent="0.3">
      <c r="A11" s="25" t="s">
        <v>41</v>
      </c>
      <c r="B11" s="24"/>
      <c r="C11" s="24"/>
    </row>
    <row r="13" spans="1:3" x14ac:dyDescent="0.3">
      <c r="A13" s="23" t="s">
        <v>42</v>
      </c>
      <c r="B13" s="24"/>
      <c r="C13" s="24"/>
    </row>
    <row r="14" spans="1:3" ht="34.049999999999997" customHeight="1" x14ac:dyDescent="0.3">
      <c r="A14" s="25" t="s">
        <v>43</v>
      </c>
      <c r="B14" s="24"/>
      <c r="C14" s="24"/>
    </row>
    <row r="16" spans="1:3" x14ac:dyDescent="0.3">
      <c r="A16" s="23" t="s">
        <v>44</v>
      </c>
      <c r="B16" s="24"/>
      <c r="C16" s="24"/>
    </row>
    <row r="17" spans="1:3" ht="34.049999999999997" customHeight="1" x14ac:dyDescent="0.3">
      <c r="A17" s="25" t="s">
        <v>45</v>
      </c>
      <c r="B17" s="24"/>
      <c r="C17" s="24"/>
    </row>
  </sheetData>
  <mergeCells count="12">
    <mergeCell ref="A16:C16"/>
    <mergeCell ref="A8:C8"/>
    <mergeCell ref="A14:C14"/>
    <mergeCell ref="A17:C17"/>
    <mergeCell ref="A7:C7"/>
    <mergeCell ref="A10:C10"/>
    <mergeCell ref="A13:C13"/>
    <mergeCell ref="A11:C11"/>
    <mergeCell ref="A1:C1"/>
    <mergeCell ref="A5:C5"/>
    <mergeCell ref="A4:C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Timesheet</vt:lpstr>
      <vt:lpstr>By project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Waseem Ahmad Khan</cp:lastModifiedBy>
  <dcterms:created xsi:type="dcterms:W3CDTF">2026-07-23T18:22:56Z</dcterms:created>
  <dcterms:modified xsi:type="dcterms:W3CDTF">2026-08-02T10:57:48Z</dcterms:modified>
</cp:coreProperties>
</file>