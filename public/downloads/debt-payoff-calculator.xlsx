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Debts" state="visible" r:id="rId5"/>
    <sheet sheetId="3" name="Snowball" state="visible" r:id="rId6"/>
    <sheet sheetId="4" name="Avalanche" state="visible" r:id="rId7"/>
    <sheet sheetId="5" name="Comparison" state="visible" r:id="rId8"/>
  </sheets>
  <calcPr calcId="171027"/>
</workbook>
</file>

<file path=xl/sharedStrings.xml><?xml version="1.0" encoding="utf-8"?>
<sst xmlns="http://schemas.openxmlformats.org/spreadsheetml/2006/main" count="114" uniqueCount="80">
  <si>
    <t>How this workbook works</t>
  </si>
  <si>
    <t>What this is</t>
  </si>
  <si>
    <t>Two ways to clear the same debts. Snowball pays the smallest balance first, avalanche the highest interest rate first, and the comparison sheet shows what each one costs you in interest and how long it takes.</t>
  </si>
  <si>
    <t>Filling it in</t>
  </si>
  <si>
    <t>Put your debts on the Debts sheet — balance, rate and the minimum payment your lender requires. Then set the extra amount you can afford each month and the date of your first payment. Everything else is calculated.</t>
  </si>
  <si>
    <t>What the two methods do</t>
  </si>
  <si>
    <t>Both pay every minimum every month, then throw all spare money at one debt until it clears. Snowball picks the smallest balance, so debts disappear quickly and it feels like progress. Avalanche picks the highest rate, which always costs less in total interest. The comparison sheet puts numbers on that trade.</t>
  </si>
  <si>
    <t>Rolling payments</t>
  </si>
  <si>
    <t>When a debt clears, its minimum is not spare cash — it joins the extra payment and attacks the next debt. That is what makes either method finish years earlier than paying minimums alone, and it is why the pool column grows as you go down.</t>
  </si>
  <si>
    <t>Two simplifications, stated plainly</t>
  </si>
  <si>
    <t>Minimum payments are treated as fixed, where a real credit card recalculates its minimum as the balance falls. And in the month a debt clears, any leftover from the extra payment waits until the next month rather than moving to the next debt immediately. Both make the schedule slightly cautious, never optimistic.</t>
  </si>
  <si>
    <t>The check on the Debts sheet</t>
  </si>
  <si>
    <t>If a minimum payment is smaller than that month’s interest, the balance grows no matter what you pay and the debt never clears. The check names that before you build a plan on it.</t>
  </si>
  <si>
    <t>The working columns</t>
  </si>
  <si>
    <t>The pool and the small t1 to t5 flags on the right of each schedule are the calculation showing itself: the pool is the spare money available that month, and the flag marks which debt is receiving it. Leave them alone, but look at them if you want to see how the roll works.</t>
  </si>
  <si>
    <t>Reading the colors</t>
  </si>
  <si>
    <t>Blue figures are yours to type over. Black figures are calculated — typing over one replaces the formula. Green shading is a heading or a total. This is the standard financial-modeling convention, so anyone in a finance or audit role will read it without being told.</t>
  </si>
  <si>
    <t>Debt Payoff Calculator</t>
  </si>
  <si>
    <t>Your debts, and what you can put against them</t>
  </si>
  <si>
    <t>Debt</t>
  </si>
  <si>
    <t>Balance</t>
  </si>
  <si>
    <t>Rate</t>
  </si>
  <si>
    <t>Minimum payment</t>
  </si>
  <si>
    <t>Snowball order</t>
  </si>
  <si>
    <t>Avalanche order</t>
  </si>
  <si>
    <t>Store card</t>
  </si>
  <si>
    <t>Credit card A</t>
  </si>
  <si>
    <t>Credit card B</t>
  </si>
  <si>
    <t>Auto loan</t>
  </si>
  <si>
    <t>Medical bill</t>
  </si>
  <si>
    <t>Total</t>
  </si>
  <si>
    <t>What you can pay</t>
  </si>
  <si>
    <t>Extra each month, on top of the minimums</t>
  </si>
  <si>
    <t>First payment date</t>
  </si>
  <si>
    <t>Total going out each month</t>
  </si>
  <si>
    <t>Check</t>
  </si>
  <si>
    <t>Does every minimum cover its interest?</t>
  </si>
  <si>
    <t>Snowball method</t>
  </si>
  <si>
    <t>Every month, every debt, to the dollar</t>
  </si>
  <si>
    <t>Minimum</t>
  </si>
  <si>
    <t>Order paid</t>
  </si>
  <si>
    <t>Month</t>
  </si>
  <si>
    <t>Date</t>
  </si>
  <si>
    <t>Interest 1</t>
  </si>
  <si>
    <t>Interest 2</t>
  </si>
  <si>
    <t>Interest 3</t>
  </si>
  <si>
    <t>Interest 4</t>
  </si>
  <si>
    <t>Interest 5</t>
  </si>
  <si>
    <t>Payment 1</t>
  </si>
  <si>
    <t>Payment 2</t>
  </si>
  <si>
    <t>Payment 3</t>
  </si>
  <si>
    <t>Payment 4</t>
  </si>
  <si>
    <t>Payment 5</t>
  </si>
  <si>
    <t>Balance 1</t>
  </si>
  <si>
    <t>Balance 2</t>
  </si>
  <si>
    <t>Balance 3</t>
  </si>
  <si>
    <t>Balance 4</t>
  </si>
  <si>
    <t>Balance 5</t>
  </si>
  <si>
    <t>Total paid</t>
  </si>
  <si>
    <t>Interest</t>
  </si>
  <si>
    <t>Owed after</t>
  </si>
  <si>
    <t>Snowball</t>
  </si>
  <si>
    <t>t1</t>
  </si>
  <si>
    <t>t2</t>
  </si>
  <si>
    <t>t3</t>
  </si>
  <si>
    <t>t4</t>
  </si>
  <si>
    <t>t5</t>
  </si>
  <si>
    <t>Avalanche method</t>
  </si>
  <si>
    <t>Snowball or Avalanche</t>
  </si>
  <si>
    <t>The same debts, two orders, two totals</t>
  </si>
  <si>
    <t>Method</t>
  </si>
  <si>
    <t>Months to clear</t>
  </si>
  <si>
    <t>Debt free</t>
  </si>
  <si>
    <t>Interest paid</t>
  </si>
  <si>
    <t>Snowball — smallest balance first</t>
  </si>
  <si>
    <t>Avalanche — highest rate first</t>
  </si>
  <si>
    <t>Avalanche saves</t>
  </si>
  <si>
    <t>months / dollars</t>
  </si>
  <si>
    <t>Which to choose</t>
  </si>
  <si>
    <t>Avalanche always wins on arithmetic — it is the definition of paying the most expensive money back first. Snowball wins on the thing arithmetic does not measure, which is whether you keep going. If the gap in interest is small, take the one you will actually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</si>
</sst>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mmm d, yyyy"/>
  </numFmts>
  <fonts count="13" x14ac:knownFonts="1">
    <font>
      <color theme="1"/>
      <family val="2"/>
      <scheme val="minor"/>
      <sz val="11"/>
      <name val="Calibri"/>
    </font>
    <font>
      <b/>
      <color rgb="FF0A4A3A"/>
      <sz val="15"/>
      <name val="Arial"/>
    </font>
    <font>
      <b/>
      <color rgb="FF0A4A3A"/>
      <sz val="11"/>
      <name val="Arial"/>
    </font>
    <font>
      <color rgb="FF141414"/>
      <sz val="10"/>
      <name val="Calibri"/>
    </font>
    <font>
      <i/>
      <color rgb="FF4A4A48"/>
      <sz val="10"/>
      <name val="Calibri"/>
    </font>
    <font>
      <b/>
      <color rgb="FFFFFFFF"/>
      <sz val="10"/>
      <name val="Arial"/>
    </font>
    <font>
      <color rgb="FF0000FF"/>
      <sz val="10"/>
      <name val="Calibri"/>
    </font>
    <font>
      <b/>
      <color rgb="FF0000FF"/>
      <sz val="10"/>
      <name val="Calibri"/>
    </font>
    <font>
      <b/>
      <color rgb="FF0A4A3A"/>
      <sz val="10"/>
      <name val="Arial"/>
    </font>
    <font>
      <b/>
      <color rgb="FF0A4A3A"/>
      <sz val="10"/>
      <name val="Calibri"/>
    </font>
    <font>
      <color rgb="FF4A4A48"/>
      <sz val="9"/>
      <name val="Calibri"/>
    </font>
    <font>
      <color rgb="FF4A4A48"/>
      <sz val="8"/>
      <name val="Calibri"/>
    </font>
    <font>
      <i/>
      <color rgb="FFFFFFFF"/>
      <sz val="9"/>
      <name val="Calibri"/>
    </font>
  </fonts>
  <fills count="6">
    <fill>
      <patternFill patternType="none"/>
    </fill>
    <fill>
      <patternFill patternType="gray125"/>
    </fill>
    <fill>
      <patternFill patternType="solid">
        <fgColor rgb="FF0F6E56"/>
      </patternFill>
    </fill>
    <fill>
      <patternFill patternType="solid">
        <fgColor rgb="FFFFFDF0"/>
      </patternFill>
    </fill>
    <fill>
      <patternFill patternType="solid">
        <fgColor rgb="FFFAFAF8"/>
      </patternFill>
    </fill>
    <fill>
      <patternFill patternType="solid">
        <fgColor rgb="FFE1F5EE"/>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36">
    <xf numFmtId="0" fontId="0" fillId="0" borderId="0" xfId="0"/>
    <xf numFmtId="0" fontId="1" fillId="0" borderId="0" xfId="0" applyFont="1" applyAlignment="1">
      <alignment horizontal="centerContinuous" vertical="center"/>
    </xf>
    <xf numFmtId="0" fontId="0" fillId="0" borderId="0" xfId="0" applyAlignment="1">
      <alignment horizontal="centerContinuous" vertical="center"/>
    </xf>
    <xf numFmtId="0" fontId="2" fillId="0" borderId="0" xfId="0" applyFont="1"/>
    <xf numFmtId="0" fontId="3" fillId="0" borderId="0" xfId="0" applyFont="1" applyAlignment="1">
      <alignment vertical="top" wrapText="1"/>
    </xf>
    <xf numFmtId="0" fontId="4" fillId="0" borderId="0" xfId="0" applyFont="1" applyAlignment="1">
      <alignment horizontal="centerContinuous"/>
    </xf>
    <xf numFmtId="0" fontId="0" fillId="0" borderId="0" xfId="0" applyAlignment="1">
      <alignment horizontal="centerContinuous"/>
    </xf>
    <xf numFmtId="0" fontId="5" fillId="2" borderId="1" xfId="0" applyFont="1" applyFill="1" applyBorder="1" applyAlignment="1">
      <alignment horizontal="center" vertical="center" wrapText="1"/>
    </xf>
    <xf numFmtId="0" fontId="6" fillId="3" borderId="1" xfId="0" applyFont="1" applyFill="1" applyBorder="1"/>
    <xf numFmtId="164" fontId="6" fillId="3" borderId="1" xfId="0" applyNumberFormat="1" applyFont="1" applyFill="1" applyBorder="1"/>
    <xf numFmtId="10" fontId="6" fillId="3" borderId="1" xfId="0" applyNumberFormat="1" applyFont="1" applyFill="1" applyBorder="1"/>
    <xf numFmtId="0" fontId="3" fillId="0" borderId="1" xfId="0" applyFont="1" applyBorder="1" applyAlignment="1">
      <alignment horizontal="center"/>
    </xf>
    <xf numFmtId="0" fontId="3" fillId="4" borderId="1" xfId="0" applyFont="1" applyFill="1" applyBorder="1" applyAlignment="1">
      <alignment horizontal="center"/>
    </xf>
    <xf numFmtId="0" fontId="5" fillId="2" borderId="1" xfId="0" applyFont="1" applyFill="1" applyBorder="1"/>
    <xf numFmtId="164" fontId="5" fillId="2" borderId="1" xfId="0" applyNumberFormat="1" applyFont="1" applyFill="1" applyBorder="1"/>
    <xf numFmtId="0" fontId="3" fillId="0" borderId="0" xfId="0" applyFont="1"/>
    <xf numFmtId="164" fontId="7" fillId="3" borderId="1" xfId="0" applyNumberFormat="1" applyFont="1" applyFill="1" applyBorder="1"/>
    <xf numFmtId="165" fontId="7" fillId="3" borderId="1" xfId="0" applyNumberFormat="1" applyFont="1" applyFill="1" applyBorder="1"/>
    <xf numFmtId="164" fontId="8" fillId="5" borderId="1" xfId="0" applyNumberFormat="1" applyFont="1" applyFill="1" applyBorder="1"/>
    <xf numFmtId="0" fontId="8" fillId="5" borderId="1" xfId="0" applyFont="1" applyFill="1" applyBorder="1" applyAlignment="1">
      <alignment horizontal="center"/>
    </xf>
    <xf numFmtId="0" fontId="9" fillId="0" borderId="0" xfId="0" applyFont="1"/>
    <xf numFmtId="0" fontId="3" fillId="5" borderId="1" xfId="0" applyFont="1" applyFill="1" applyBorder="1" applyAlignment="1">
      <alignment horizontal="center"/>
    </xf>
    <xf numFmtId="10" fontId="3" fillId="5" borderId="1" xfId="0" applyNumberFormat="1" applyFont="1" applyFill="1" applyBorder="1" applyAlignment="1">
      <alignment horizontal="center"/>
    </xf>
    <xf numFmtId="164" fontId="3" fillId="5" borderId="1" xfId="0" applyNumberFormat="1" applyFont="1" applyFill="1" applyBorder="1" applyAlignment="1">
      <alignment horizontal="center"/>
    </xf>
    <xf numFmtId="165" fontId="3" fillId="0" borderId="1" xfId="0" applyNumberFormat="1" applyFont="1" applyBorder="1"/>
    <xf numFmtId="164" fontId="3" fillId="0" borderId="1" xfId="0" applyNumberFormat="1" applyFont="1" applyBorder="1"/>
    <xf numFmtId="164" fontId="10" fillId="0" borderId="1" xfId="0" applyNumberFormat="1" applyFont="1" applyBorder="1"/>
    <xf numFmtId="0" fontId="11" fillId="0" borderId="1" xfId="0" applyFont="1" applyBorder="1" applyAlignment="1">
      <alignment horizontal="center"/>
    </xf>
    <xf numFmtId="165" fontId="3" fillId="4" borderId="1" xfId="0" applyNumberFormat="1" applyFont="1" applyFill="1" applyBorder="1"/>
    <xf numFmtId="164" fontId="3" fillId="4" borderId="1" xfId="0" applyNumberFormat="1" applyFont="1" applyFill="1" applyBorder="1"/>
    <xf numFmtId="164" fontId="10" fillId="4" borderId="1" xfId="0" applyNumberFormat="1" applyFont="1" applyFill="1" applyBorder="1"/>
    <xf numFmtId="0" fontId="11" fillId="4" borderId="1" xfId="0" applyFont="1" applyFill="1" applyBorder="1" applyAlignment="1">
      <alignment horizontal="center"/>
    </xf>
    <xf numFmtId="0" fontId="3" fillId="0" borderId="1" xfId="0" applyFont="1" applyBorder="1"/>
    <xf numFmtId="0" fontId="3" fillId="4" borderId="1" xfId="0" applyFont="1" applyFill="1" applyBorder="1"/>
    <xf numFmtId="0" fontId="5" fillId="2" borderId="1" xfId="0" applyFont="1" applyFill="1" applyBorder="1" applyAlignment="1">
      <alignment horizontal="center"/>
    </xf>
    <xf numFmtId="0" fontId="12" fillId="2" borderId="1" xfId="0" applyFont="1" applyFill="1" applyBorder="1" applyAlignment="1">
      <alignment horizontal="center"/>
    </xf>
  </cellXfs>
  <cellStyles count="1">
    <cellStyle name="Normal" xfId="0" builtinId="0"/>
  </cellStyles>
  <dxfs count="4">
    <dxf>
      <font>
        <color rgb="FFC6E4D9"/>
      </font>
    </dxf>
    <dxf>
      <font>
        <b/>
        <color rgb="FF0A4A3A"/>
      </font>
    </dxf>
    <dxf>
      <font>
        <color rgb="FFC6E4D9"/>
      </font>
    </dxf>
    <dxf>
      <font>
        <b/>
        <color rgb="FF0A4A3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C26"/>
  <sheetViews>
    <sheetView workbookViewId="0" showGridLines="0" zoomScale="100"/>
  </sheetViews>
  <sheetFormatPr defaultRowHeight="15" outlineLevelRow="0" outlineLevelCol="0" x14ac:dyDescent="55"/>
  <cols>
    <col min="1" max="1" width="40" customWidth="1"/>
    <col min="2" max="3" width="30" customWidth="1"/>
  </cols>
  <sheetData>
    <row r="1" ht="26" customHeight="1" spans="1:3" x14ac:dyDescent="0.25">
      <c r="A1" s="1" t="s">
        <v>0</v>
      </c>
      <c r="B1" s="2"/>
      <c r="C1" s="2"/>
    </row>
    <row r="4" ht="15" customHeight="1" spans="1:1" x14ac:dyDescent="0.25">
      <c r="A4" s="3" t="s">
        <v>1</v>
      </c>
    </row>
    <row r="5" ht="33.75" customHeight="1" spans="1:1" x14ac:dyDescent="0.25">
      <c r="A5" s="4" t="s">
        <v>2</v>
      </c>
    </row>
    <row r="7" ht="15" customHeight="1" spans="1:1" x14ac:dyDescent="0.25">
      <c r="A7" s="3" t="s">
        <v>3</v>
      </c>
    </row>
    <row r="8" ht="48" customHeight="1" spans="1:1" x14ac:dyDescent="0.25">
      <c r="A8" s="4" t="s">
        <v>4</v>
      </c>
    </row>
    <row r="10" ht="15" customHeight="1" spans="1:1" x14ac:dyDescent="0.25">
      <c r="A10" s="3" t="s">
        <v>5</v>
      </c>
    </row>
    <row r="11" ht="48" customHeight="1" spans="1:1" x14ac:dyDescent="0.25">
      <c r="A11" s="4" t="s">
        <v>6</v>
      </c>
    </row>
    <row r="13" ht="15" customHeight="1" spans="1:1" x14ac:dyDescent="0.25">
      <c r="A13" s="3" t="s">
        <v>7</v>
      </c>
    </row>
    <row r="14" ht="48" customHeight="1" spans="1:1" x14ac:dyDescent="0.25">
      <c r="A14" s="4" t="s">
        <v>8</v>
      </c>
    </row>
    <row r="16" ht="15" customHeight="1" spans="1:1" x14ac:dyDescent="0.25">
      <c r="A16" s="3" t="s">
        <v>9</v>
      </c>
    </row>
    <row r="17" ht="48" customHeight="1" spans="1:1" x14ac:dyDescent="0.25">
      <c r="A17" s="4" t="s">
        <v>10</v>
      </c>
    </row>
    <row r="19" ht="15" customHeight="1" spans="1:1" x14ac:dyDescent="0.25">
      <c r="A19" s="3" t="s">
        <v>11</v>
      </c>
    </row>
    <row r="20" ht="48" customHeight="1" spans="1:1" x14ac:dyDescent="0.25">
      <c r="A20" s="4" t="s">
        <v>12</v>
      </c>
    </row>
    <row r="22" ht="15" customHeight="1" spans="1:1" x14ac:dyDescent="0.25">
      <c r="A22" s="3" t="s">
        <v>13</v>
      </c>
    </row>
    <row r="23" ht="48" customHeight="1" spans="1:1" x14ac:dyDescent="0.25">
      <c r="A23" s="4" t="s">
        <v>14</v>
      </c>
    </row>
    <row r="25" ht="15" customHeight="1" spans="1:1" x14ac:dyDescent="0.25">
      <c r="A25" s="3" t="s">
        <v>15</v>
      </c>
    </row>
    <row r="26" ht="48" customHeight="1" spans="1:1" x14ac:dyDescent="0.25">
      <c r="A26" s="4" t="s">
        <v>16</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E56"/>
    <pageSetUpPr fitToPage="1"/>
  </sheetPr>
  <dimension ref="A1:F18"/>
  <sheetViews>
    <sheetView workbookViewId="0" showGridLines="0" zoomScale="100">
      <pane ySplit="4" topLeftCell="A5" activePane="bottomLeft" state="frozen"/>
      <selection pane="bottomLeft"/>
    </sheetView>
  </sheetViews>
  <sheetFormatPr defaultRowHeight="15" outlineLevelRow="0" outlineLevelCol="0" x14ac:dyDescent="55"/>
  <cols>
    <col min="1" max="1" width="26" customWidth="1"/>
    <col min="2" max="2" width="15" customWidth="1"/>
    <col min="3" max="3" width="11" customWidth="1"/>
    <col min="4" max="4" width="16" customWidth="1"/>
    <col min="5" max="6" width="15" customWidth="1"/>
  </cols>
  <sheetData>
    <row r="1" ht="26" customHeight="1" spans="1:6" x14ac:dyDescent="0.25">
      <c r="A1" s="1" t="s">
        <v>17</v>
      </c>
      <c r="B1" s="2"/>
      <c r="C1" s="2"/>
      <c r="D1" s="2"/>
      <c r="E1" s="2"/>
      <c r="F1" s="2"/>
    </row>
    <row r="2" ht="16" customHeight="1" spans="1:6" x14ac:dyDescent="0.25">
      <c r="A2" s="5" t="s">
        <v>18</v>
      </c>
      <c r="B2" s="6"/>
      <c r="C2" s="6"/>
      <c r="D2" s="6"/>
      <c r="E2" s="6"/>
      <c r="F2" s="6"/>
    </row>
    <row r="4" ht="24" customHeight="1" spans="1:6" x14ac:dyDescent="0.25">
      <c r="A4" s="7" t="s">
        <v>19</v>
      </c>
      <c r="B4" s="7" t="s">
        <v>20</v>
      </c>
      <c r="C4" s="7" t="s">
        <v>21</v>
      </c>
      <c r="D4" s="7" t="s">
        <v>22</v>
      </c>
      <c r="E4" s="7" t="s">
        <v>23</v>
      </c>
      <c r="F4" s="7" t="s">
        <v>24</v>
      </c>
    </row>
    <row r="5" spans="1:6" x14ac:dyDescent="0.25">
      <c r="A5" s="8" t="s">
        <v>25</v>
      </c>
      <c r="B5" s="9">
        <v>900</v>
      </c>
      <c r="C5" s="10">
        <v>0.0699</v>
      </c>
      <c r="D5" s="9">
        <v>25</v>
      </c>
      <c r="E5" s="11">
        <f>COUNTIF($B$5:$B$9,"&lt;"&amp;B5)+COUNTIF($B$5:B5,B5)</f>
      </c>
      <c r="F5" s="11">
        <f>COUNTIF($C$5:$C$9,"&gt;"&amp;C5)+COUNTIF($C$5:C5,C5)</f>
      </c>
    </row>
    <row r="6" spans="1:6" x14ac:dyDescent="0.25">
      <c r="A6" s="8" t="s">
        <v>26</v>
      </c>
      <c r="B6" s="9">
        <v>6400</v>
      </c>
      <c r="C6" s="10">
        <v>0.2499</v>
      </c>
      <c r="D6" s="9">
        <v>160</v>
      </c>
      <c r="E6" s="12">
        <f>COUNTIF($B$5:$B$9,"&lt;"&amp;B6)+COUNTIF($B$5:B6,B6)</f>
      </c>
      <c r="F6" s="12">
        <f>COUNTIF($C$5:$C$9,"&gt;"&amp;C6)+COUNTIF($C$5:C6,C6)</f>
      </c>
    </row>
    <row r="7" spans="1:6" x14ac:dyDescent="0.25">
      <c r="A7" s="8" t="s">
        <v>27</v>
      </c>
      <c r="B7" s="9">
        <v>2100</v>
      </c>
      <c r="C7" s="10">
        <v>0.1899</v>
      </c>
      <c r="D7" s="9">
        <v>55</v>
      </c>
      <c r="E7" s="11">
        <f>COUNTIF($B$5:$B$9,"&lt;"&amp;B7)+COUNTIF($B$5:B7,B7)</f>
      </c>
      <c r="F7" s="11">
        <f>COUNTIF($C$5:$C$9,"&gt;"&amp;C7)+COUNTIF($C$5:C7,C7)</f>
      </c>
    </row>
    <row r="8" spans="1:6" x14ac:dyDescent="0.25">
      <c r="A8" s="8" t="s">
        <v>28</v>
      </c>
      <c r="B8" s="9">
        <v>11200</v>
      </c>
      <c r="C8" s="10">
        <v>0.0549</v>
      </c>
      <c r="D8" s="9">
        <v>310</v>
      </c>
      <c r="E8" s="12">
        <f>COUNTIF($B$5:$B$9,"&lt;"&amp;B8)+COUNTIF($B$5:B8,B8)</f>
      </c>
      <c r="F8" s="12">
        <f>COUNTIF($C$5:$C$9,"&gt;"&amp;C8)+COUNTIF($C$5:C8,C8)</f>
      </c>
    </row>
    <row r="9" spans="1:6" x14ac:dyDescent="0.25">
      <c r="A9" s="8" t="s">
        <v>29</v>
      </c>
      <c r="B9" s="9">
        <v>3500</v>
      </c>
      <c r="C9" s="10">
        <v>0</v>
      </c>
      <c r="D9" s="9">
        <v>100</v>
      </c>
      <c r="E9" s="11">
        <f>COUNTIF($B$5:$B$9,"&lt;"&amp;B9)+COUNTIF($B$5:B9,B9)</f>
      </c>
      <c r="F9" s="11">
        <f>COUNTIF($C$5:$C$9,"&gt;"&amp;C9)+COUNTIF($C$5:C9,C9)</f>
      </c>
    </row>
    <row r="10" ht="20" customHeight="1" spans="1:6" x14ac:dyDescent="0.25">
      <c r="A10" s="13" t="s">
        <v>30</v>
      </c>
      <c r="B10" s="14">
        <f>SUM(B5:B9)</f>
      </c>
      <c r="C10" s="13"/>
      <c r="D10" s="14">
        <f>SUM(D5:D9)</f>
      </c>
      <c r="E10" s="13"/>
      <c r="F10" s="13"/>
    </row>
    <row r="12" ht="15" customHeight="1" spans="1:1" x14ac:dyDescent="0.25">
      <c r="A12" s="3" t="s">
        <v>31</v>
      </c>
    </row>
    <row r="13" spans="1:2" x14ac:dyDescent="0.25">
      <c r="A13" s="15" t="s">
        <v>32</v>
      </c>
      <c r="B13" s="16">
        <v>250</v>
      </c>
    </row>
    <row r="14" spans="1:2" x14ac:dyDescent="0.25">
      <c r="A14" s="15" t="s">
        <v>33</v>
      </c>
      <c r="B14" s="17">
        <v>46023</v>
      </c>
    </row>
    <row r="15" spans="1:2" x14ac:dyDescent="0.25">
      <c r="A15" s="15" t="s">
        <v>34</v>
      </c>
      <c r="B15" s="18">
        <f>D10+B13</f>
      </c>
    </row>
    <row r="17" ht="15" customHeight="1" spans="1:1" x14ac:dyDescent="0.25">
      <c r="A17" s="3" t="s">
        <v>35</v>
      </c>
    </row>
    <row r="18" spans="1:2" x14ac:dyDescent="0.25">
      <c r="A18" s="15" t="s">
        <v>36</v>
      </c>
      <c r="B18" s="19">
        <f>IF(SUMPRODUCT(($D$5:$D$9&lt;=$B$5:$B$9*$C$5:$C$9/12)*($B$5:$B$9&gt;0))=0,"Yes — every debt will clear","No — one minimum is below its monthly interest")</f>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E56"/>
    <pageSetUpPr fitToPage="1"/>
  </sheetPr>
  <dimension ref="A1:Z130"/>
  <sheetViews>
    <sheetView workbookViewId="0" showGridLines="0" zoomScale="100">
      <pane xSplit="2" ySplit="9" topLeftCell="C10" activePane="bottomRight" state="frozen"/>
      <selection pane="bottomRight"/>
    </sheetView>
  </sheetViews>
  <sheetFormatPr defaultRowHeight="15" outlineLevelRow="0" outlineLevelCol="0" x14ac:dyDescent="55"/>
  <cols>
    <col min="1" max="1" width="8" customWidth="1"/>
    <col min="2" max="2" width="14" customWidth="1"/>
    <col min="3" max="12" width="11" customWidth="1"/>
    <col min="13" max="17" width="12" customWidth="1"/>
    <col min="18" max="18" width="13" customWidth="1"/>
    <col min="19" max="19" width="12" customWidth="1"/>
    <col min="20" max="20" width="13" customWidth="1"/>
    <col min="21" max="21" width="11" customWidth="1"/>
    <col min="22" max="26" width="7" customWidth="1"/>
  </cols>
  <sheetData>
    <row r="1" ht="26" customHeight="1" spans="1:26" x14ac:dyDescent="0.25">
      <c r="A1" s="1" t="s">
        <v>37</v>
      </c>
      <c r="B1" s="2"/>
      <c r="C1" s="2"/>
      <c r="D1" s="2"/>
      <c r="E1" s="2"/>
      <c r="F1" s="2"/>
      <c r="G1" s="2"/>
      <c r="H1" s="2"/>
      <c r="I1" s="2"/>
      <c r="J1" s="2"/>
      <c r="K1" s="2"/>
      <c r="L1" s="2"/>
      <c r="M1" s="2"/>
      <c r="N1" s="2"/>
      <c r="O1" s="2"/>
      <c r="P1" s="2"/>
      <c r="Q1" s="2"/>
      <c r="R1" s="2"/>
      <c r="S1" s="2"/>
      <c r="T1" s="2"/>
      <c r="U1" s="2"/>
      <c r="V1" s="2"/>
      <c r="W1" s="2"/>
      <c r="X1" s="2"/>
      <c r="Y1" s="2"/>
      <c r="Z1" s="2"/>
    </row>
    <row r="2" ht="16" customHeight="1" spans="1:26" x14ac:dyDescent="0.25">
      <c r="A2" s="5" t="s">
        <v>38</v>
      </c>
      <c r="B2" s="6"/>
      <c r="C2" s="6"/>
      <c r="D2" s="6"/>
      <c r="E2" s="6"/>
      <c r="F2" s="6"/>
      <c r="G2" s="6"/>
      <c r="H2" s="6"/>
      <c r="I2" s="6"/>
      <c r="J2" s="6"/>
      <c r="K2" s="6"/>
      <c r="L2" s="6"/>
      <c r="M2" s="6"/>
      <c r="N2" s="6"/>
      <c r="O2" s="6"/>
      <c r="P2" s="6"/>
      <c r="Q2" s="6"/>
      <c r="R2" s="6"/>
      <c r="S2" s="6"/>
      <c r="T2" s="6"/>
      <c r="U2" s="6"/>
      <c r="V2" s="6"/>
      <c r="W2" s="6"/>
      <c r="X2" s="6"/>
      <c r="Y2" s="6"/>
      <c r="Z2" s="6"/>
    </row>
    <row r="4" spans="1:7" x14ac:dyDescent="0.25">
      <c r="A4" s="20" t="s">
        <v>19</v>
      </c>
      <c r="C4" s="21">
        <f>Debts!$A$5</f>
      </c>
      <c r="D4" s="21">
        <f>Debts!$A$6</f>
      </c>
      <c r="E4" s="21">
        <f>Debts!$A$7</f>
      </c>
      <c r="F4" s="21">
        <f>Debts!$A$8</f>
      </c>
      <c r="G4" s="21">
        <f>Debts!$A$9</f>
      </c>
    </row>
    <row r="5" spans="1:7" x14ac:dyDescent="0.25">
      <c r="A5" s="20" t="s">
        <v>21</v>
      </c>
      <c r="C5" s="22">
        <f>Debts!$C$5</f>
      </c>
      <c r="D5" s="22">
        <f>Debts!$C$6</f>
      </c>
      <c r="E5" s="22">
        <f>Debts!$C$7</f>
      </c>
      <c r="F5" s="22">
        <f>Debts!$C$8</f>
      </c>
      <c r="G5" s="22">
        <f>Debts!$C$9</f>
      </c>
    </row>
    <row r="6" spans="1:7" x14ac:dyDescent="0.25">
      <c r="A6" s="20" t="s">
        <v>39</v>
      </c>
      <c r="C6" s="23">
        <f>Debts!$D$5</f>
      </c>
      <c r="D6" s="23">
        <f>Debts!$D$6</f>
      </c>
      <c r="E6" s="23">
        <f>Debts!$D$7</f>
      </c>
      <c r="F6" s="23">
        <f>Debts!$D$8</f>
      </c>
      <c r="G6" s="23">
        <f>Debts!$D$9</f>
      </c>
    </row>
    <row r="7" spans="1:7" x14ac:dyDescent="0.25">
      <c r="A7" s="20" t="s">
        <v>40</v>
      </c>
      <c r="C7" s="21">
        <f>Debts!$E$5</f>
      </c>
      <c r="D7" s="21">
        <f>Debts!$E$6</f>
      </c>
      <c r="E7" s="21">
        <f>Debts!$E$7</f>
      </c>
      <c r="F7" s="21">
        <f>Debts!$E$8</f>
      </c>
      <c r="G7" s="21">
        <f>Debts!$E$9</f>
      </c>
    </row>
    <row r="9" ht="24" customHeight="1" spans="1:26" x14ac:dyDescent="0.25">
      <c r="A9" s="7" t="s">
        <v>41</v>
      </c>
      <c r="B9" s="7" t="s">
        <v>42</v>
      </c>
      <c r="C9" s="7" t="s">
        <v>43</v>
      </c>
      <c r="D9" s="7" t="s">
        <v>44</v>
      </c>
      <c r="E9" s="7" t="s">
        <v>45</v>
      </c>
      <c r="F9" s="7" t="s">
        <v>46</v>
      </c>
      <c r="G9" s="7" t="s">
        <v>47</v>
      </c>
      <c r="H9" s="7" t="s">
        <v>48</v>
      </c>
      <c r="I9" s="7" t="s">
        <v>49</v>
      </c>
      <c r="J9" s="7" t="s">
        <v>50</v>
      </c>
      <c r="K9" s="7" t="s">
        <v>51</v>
      </c>
      <c r="L9" s="7" t="s">
        <v>52</v>
      </c>
      <c r="M9" s="7" t="s">
        <v>53</v>
      </c>
      <c r="N9" s="7" t="s">
        <v>54</v>
      </c>
      <c r="O9" s="7" t="s">
        <v>55</v>
      </c>
      <c r="P9" s="7" t="s">
        <v>56</v>
      </c>
      <c r="Q9" s="7" t="s">
        <v>57</v>
      </c>
      <c r="R9" s="7" t="s">
        <v>58</v>
      </c>
      <c r="S9" s="7" t="s">
        <v>59</v>
      </c>
      <c r="T9" s="7" t="s">
        <v>60</v>
      </c>
      <c r="U9" s="7" t="s">
        <v>61</v>
      </c>
      <c r="V9" s="7" t="s">
        <v>62</v>
      </c>
      <c r="W9" s="7" t="s">
        <v>63</v>
      </c>
      <c r="X9" s="7" t="s">
        <v>64</v>
      </c>
      <c r="Y9" s="7" t="s">
        <v>65</v>
      </c>
      <c r="Z9" s="7" t="s">
        <v>66</v>
      </c>
    </row>
    <row r="10" spans="1:26" x14ac:dyDescent="0.25">
      <c r="A10" s="11">
        <v>0</v>
      </c>
      <c r="B10" s="24">
        <f>Debts!$B$14</f>
      </c>
      <c r="C10" s="25"/>
      <c r="D10" s="25"/>
      <c r="E10" s="25"/>
      <c r="F10" s="25"/>
      <c r="G10" s="25"/>
      <c r="H10" s="25"/>
      <c r="I10" s="25"/>
      <c r="J10" s="25"/>
      <c r="K10" s="25"/>
      <c r="L10" s="25"/>
      <c r="M10" s="25">
        <f>Debts!$B$5</f>
      </c>
      <c r="N10" s="25">
        <f>Debts!$B$6</f>
      </c>
      <c r="O10" s="25">
        <f>Debts!$B$7</f>
      </c>
      <c r="P10" s="25">
        <f>Debts!$B$8</f>
      </c>
      <c r="Q10" s="25">
        <f>Debts!$B$9</f>
      </c>
      <c r="R10" s="25"/>
      <c r="S10" s="25"/>
      <c r="T10" s="25">
        <f>SUM(M10:Q10)</f>
      </c>
      <c r="U10" s="26"/>
      <c r="V10" s="27"/>
      <c r="W10" s="27"/>
      <c r="X10" s="27"/>
      <c r="Y10" s="27"/>
      <c r="Z10" s="27"/>
    </row>
    <row r="11" spans="1:26" x14ac:dyDescent="0.25">
      <c r="A11" s="12">
        <f>A10+1</f>
      </c>
      <c r="B11" s="28">
        <f>EDATE(Debts!$B$14,A11)</f>
      </c>
      <c r="C11" s="29">
        <f>IF(M10&lt;=0,0,ROUND(M10*$C$5/12,2))</f>
      </c>
      <c r="D11" s="29">
        <f>IF(N10&lt;=0,0,ROUND(N10*$D$5/12,2))</f>
      </c>
      <c r="E11" s="29">
        <f>IF(O10&lt;=0,0,ROUND(O10*$E$5/12,2))</f>
      </c>
      <c r="F11" s="29">
        <f>IF(P10&lt;=0,0,ROUND(P10*$F$5/12,2))</f>
      </c>
      <c r="G11" s="29">
        <f>IF(Q10&lt;=0,0,ROUND(Q10*$G$5/12,2))</f>
      </c>
      <c r="H11" s="29">
        <f>IF(M10&lt;=0,0,MIN(M10+C11,$C$6+V11*$U11))</f>
      </c>
      <c r="I11" s="29">
        <f>IF(N10&lt;=0,0,MIN(N10+D11,$D$6+W11*$U11))</f>
      </c>
      <c r="J11" s="29">
        <f>IF(O10&lt;=0,0,MIN(O10+E11,$E$6+X11*$U11))</f>
      </c>
      <c r="K11" s="29">
        <f>IF(P10&lt;=0,0,MIN(P10+F11,$F$6+Y11*$U11))</f>
      </c>
      <c r="L11" s="29">
        <f>IF(Q10&lt;=0,0,MIN(Q10+G11,$G$6+Z11*$U11))</f>
      </c>
      <c r="M11" s="29">
        <f>ROUND(M10+C11-H11,2)</f>
      </c>
      <c r="N11" s="29">
        <f>ROUND(N10+D11-I11,2)</f>
      </c>
      <c r="O11" s="29">
        <f>ROUND(O10+E11-J11,2)</f>
      </c>
      <c r="P11" s="29">
        <f>ROUND(P10+F11-K11,2)</f>
      </c>
      <c r="Q11" s="29">
        <f>ROUND(Q10+G11-L11,2)</f>
      </c>
      <c r="R11" s="29">
        <f>SUM(H11:L11)</f>
      </c>
      <c r="S11" s="29">
        <f>SUM(C11:G11)</f>
      </c>
      <c r="T11" s="29">
        <f>SUM(M11:Q11)</f>
      </c>
      <c r="U11" s="30">
        <f>Debts!$B$13+SUMPRODUCT(($M10:$Q10&lt;=0)*$C$6:$G$6)</f>
      </c>
      <c r="V11" s="31">
        <f>IF(AND(M10&gt;0,SUMPRODUCT(($C$7:$G$7&lt;$C$7)*($M10:$Q10&gt;0))=0),1,0)</f>
      </c>
      <c r="W11" s="31">
        <f>IF(AND(N10&gt;0,SUMPRODUCT(($C$7:$G$7&lt;$D$7)*($M10:$Q10&gt;0))=0),1,0)</f>
      </c>
      <c r="X11" s="31">
        <f>IF(AND(O10&gt;0,SUMPRODUCT(($C$7:$G$7&lt;$E$7)*($M10:$Q10&gt;0))=0),1,0)</f>
      </c>
      <c r="Y11" s="31">
        <f>IF(AND(P10&gt;0,SUMPRODUCT(($C$7:$G$7&lt;$F$7)*($M10:$Q10&gt;0))=0),1,0)</f>
      </c>
      <c r="Z11" s="31">
        <f>IF(AND(Q10&gt;0,SUMPRODUCT(($C$7:$G$7&lt;$G$7)*($M10:$Q10&gt;0))=0),1,0)</f>
      </c>
    </row>
    <row r="12" spans="1:26" x14ac:dyDescent="0.25">
      <c r="A12" s="11">
        <f>A11+1</f>
      </c>
      <c r="B12" s="24">
        <f>EDATE(Debts!$B$14,A12)</f>
      </c>
      <c r="C12" s="25">
        <f>IF(M11&lt;=0,0,ROUND(M11*$C$5/12,2))</f>
      </c>
      <c r="D12" s="25">
        <f>IF(N11&lt;=0,0,ROUND(N11*$D$5/12,2))</f>
      </c>
      <c r="E12" s="25">
        <f>IF(O11&lt;=0,0,ROUND(O11*$E$5/12,2))</f>
      </c>
      <c r="F12" s="25">
        <f>IF(P11&lt;=0,0,ROUND(P11*$F$5/12,2))</f>
      </c>
      <c r="G12" s="25">
        <f>IF(Q11&lt;=0,0,ROUND(Q11*$G$5/12,2))</f>
      </c>
      <c r="H12" s="25">
        <f>IF(M11&lt;=0,0,MIN(M11+C12,$C$6+V12*$U12))</f>
      </c>
      <c r="I12" s="25">
        <f>IF(N11&lt;=0,0,MIN(N11+D12,$D$6+W12*$U12))</f>
      </c>
      <c r="J12" s="25">
        <f>IF(O11&lt;=0,0,MIN(O11+E12,$E$6+X12*$U12))</f>
      </c>
      <c r="K12" s="25">
        <f>IF(P11&lt;=0,0,MIN(P11+F12,$F$6+Y12*$U12))</f>
      </c>
      <c r="L12" s="25">
        <f>IF(Q11&lt;=0,0,MIN(Q11+G12,$G$6+Z12*$U12))</f>
      </c>
      <c r="M12" s="25">
        <f>ROUND(M11+C12-H12,2)</f>
      </c>
      <c r="N12" s="25">
        <f>ROUND(N11+D12-I12,2)</f>
      </c>
      <c r="O12" s="25">
        <f>ROUND(O11+E12-J12,2)</f>
      </c>
      <c r="P12" s="25">
        <f>ROUND(P11+F12-K12,2)</f>
      </c>
      <c r="Q12" s="25">
        <f>ROUND(Q11+G12-L12,2)</f>
      </c>
      <c r="R12" s="25">
        <f>SUM(H12:L12)</f>
      </c>
      <c r="S12" s="25">
        <f>SUM(C12:G12)</f>
      </c>
      <c r="T12" s="25">
        <f>SUM(M12:Q12)</f>
      </c>
      <c r="U12" s="26">
        <f>Debts!$B$13+SUMPRODUCT(($M11:$Q11&lt;=0)*$C$6:$G$6)</f>
      </c>
      <c r="V12" s="27">
        <f>IF(AND(M11&gt;0,SUMPRODUCT(($C$7:$G$7&lt;$C$7)*($M11:$Q11&gt;0))=0),1,0)</f>
      </c>
      <c r="W12" s="27">
        <f>IF(AND(N11&gt;0,SUMPRODUCT(($C$7:$G$7&lt;$D$7)*($M11:$Q11&gt;0))=0),1,0)</f>
      </c>
      <c r="X12" s="27">
        <f>IF(AND(O11&gt;0,SUMPRODUCT(($C$7:$G$7&lt;$E$7)*($M11:$Q11&gt;0))=0),1,0)</f>
      </c>
      <c r="Y12" s="27">
        <f>IF(AND(P11&gt;0,SUMPRODUCT(($C$7:$G$7&lt;$F$7)*($M11:$Q11&gt;0))=0),1,0)</f>
      </c>
      <c r="Z12" s="27">
        <f>IF(AND(Q11&gt;0,SUMPRODUCT(($C$7:$G$7&lt;$G$7)*($M11:$Q11&gt;0))=0),1,0)</f>
      </c>
    </row>
    <row r="13" spans="1:26" x14ac:dyDescent="0.25">
      <c r="A13" s="12">
        <f>A12+1</f>
      </c>
      <c r="B13" s="28">
        <f>EDATE(Debts!$B$14,A13)</f>
      </c>
      <c r="C13" s="29">
        <f>IF(M12&lt;=0,0,ROUND(M12*$C$5/12,2))</f>
      </c>
      <c r="D13" s="29">
        <f>IF(N12&lt;=0,0,ROUND(N12*$D$5/12,2))</f>
      </c>
      <c r="E13" s="29">
        <f>IF(O12&lt;=0,0,ROUND(O12*$E$5/12,2))</f>
      </c>
      <c r="F13" s="29">
        <f>IF(P12&lt;=0,0,ROUND(P12*$F$5/12,2))</f>
      </c>
      <c r="G13" s="29">
        <f>IF(Q12&lt;=0,0,ROUND(Q12*$G$5/12,2))</f>
      </c>
      <c r="H13" s="29">
        <f>IF(M12&lt;=0,0,MIN(M12+C13,$C$6+V13*$U13))</f>
      </c>
      <c r="I13" s="29">
        <f>IF(N12&lt;=0,0,MIN(N12+D13,$D$6+W13*$U13))</f>
      </c>
      <c r="J13" s="29">
        <f>IF(O12&lt;=0,0,MIN(O12+E13,$E$6+X13*$U13))</f>
      </c>
      <c r="K13" s="29">
        <f>IF(P12&lt;=0,0,MIN(P12+F13,$F$6+Y13*$U13))</f>
      </c>
      <c r="L13" s="29">
        <f>IF(Q12&lt;=0,0,MIN(Q12+G13,$G$6+Z13*$U13))</f>
      </c>
      <c r="M13" s="29">
        <f>ROUND(M12+C13-H13,2)</f>
      </c>
      <c r="N13" s="29">
        <f>ROUND(N12+D13-I13,2)</f>
      </c>
      <c r="O13" s="29">
        <f>ROUND(O12+E13-J13,2)</f>
      </c>
      <c r="P13" s="29">
        <f>ROUND(P12+F13-K13,2)</f>
      </c>
      <c r="Q13" s="29">
        <f>ROUND(Q12+G13-L13,2)</f>
      </c>
      <c r="R13" s="29">
        <f>SUM(H13:L13)</f>
      </c>
      <c r="S13" s="29">
        <f>SUM(C13:G13)</f>
      </c>
      <c r="T13" s="29">
        <f>SUM(M13:Q13)</f>
      </c>
      <c r="U13" s="30">
        <f>Debts!$B$13+SUMPRODUCT(($M12:$Q12&lt;=0)*$C$6:$G$6)</f>
      </c>
      <c r="V13" s="31">
        <f>IF(AND(M12&gt;0,SUMPRODUCT(($C$7:$G$7&lt;$C$7)*($M12:$Q12&gt;0))=0),1,0)</f>
      </c>
      <c r="W13" s="31">
        <f>IF(AND(N12&gt;0,SUMPRODUCT(($C$7:$G$7&lt;$D$7)*($M12:$Q12&gt;0))=0),1,0)</f>
      </c>
      <c r="X13" s="31">
        <f>IF(AND(O12&gt;0,SUMPRODUCT(($C$7:$G$7&lt;$E$7)*($M12:$Q12&gt;0))=0),1,0)</f>
      </c>
      <c r="Y13" s="31">
        <f>IF(AND(P12&gt;0,SUMPRODUCT(($C$7:$G$7&lt;$F$7)*($M12:$Q12&gt;0))=0),1,0)</f>
      </c>
      <c r="Z13" s="31">
        <f>IF(AND(Q12&gt;0,SUMPRODUCT(($C$7:$G$7&lt;$G$7)*($M12:$Q12&gt;0))=0),1,0)</f>
      </c>
    </row>
    <row r="14" spans="1:26" x14ac:dyDescent="0.25">
      <c r="A14" s="11">
        <f>A13+1</f>
      </c>
      <c r="B14" s="24">
        <f>EDATE(Debts!$B$14,A14)</f>
      </c>
      <c r="C14" s="25">
        <f>IF(M13&lt;=0,0,ROUND(M13*$C$5/12,2))</f>
      </c>
      <c r="D14" s="25">
        <f>IF(N13&lt;=0,0,ROUND(N13*$D$5/12,2))</f>
      </c>
      <c r="E14" s="25">
        <f>IF(O13&lt;=0,0,ROUND(O13*$E$5/12,2))</f>
      </c>
      <c r="F14" s="25">
        <f>IF(P13&lt;=0,0,ROUND(P13*$F$5/12,2))</f>
      </c>
      <c r="G14" s="25">
        <f>IF(Q13&lt;=0,0,ROUND(Q13*$G$5/12,2))</f>
      </c>
      <c r="H14" s="25">
        <f>IF(M13&lt;=0,0,MIN(M13+C14,$C$6+V14*$U14))</f>
      </c>
      <c r="I14" s="25">
        <f>IF(N13&lt;=0,0,MIN(N13+D14,$D$6+W14*$U14))</f>
      </c>
      <c r="J14" s="25">
        <f>IF(O13&lt;=0,0,MIN(O13+E14,$E$6+X14*$U14))</f>
      </c>
      <c r="K14" s="25">
        <f>IF(P13&lt;=0,0,MIN(P13+F14,$F$6+Y14*$U14))</f>
      </c>
      <c r="L14" s="25">
        <f>IF(Q13&lt;=0,0,MIN(Q13+G14,$G$6+Z14*$U14))</f>
      </c>
      <c r="M14" s="25">
        <f>ROUND(M13+C14-H14,2)</f>
      </c>
      <c r="N14" s="25">
        <f>ROUND(N13+D14-I14,2)</f>
      </c>
      <c r="O14" s="25">
        <f>ROUND(O13+E14-J14,2)</f>
      </c>
      <c r="P14" s="25">
        <f>ROUND(P13+F14-K14,2)</f>
      </c>
      <c r="Q14" s="25">
        <f>ROUND(Q13+G14-L14,2)</f>
      </c>
      <c r="R14" s="25">
        <f>SUM(H14:L14)</f>
      </c>
      <c r="S14" s="25">
        <f>SUM(C14:G14)</f>
      </c>
      <c r="T14" s="25">
        <f>SUM(M14:Q14)</f>
      </c>
      <c r="U14" s="26">
        <f>Debts!$B$13+SUMPRODUCT(($M13:$Q13&lt;=0)*$C$6:$G$6)</f>
      </c>
      <c r="V14" s="27">
        <f>IF(AND(M13&gt;0,SUMPRODUCT(($C$7:$G$7&lt;$C$7)*($M13:$Q13&gt;0))=0),1,0)</f>
      </c>
      <c r="W14" s="27">
        <f>IF(AND(N13&gt;0,SUMPRODUCT(($C$7:$G$7&lt;$D$7)*($M13:$Q13&gt;0))=0),1,0)</f>
      </c>
      <c r="X14" s="27">
        <f>IF(AND(O13&gt;0,SUMPRODUCT(($C$7:$G$7&lt;$E$7)*($M13:$Q13&gt;0))=0),1,0)</f>
      </c>
      <c r="Y14" s="27">
        <f>IF(AND(P13&gt;0,SUMPRODUCT(($C$7:$G$7&lt;$F$7)*($M13:$Q13&gt;0))=0),1,0)</f>
      </c>
      <c r="Z14" s="27">
        <f>IF(AND(Q13&gt;0,SUMPRODUCT(($C$7:$G$7&lt;$G$7)*($M13:$Q13&gt;0))=0),1,0)</f>
      </c>
    </row>
    <row r="15" spans="1:26" x14ac:dyDescent="0.25">
      <c r="A15" s="12">
        <f>A14+1</f>
      </c>
      <c r="B15" s="28">
        <f>EDATE(Debts!$B$14,A15)</f>
      </c>
      <c r="C15" s="29">
        <f>IF(M14&lt;=0,0,ROUND(M14*$C$5/12,2))</f>
      </c>
      <c r="D15" s="29">
        <f>IF(N14&lt;=0,0,ROUND(N14*$D$5/12,2))</f>
      </c>
      <c r="E15" s="29">
        <f>IF(O14&lt;=0,0,ROUND(O14*$E$5/12,2))</f>
      </c>
      <c r="F15" s="29">
        <f>IF(P14&lt;=0,0,ROUND(P14*$F$5/12,2))</f>
      </c>
      <c r="G15" s="29">
        <f>IF(Q14&lt;=0,0,ROUND(Q14*$G$5/12,2))</f>
      </c>
      <c r="H15" s="29">
        <f>IF(M14&lt;=0,0,MIN(M14+C15,$C$6+V15*$U15))</f>
      </c>
      <c r="I15" s="29">
        <f>IF(N14&lt;=0,0,MIN(N14+D15,$D$6+W15*$U15))</f>
      </c>
      <c r="J15" s="29">
        <f>IF(O14&lt;=0,0,MIN(O14+E15,$E$6+X15*$U15))</f>
      </c>
      <c r="K15" s="29">
        <f>IF(P14&lt;=0,0,MIN(P14+F15,$F$6+Y15*$U15))</f>
      </c>
      <c r="L15" s="29">
        <f>IF(Q14&lt;=0,0,MIN(Q14+G15,$G$6+Z15*$U15))</f>
      </c>
      <c r="M15" s="29">
        <f>ROUND(M14+C15-H15,2)</f>
      </c>
      <c r="N15" s="29">
        <f>ROUND(N14+D15-I15,2)</f>
      </c>
      <c r="O15" s="29">
        <f>ROUND(O14+E15-J15,2)</f>
      </c>
      <c r="P15" s="29">
        <f>ROUND(P14+F15-K15,2)</f>
      </c>
      <c r="Q15" s="29">
        <f>ROUND(Q14+G15-L15,2)</f>
      </c>
      <c r="R15" s="29">
        <f>SUM(H15:L15)</f>
      </c>
      <c r="S15" s="29">
        <f>SUM(C15:G15)</f>
      </c>
      <c r="T15" s="29">
        <f>SUM(M15:Q15)</f>
      </c>
      <c r="U15" s="30">
        <f>Debts!$B$13+SUMPRODUCT(($M14:$Q14&lt;=0)*$C$6:$G$6)</f>
      </c>
      <c r="V15" s="31">
        <f>IF(AND(M14&gt;0,SUMPRODUCT(($C$7:$G$7&lt;$C$7)*($M14:$Q14&gt;0))=0),1,0)</f>
      </c>
      <c r="W15" s="31">
        <f>IF(AND(N14&gt;0,SUMPRODUCT(($C$7:$G$7&lt;$D$7)*($M14:$Q14&gt;0))=0),1,0)</f>
      </c>
      <c r="X15" s="31">
        <f>IF(AND(O14&gt;0,SUMPRODUCT(($C$7:$G$7&lt;$E$7)*($M14:$Q14&gt;0))=0),1,0)</f>
      </c>
      <c r="Y15" s="31">
        <f>IF(AND(P14&gt;0,SUMPRODUCT(($C$7:$G$7&lt;$F$7)*($M14:$Q14&gt;0))=0),1,0)</f>
      </c>
      <c r="Z15" s="31">
        <f>IF(AND(Q14&gt;0,SUMPRODUCT(($C$7:$G$7&lt;$G$7)*($M14:$Q14&gt;0))=0),1,0)</f>
      </c>
    </row>
    <row r="16" spans="1:26" x14ac:dyDescent="0.25">
      <c r="A16" s="11">
        <f>A15+1</f>
      </c>
      <c r="B16" s="24">
        <f>EDATE(Debts!$B$14,A16)</f>
      </c>
      <c r="C16" s="25">
        <f>IF(M15&lt;=0,0,ROUND(M15*$C$5/12,2))</f>
      </c>
      <c r="D16" s="25">
        <f>IF(N15&lt;=0,0,ROUND(N15*$D$5/12,2))</f>
      </c>
      <c r="E16" s="25">
        <f>IF(O15&lt;=0,0,ROUND(O15*$E$5/12,2))</f>
      </c>
      <c r="F16" s="25">
        <f>IF(P15&lt;=0,0,ROUND(P15*$F$5/12,2))</f>
      </c>
      <c r="G16" s="25">
        <f>IF(Q15&lt;=0,0,ROUND(Q15*$G$5/12,2))</f>
      </c>
      <c r="H16" s="25">
        <f>IF(M15&lt;=0,0,MIN(M15+C16,$C$6+V16*$U16))</f>
      </c>
      <c r="I16" s="25">
        <f>IF(N15&lt;=0,0,MIN(N15+D16,$D$6+W16*$U16))</f>
      </c>
      <c r="J16" s="25">
        <f>IF(O15&lt;=0,0,MIN(O15+E16,$E$6+X16*$U16))</f>
      </c>
      <c r="K16" s="25">
        <f>IF(P15&lt;=0,0,MIN(P15+F16,$F$6+Y16*$U16))</f>
      </c>
      <c r="L16" s="25">
        <f>IF(Q15&lt;=0,0,MIN(Q15+G16,$G$6+Z16*$U16))</f>
      </c>
      <c r="M16" s="25">
        <f>ROUND(M15+C16-H16,2)</f>
      </c>
      <c r="N16" s="25">
        <f>ROUND(N15+D16-I16,2)</f>
      </c>
      <c r="O16" s="25">
        <f>ROUND(O15+E16-J16,2)</f>
      </c>
      <c r="P16" s="25">
        <f>ROUND(P15+F16-K16,2)</f>
      </c>
      <c r="Q16" s="25">
        <f>ROUND(Q15+G16-L16,2)</f>
      </c>
      <c r="R16" s="25">
        <f>SUM(H16:L16)</f>
      </c>
      <c r="S16" s="25">
        <f>SUM(C16:G16)</f>
      </c>
      <c r="T16" s="25">
        <f>SUM(M16:Q16)</f>
      </c>
      <c r="U16" s="26">
        <f>Debts!$B$13+SUMPRODUCT(($M15:$Q15&lt;=0)*$C$6:$G$6)</f>
      </c>
      <c r="V16" s="27">
        <f>IF(AND(M15&gt;0,SUMPRODUCT(($C$7:$G$7&lt;$C$7)*($M15:$Q15&gt;0))=0),1,0)</f>
      </c>
      <c r="W16" s="27">
        <f>IF(AND(N15&gt;0,SUMPRODUCT(($C$7:$G$7&lt;$D$7)*($M15:$Q15&gt;0))=0),1,0)</f>
      </c>
      <c r="X16" s="27">
        <f>IF(AND(O15&gt;0,SUMPRODUCT(($C$7:$G$7&lt;$E$7)*($M15:$Q15&gt;0))=0),1,0)</f>
      </c>
      <c r="Y16" s="27">
        <f>IF(AND(P15&gt;0,SUMPRODUCT(($C$7:$G$7&lt;$F$7)*($M15:$Q15&gt;0))=0),1,0)</f>
      </c>
      <c r="Z16" s="27">
        <f>IF(AND(Q15&gt;0,SUMPRODUCT(($C$7:$G$7&lt;$G$7)*($M15:$Q15&gt;0))=0),1,0)</f>
      </c>
    </row>
    <row r="17" spans="1:26" x14ac:dyDescent="0.25">
      <c r="A17" s="12">
        <f>A16+1</f>
      </c>
      <c r="B17" s="28">
        <f>EDATE(Debts!$B$14,A17)</f>
      </c>
      <c r="C17" s="29">
        <f>IF(M16&lt;=0,0,ROUND(M16*$C$5/12,2))</f>
      </c>
      <c r="D17" s="29">
        <f>IF(N16&lt;=0,0,ROUND(N16*$D$5/12,2))</f>
      </c>
      <c r="E17" s="29">
        <f>IF(O16&lt;=0,0,ROUND(O16*$E$5/12,2))</f>
      </c>
      <c r="F17" s="29">
        <f>IF(P16&lt;=0,0,ROUND(P16*$F$5/12,2))</f>
      </c>
      <c r="G17" s="29">
        <f>IF(Q16&lt;=0,0,ROUND(Q16*$G$5/12,2))</f>
      </c>
      <c r="H17" s="29">
        <f>IF(M16&lt;=0,0,MIN(M16+C17,$C$6+V17*$U17))</f>
      </c>
      <c r="I17" s="29">
        <f>IF(N16&lt;=0,0,MIN(N16+D17,$D$6+W17*$U17))</f>
      </c>
      <c r="J17" s="29">
        <f>IF(O16&lt;=0,0,MIN(O16+E17,$E$6+X17*$U17))</f>
      </c>
      <c r="K17" s="29">
        <f>IF(P16&lt;=0,0,MIN(P16+F17,$F$6+Y17*$U17))</f>
      </c>
      <c r="L17" s="29">
        <f>IF(Q16&lt;=0,0,MIN(Q16+G17,$G$6+Z17*$U17))</f>
      </c>
      <c r="M17" s="29">
        <f>ROUND(M16+C17-H17,2)</f>
      </c>
      <c r="N17" s="29">
        <f>ROUND(N16+D17-I17,2)</f>
      </c>
      <c r="O17" s="29">
        <f>ROUND(O16+E17-J17,2)</f>
      </c>
      <c r="P17" s="29">
        <f>ROUND(P16+F17-K17,2)</f>
      </c>
      <c r="Q17" s="29">
        <f>ROUND(Q16+G17-L17,2)</f>
      </c>
      <c r="R17" s="29">
        <f>SUM(H17:L17)</f>
      </c>
      <c r="S17" s="29">
        <f>SUM(C17:G17)</f>
      </c>
      <c r="T17" s="29">
        <f>SUM(M17:Q17)</f>
      </c>
      <c r="U17" s="30">
        <f>Debts!$B$13+SUMPRODUCT(($M16:$Q16&lt;=0)*$C$6:$G$6)</f>
      </c>
      <c r="V17" s="31">
        <f>IF(AND(M16&gt;0,SUMPRODUCT(($C$7:$G$7&lt;$C$7)*($M16:$Q16&gt;0))=0),1,0)</f>
      </c>
      <c r="W17" s="31">
        <f>IF(AND(N16&gt;0,SUMPRODUCT(($C$7:$G$7&lt;$D$7)*($M16:$Q16&gt;0))=0),1,0)</f>
      </c>
      <c r="X17" s="31">
        <f>IF(AND(O16&gt;0,SUMPRODUCT(($C$7:$G$7&lt;$E$7)*($M16:$Q16&gt;0))=0),1,0)</f>
      </c>
      <c r="Y17" s="31">
        <f>IF(AND(P16&gt;0,SUMPRODUCT(($C$7:$G$7&lt;$F$7)*($M16:$Q16&gt;0))=0),1,0)</f>
      </c>
      <c r="Z17" s="31">
        <f>IF(AND(Q16&gt;0,SUMPRODUCT(($C$7:$G$7&lt;$G$7)*($M16:$Q16&gt;0))=0),1,0)</f>
      </c>
    </row>
    <row r="18" spans="1:26" x14ac:dyDescent="0.25">
      <c r="A18" s="11">
        <f>A17+1</f>
      </c>
      <c r="B18" s="24">
        <f>EDATE(Debts!$B$14,A18)</f>
      </c>
      <c r="C18" s="25">
        <f>IF(M17&lt;=0,0,ROUND(M17*$C$5/12,2))</f>
      </c>
      <c r="D18" s="25">
        <f>IF(N17&lt;=0,0,ROUND(N17*$D$5/12,2))</f>
      </c>
      <c r="E18" s="25">
        <f>IF(O17&lt;=0,0,ROUND(O17*$E$5/12,2))</f>
      </c>
      <c r="F18" s="25">
        <f>IF(P17&lt;=0,0,ROUND(P17*$F$5/12,2))</f>
      </c>
      <c r="G18" s="25">
        <f>IF(Q17&lt;=0,0,ROUND(Q17*$G$5/12,2))</f>
      </c>
      <c r="H18" s="25">
        <f>IF(M17&lt;=0,0,MIN(M17+C18,$C$6+V18*$U18))</f>
      </c>
      <c r="I18" s="25">
        <f>IF(N17&lt;=0,0,MIN(N17+D18,$D$6+W18*$U18))</f>
      </c>
      <c r="J18" s="25">
        <f>IF(O17&lt;=0,0,MIN(O17+E18,$E$6+X18*$U18))</f>
      </c>
      <c r="K18" s="25">
        <f>IF(P17&lt;=0,0,MIN(P17+F18,$F$6+Y18*$U18))</f>
      </c>
      <c r="L18" s="25">
        <f>IF(Q17&lt;=0,0,MIN(Q17+G18,$G$6+Z18*$U18))</f>
      </c>
      <c r="M18" s="25">
        <f>ROUND(M17+C18-H18,2)</f>
      </c>
      <c r="N18" s="25">
        <f>ROUND(N17+D18-I18,2)</f>
      </c>
      <c r="O18" s="25">
        <f>ROUND(O17+E18-J18,2)</f>
      </c>
      <c r="P18" s="25">
        <f>ROUND(P17+F18-K18,2)</f>
      </c>
      <c r="Q18" s="25">
        <f>ROUND(Q17+G18-L18,2)</f>
      </c>
      <c r="R18" s="25">
        <f>SUM(H18:L18)</f>
      </c>
      <c r="S18" s="25">
        <f>SUM(C18:G18)</f>
      </c>
      <c r="T18" s="25">
        <f>SUM(M18:Q18)</f>
      </c>
      <c r="U18" s="26">
        <f>Debts!$B$13+SUMPRODUCT(($M17:$Q17&lt;=0)*$C$6:$G$6)</f>
      </c>
      <c r="V18" s="27">
        <f>IF(AND(M17&gt;0,SUMPRODUCT(($C$7:$G$7&lt;$C$7)*($M17:$Q17&gt;0))=0),1,0)</f>
      </c>
      <c r="W18" s="27">
        <f>IF(AND(N17&gt;0,SUMPRODUCT(($C$7:$G$7&lt;$D$7)*($M17:$Q17&gt;0))=0),1,0)</f>
      </c>
      <c r="X18" s="27">
        <f>IF(AND(O17&gt;0,SUMPRODUCT(($C$7:$G$7&lt;$E$7)*($M17:$Q17&gt;0))=0),1,0)</f>
      </c>
      <c r="Y18" s="27">
        <f>IF(AND(P17&gt;0,SUMPRODUCT(($C$7:$G$7&lt;$F$7)*($M17:$Q17&gt;0))=0),1,0)</f>
      </c>
      <c r="Z18" s="27">
        <f>IF(AND(Q17&gt;0,SUMPRODUCT(($C$7:$G$7&lt;$G$7)*($M17:$Q17&gt;0))=0),1,0)</f>
      </c>
    </row>
    <row r="19" spans="1:26" x14ac:dyDescent="0.25">
      <c r="A19" s="12">
        <f>A18+1</f>
      </c>
      <c r="B19" s="28">
        <f>EDATE(Debts!$B$14,A19)</f>
      </c>
      <c r="C19" s="29">
        <f>IF(M18&lt;=0,0,ROUND(M18*$C$5/12,2))</f>
      </c>
      <c r="D19" s="29">
        <f>IF(N18&lt;=0,0,ROUND(N18*$D$5/12,2))</f>
      </c>
      <c r="E19" s="29">
        <f>IF(O18&lt;=0,0,ROUND(O18*$E$5/12,2))</f>
      </c>
      <c r="F19" s="29">
        <f>IF(P18&lt;=0,0,ROUND(P18*$F$5/12,2))</f>
      </c>
      <c r="G19" s="29">
        <f>IF(Q18&lt;=0,0,ROUND(Q18*$G$5/12,2))</f>
      </c>
      <c r="H19" s="29">
        <f>IF(M18&lt;=0,0,MIN(M18+C19,$C$6+V19*$U19))</f>
      </c>
      <c r="I19" s="29">
        <f>IF(N18&lt;=0,0,MIN(N18+D19,$D$6+W19*$U19))</f>
      </c>
      <c r="J19" s="29">
        <f>IF(O18&lt;=0,0,MIN(O18+E19,$E$6+X19*$U19))</f>
      </c>
      <c r="K19" s="29">
        <f>IF(P18&lt;=0,0,MIN(P18+F19,$F$6+Y19*$U19))</f>
      </c>
      <c r="L19" s="29">
        <f>IF(Q18&lt;=0,0,MIN(Q18+G19,$G$6+Z19*$U19))</f>
      </c>
      <c r="M19" s="29">
        <f>ROUND(M18+C19-H19,2)</f>
      </c>
      <c r="N19" s="29">
        <f>ROUND(N18+D19-I19,2)</f>
      </c>
      <c r="O19" s="29">
        <f>ROUND(O18+E19-J19,2)</f>
      </c>
      <c r="P19" s="29">
        <f>ROUND(P18+F19-K19,2)</f>
      </c>
      <c r="Q19" s="29">
        <f>ROUND(Q18+G19-L19,2)</f>
      </c>
      <c r="R19" s="29">
        <f>SUM(H19:L19)</f>
      </c>
      <c r="S19" s="29">
        <f>SUM(C19:G19)</f>
      </c>
      <c r="T19" s="29">
        <f>SUM(M19:Q19)</f>
      </c>
      <c r="U19" s="30">
        <f>Debts!$B$13+SUMPRODUCT(($M18:$Q18&lt;=0)*$C$6:$G$6)</f>
      </c>
      <c r="V19" s="31">
        <f>IF(AND(M18&gt;0,SUMPRODUCT(($C$7:$G$7&lt;$C$7)*($M18:$Q18&gt;0))=0),1,0)</f>
      </c>
      <c r="W19" s="31">
        <f>IF(AND(N18&gt;0,SUMPRODUCT(($C$7:$G$7&lt;$D$7)*($M18:$Q18&gt;0))=0),1,0)</f>
      </c>
      <c r="X19" s="31">
        <f>IF(AND(O18&gt;0,SUMPRODUCT(($C$7:$G$7&lt;$E$7)*($M18:$Q18&gt;0))=0),1,0)</f>
      </c>
      <c r="Y19" s="31">
        <f>IF(AND(P18&gt;0,SUMPRODUCT(($C$7:$G$7&lt;$F$7)*($M18:$Q18&gt;0))=0),1,0)</f>
      </c>
      <c r="Z19" s="31">
        <f>IF(AND(Q18&gt;0,SUMPRODUCT(($C$7:$G$7&lt;$G$7)*($M18:$Q18&gt;0))=0),1,0)</f>
      </c>
    </row>
    <row r="20" spans="1:26" x14ac:dyDescent="0.25">
      <c r="A20" s="11">
        <f>A19+1</f>
      </c>
      <c r="B20" s="24">
        <f>EDATE(Debts!$B$14,A20)</f>
      </c>
      <c r="C20" s="25">
        <f>IF(M19&lt;=0,0,ROUND(M19*$C$5/12,2))</f>
      </c>
      <c r="D20" s="25">
        <f>IF(N19&lt;=0,0,ROUND(N19*$D$5/12,2))</f>
      </c>
      <c r="E20" s="25">
        <f>IF(O19&lt;=0,0,ROUND(O19*$E$5/12,2))</f>
      </c>
      <c r="F20" s="25">
        <f>IF(P19&lt;=0,0,ROUND(P19*$F$5/12,2))</f>
      </c>
      <c r="G20" s="25">
        <f>IF(Q19&lt;=0,0,ROUND(Q19*$G$5/12,2))</f>
      </c>
      <c r="H20" s="25">
        <f>IF(M19&lt;=0,0,MIN(M19+C20,$C$6+V20*$U20))</f>
      </c>
      <c r="I20" s="25">
        <f>IF(N19&lt;=0,0,MIN(N19+D20,$D$6+W20*$U20))</f>
      </c>
      <c r="J20" s="25">
        <f>IF(O19&lt;=0,0,MIN(O19+E20,$E$6+X20*$U20))</f>
      </c>
      <c r="K20" s="25">
        <f>IF(P19&lt;=0,0,MIN(P19+F20,$F$6+Y20*$U20))</f>
      </c>
      <c r="L20" s="25">
        <f>IF(Q19&lt;=0,0,MIN(Q19+G20,$G$6+Z20*$U20))</f>
      </c>
      <c r="M20" s="25">
        <f>ROUND(M19+C20-H20,2)</f>
      </c>
      <c r="N20" s="25">
        <f>ROUND(N19+D20-I20,2)</f>
      </c>
      <c r="O20" s="25">
        <f>ROUND(O19+E20-J20,2)</f>
      </c>
      <c r="P20" s="25">
        <f>ROUND(P19+F20-K20,2)</f>
      </c>
      <c r="Q20" s="25">
        <f>ROUND(Q19+G20-L20,2)</f>
      </c>
      <c r="R20" s="25">
        <f>SUM(H20:L20)</f>
      </c>
      <c r="S20" s="25">
        <f>SUM(C20:G20)</f>
      </c>
      <c r="T20" s="25">
        <f>SUM(M20:Q20)</f>
      </c>
      <c r="U20" s="26">
        <f>Debts!$B$13+SUMPRODUCT(($M19:$Q19&lt;=0)*$C$6:$G$6)</f>
      </c>
      <c r="V20" s="27">
        <f>IF(AND(M19&gt;0,SUMPRODUCT(($C$7:$G$7&lt;$C$7)*($M19:$Q19&gt;0))=0),1,0)</f>
      </c>
      <c r="W20" s="27">
        <f>IF(AND(N19&gt;0,SUMPRODUCT(($C$7:$G$7&lt;$D$7)*($M19:$Q19&gt;0))=0),1,0)</f>
      </c>
      <c r="X20" s="27">
        <f>IF(AND(O19&gt;0,SUMPRODUCT(($C$7:$G$7&lt;$E$7)*($M19:$Q19&gt;0))=0),1,0)</f>
      </c>
      <c r="Y20" s="27">
        <f>IF(AND(P19&gt;0,SUMPRODUCT(($C$7:$G$7&lt;$F$7)*($M19:$Q19&gt;0))=0),1,0)</f>
      </c>
      <c r="Z20" s="27">
        <f>IF(AND(Q19&gt;0,SUMPRODUCT(($C$7:$G$7&lt;$G$7)*($M19:$Q19&gt;0))=0),1,0)</f>
      </c>
    </row>
    <row r="21" spans="1:26" x14ac:dyDescent="0.25">
      <c r="A21" s="12">
        <f>A20+1</f>
      </c>
      <c r="B21" s="28">
        <f>EDATE(Debts!$B$14,A21)</f>
      </c>
      <c r="C21" s="29">
        <f>IF(M20&lt;=0,0,ROUND(M20*$C$5/12,2))</f>
      </c>
      <c r="D21" s="29">
        <f>IF(N20&lt;=0,0,ROUND(N20*$D$5/12,2))</f>
      </c>
      <c r="E21" s="29">
        <f>IF(O20&lt;=0,0,ROUND(O20*$E$5/12,2))</f>
      </c>
      <c r="F21" s="29">
        <f>IF(P20&lt;=0,0,ROUND(P20*$F$5/12,2))</f>
      </c>
      <c r="G21" s="29">
        <f>IF(Q20&lt;=0,0,ROUND(Q20*$G$5/12,2))</f>
      </c>
      <c r="H21" s="29">
        <f>IF(M20&lt;=0,0,MIN(M20+C21,$C$6+V21*$U21))</f>
      </c>
      <c r="I21" s="29">
        <f>IF(N20&lt;=0,0,MIN(N20+D21,$D$6+W21*$U21))</f>
      </c>
      <c r="J21" s="29">
        <f>IF(O20&lt;=0,0,MIN(O20+E21,$E$6+X21*$U21))</f>
      </c>
      <c r="K21" s="29">
        <f>IF(P20&lt;=0,0,MIN(P20+F21,$F$6+Y21*$U21))</f>
      </c>
      <c r="L21" s="29">
        <f>IF(Q20&lt;=0,0,MIN(Q20+G21,$G$6+Z21*$U21))</f>
      </c>
      <c r="M21" s="29">
        <f>ROUND(M20+C21-H21,2)</f>
      </c>
      <c r="N21" s="29">
        <f>ROUND(N20+D21-I21,2)</f>
      </c>
      <c r="O21" s="29">
        <f>ROUND(O20+E21-J21,2)</f>
      </c>
      <c r="P21" s="29">
        <f>ROUND(P20+F21-K21,2)</f>
      </c>
      <c r="Q21" s="29">
        <f>ROUND(Q20+G21-L21,2)</f>
      </c>
      <c r="R21" s="29">
        <f>SUM(H21:L21)</f>
      </c>
      <c r="S21" s="29">
        <f>SUM(C21:G21)</f>
      </c>
      <c r="T21" s="29">
        <f>SUM(M21:Q21)</f>
      </c>
      <c r="U21" s="30">
        <f>Debts!$B$13+SUMPRODUCT(($M20:$Q20&lt;=0)*$C$6:$G$6)</f>
      </c>
      <c r="V21" s="31">
        <f>IF(AND(M20&gt;0,SUMPRODUCT(($C$7:$G$7&lt;$C$7)*($M20:$Q20&gt;0))=0),1,0)</f>
      </c>
      <c r="W21" s="31">
        <f>IF(AND(N20&gt;0,SUMPRODUCT(($C$7:$G$7&lt;$D$7)*($M20:$Q20&gt;0))=0),1,0)</f>
      </c>
      <c r="X21" s="31">
        <f>IF(AND(O20&gt;0,SUMPRODUCT(($C$7:$G$7&lt;$E$7)*($M20:$Q20&gt;0))=0),1,0)</f>
      </c>
      <c r="Y21" s="31">
        <f>IF(AND(P20&gt;0,SUMPRODUCT(($C$7:$G$7&lt;$F$7)*($M20:$Q20&gt;0))=0),1,0)</f>
      </c>
      <c r="Z21" s="31">
        <f>IF(AND(Q20&gt;0,SUMPRODUCT(($C$7:$G$7&lt;$G$7)*($M20:$Q20&gt;0))=0),1,0)</f>
      </c>
    </row>
    <row r="22" spans="1:26" x14ac:dyDescent="0.25">
      <c r="A22" s="11">
        <f>A21+1</f>
      </c>
      <c r="B22" s="24">
        <f>EDATE(Debts!$B$14,A22)</f>
      </c>
      <c r="C22" s="25">
        <f>IF(M21&lt;=0,0,ROUND(M21*$C$5/12,2))</f>
      </c>
      <c r="D22" s="25">
        <f>IF(N21&lt;=0,0,ROUND(N21*$D$5/12,2))</f>
      </c>
      <c r="E22" s="25">
        <f>IF(O21&lt;=0,0,ROUND(O21*$E$5/12,2))</f>
      </c>
      <c r="F22" s="25">
        <f>IF(P21&lt;=0,0,ROUND(P21*$F$5/12,2))</f>
      </c>
      <c r="G22" s="25">
        <f>IF(Q21&lt;=0,0,ROUND(Q21*$G$5/12,2))</f>
      </c>
      <c r="H22" s="25">
        <f>IF(M21&lt;=0,0,MIN(M21+C22,$C$6+V22*$U22))</f>
      </c>
      <c r="I22" s="25">
        <f>IF(N21&lt;=0,0,MIN(N21+D22,$D$6+W22*$U22))</f>
      </c>
      <c r="J22" s="25">
        <f>IF(O21&lt;=0,0,MIN(O21+E22,$E$6+X22*$U22))</f>
      </c>
      <c r="K22" s="25">
        <f>IF(P21&lt;=0,0,MIN(P21+F22,$F$6+Y22*$U22))</f>
      </c>
      <c r="L22" s="25">
        <f>IF(Q21&lt;=0,0,MIN(Q21+G22,$G$6+Z22*$U22))</f>
      </c>
      <c r="M22" s="25">
        <f>ROUND(M21+C22-H22,2)</f>
      </c>
      <c r="N22" s="25">
        <f>ROUND(N21+D22-I22,2)</f>
      </c>
      <c r="O22" s="25">
        <f>ROUND(O21+E22-J22,2)</f>
      </c>
      <c r="P22" s="25">
        <f>ROUND(P21+F22-K22,2)</f>
      </c>
      <c r="Q22" s="25">
        <f>ROUND(Q21+G22-L22,2)</f>
      </c>
      <c r="R22" s="25">
        <f>SUM(H22:L22)</f>
      </c>
      <c r="S22" s="25">
        <f>SUM(C22:G22)</f>
      </c>
      <c r="T22" s="25">
        <f>SUM(M22:Q22)</f>
      </c>
      <c r="U22" s="26">
        <f>Debts!$B$13+SUMPRODUCT(($M21:$Q21&lt;=0)*$C$6:$G$6)</f>
      </c>
      <c r="V22" s="27">
        <f>IF(AND(M21&gt;0,SUMPRODUCT(($C$7:$G$7&lt;$C$7)*($M21:$Q21&gt;0))=0),1,0)</f>
      </c>
      <c r="W22" s="27">
        <f>IF(AND(N21&gt;0,SUMPRODUCT(($C$7:$G$7&lt;$D$7)*($M21:$Q21&gt;0))=0),1,0)</f>
      </c>
      <c r="X22" s="27">
        <f>IF(AND(O21&gt;0,SUMPRODUCT(($C$7:$G$7&lt;$E$7)*($M21:$Q21&gt;0))=0),1,0)</f>
      </c>
      <c r="Y22" s="27">
        <f>IF(AND(P21&gt;0,SUMPRODUCT(($C$7:$G$7&lt;$F$7)*($M21:$Q21&gt;0))=0),1,0)</f>
      </c>
      <c r="Z22" s="27">
        <f>IF(AND(Q21&gt;0,SUMPRODUCT(($C$7:$G$7&lt;$G$7)*($M21:$Q21&gt;0))=0),1,0)</f>
      </c>
    </row>
    <row r="23" spans="1:26" x14ac:dyDescent="0.25">
      <c r="A23" s="12">
        <f>A22+1</f>
      </c>
      <c r="B23" s="28">
        <f>EDATE(Debts!$B$14,A23)</f>
      </c>
      <c r="C23" s="29">
        <f>IF(M22&lt;=0,0,ROUND(M22*$C$5/12,2))</f>
      </c>
      <c r="D23" s="29">
        <f>IF(N22&lt;=0,0,ROUND(N22*$D$5/12,2))</f>
      </c>
      <c r="E23" s="29">
        <f>IF(O22&lt;=0,0,ROUND(O22*$E$5/12,2))</f>
      </c>
      <c r="F23" s="29">
        <f>IF(P22&lt;=0,0,ROUND(P22*$F$5/12,2))</f>
      </c>
      <c r="G23" s="29">
        <f>IF(Q22&lt;=0,0,ROUND(Q22*$G$5/12,2))</f>
      </c>
      <c r="H23" s="29">
        <f>IF(M22&lt;=0,0,MIN(M22+C23,$C$6+V23*$U23))</f>
      </c>
      <c r="I23" s="29">
        <f>IF(N22&lt;=0,0,MIN(N22+D23,$D$6+W23*$U23))</f>
      </c>
      <c r="J23" s="29">
        <f>IF(O22&lt;=0,0,MIN(O22+E23,$E$6+X23*$U23))</f>
      </c>
      <c r="K23" s="29">
        <f>IF(P22&lt;=0,0,MIN(P22+F23,$F$6+Y23*$U23))</f>
      </c>
      <c r="L23" s="29">
        <f>IF(Q22&lt;=0,0,MIN(Q22+G23,$G$6+Z23*$U23))</f>
      </c>
      <c r="M23" s="29">
        <f>ROUND(M22+C23-H23,2)</f>
      </c>
      <c r="N23" s="29">
        <f>ROUND(N22+D23-I23,2)</f>
      </c>
      <c r="O23" s="29">
        <f>ROUND(O22+E23-J23,2)</f>
      </c>
      <c r="P23" s="29">
        <f>ROUND(P22+F23-K23,2)</f>
      </c>
      <c r="Q23" s="29">
        <f>ROUND(Q22+G23-L23,2)</f>
      </c>
      <c r="R23" s="29">
        <f>SUM(H23:L23)</f>
      </c>
      <c r="S23" s="29">
        <f>SUM(C23:G23)</f>
      </c>
      <c r="T23" s="29">
        <f>SUM(M23:Q23)</f>
      </c>
      <c r="U23" s="30">
        <f>Debts!$B$13+SUMPRODUCT(($M22:$Q22&lt;=0)*$C$6:$G$6)</f>
      </c>
      <c r="V23" s="31">
        <f>IF(AND(M22&gt;0,SUMPRODUCT(($C$7:$G$7&lt;$C$7)*($M22:$Q22&gt;0))=0),1,0)</f>
      </c>
      <c r="W23" s="31">
        <f>IF(AND(N22&gt;0,SUMPRODUCT(($C$7:$G$7&lt;$D$7)*($M22:$Q22&gt;0))=0),1,0)</f>
      </c>
      <c r="X23" s="31">
        <f>IF(AND(O22&gt;0,SUMPRODUCT(($C$7:$G$7&lt;$E$7)*($M22:$Q22&gt;0))=0),1,0)</f>
      </c>
      <c r="Y23" s="31">
        <f>IF(AND(P22&gt;0,SUMPRODUCT(($C$7:$G$7&lt;$F$7)*($M22:$Q22&gt;0))=0),1,0)</f>
      </c>
      <c r="Z23" s="31">
        <f>IF(AND(Q22&gt;0,SUMPRODUCT(($C$7:$G$7&lt;$G$7)*($M22:$Q22&gt;0))=0),1,0)</f>
      </c>
    </row>
    <row r="24" spans="1:26" x14ac:dyDescent="0.25">
      <c r="A24" s="11">
        <f>A23+1</f>
      </c>
      <c r="B24" s="24">
        <f>EDATE(Debts!$B$14,A24)</f>
      </c>
      <c r="C24" s="25">
        <f>IF(M23&lt;=0,0,ROUND(M23*$C$5/12,2))</f>
      </c>
      <c r="D24" s="25">
        <f>IF(N23&lt;=0,0,ROUND(N23*$D$5/12,2))</f>
      </c>
      <c r="E24" s="25">
        <f>IF(O23&lt;=0,0,ROUND(O23*$E$5/12,2))</f>
      </c>
      <c r="F24" s="25">
        <f>IF(P23&lt;=0,0,ROUND(P23*$F$5/12,2))</f>
      </c>
      <c r="G24" s="25">
        <f>IF(Q23&lt;=0,0,ROUND(Q23*$G$5/12,2))</f>
      </c>
      <c r="H24" s="25">
        <f>IF(M23&lt;=0,0,MIN(M23+C24,$C$6+V24*$U24))</f>
      </c>
      <c r="I24" s="25">
        <f>IF(N23&lt;=0,0,MIN(N23+D24,$D$6+W24*$U24))</f>
      </c>
      <c r="J24" s="25">
        <f>IF(O23&lt;=0,0,MIN(O23+E24,$E$6+X24*$U24))</f>
      </c>
      <c r="K24" s="25">
        <f>IF(P23&lt;=0,0,MIN(P23+F24,$F$6+Y24*$U24))</f>
      </c>
      <c r="L24" s="25">
        <f>IF(Q23&lt;=0,0,MIN(Q23+G24,$G$6+Z24*$U24))</f>
      </c>
      <c r="M24" s="25">
        <f>ROUND(M23+C24-H24,2)</f>
      </c>
      <c r="N24" s="25">
        <f>ROUND(N23+D24-I24,2)</f>
      </c>
      <c r="O24" s="25">
        <f>ROUND(O23+E24-J24,2)</f>
      </c>
      <c r="P24" s="25">
        <f>ROUND(P23+F24-K24,2)</f>
      </c>
      <c r="Q24" s="25">
        <f>ROUND(Q23+G24-L24,2)</f>
      </c>
      <c r="R24" s="25">
        <f>SUM(H24:L24)</f>
      </c>
      <c r="S24" s="25">
        <f>SUM(C24:G24)</f>
      </c>
      <c r="T24" s="25">
        <f>SUM(M24:Q24)</f>
      </c>
      <c r="U24" s="26">
        <f>Debts!$B$13+SUMPRODUCT(($M23:$Q23&lt;=0)*$C$6:$G$6)</f>
      </c>
      <c r="V24" s="27">
        <f>IF(AND(M23&gt;0,SUMPRODUCT(($C$7:$G$7&lt;$C$7)*($M23:$Q23&gt;0))=0),1,0)</f>
      </c>
      <c r="W24" s="27">
        <f>IF(AND(N23&gt;0,SUMPRODUCT(($C$7:$G$7&lt;$D$7)*($M23:$Q23&gt;0))=0),1,0)</f>
      </c>
      <c r="X24" s="27">
        <f>IF(AND(O23&gt;0,SUMPRODUCT(($C$7:$G$7&lt;$E$7)*($M23:$Q23&gt;0))=0),1,0)</f>
      </c>
      <c r="Y24" s="27">
        <f>IF(AND(P23&gt;0,SUMPRODUCT(($C$7:$G$7&lt;$F$7)*($M23:$Q23&gt;0))=0),1,0)</f>
      </c>
      <c r="Z24" s="27">
        <f>IF(AND(Q23&gt;0,SUMPRODUCT(($C$7:$G$7&lt;$G$7)*($M23:$Q23&gt;0))=0),1,0)</f>
      </c>
    </row>
    <row r="25" spans="1:26" x14ac:dyDescent="0.25">
      <c r="A25" s="12">
        <f>A24+1</f>
      </c>
      <c r="B25" s="28">
        <f>EDATE(Debts!$B$14,A25)</f>
      </c>
      <c r="C25" s="29">
        <f>IF(M24&lt;=0,0,ROUND(M24*$C$5/12,2))</f>
      </c>
      <c r="D25" s="29">
        <f>IF(N24&lt;=0,0,ROUND(N24*$D$5/12,2))</f>
      </c>
      <c r="E25" s="29">
        <f>IF(O24&lt;=0,0,ROUND(O24*$E$5/12,2))</f>
      </c>
      <c r="F25" s="29">
        <f>IF(P24&lt;=0,0,ROUND(P24*$F$5/12,2))</f>
      </c>
      <c r="G25" s="29">
        <f>IF(Q24&lt;=0,0,ROUND(Q24*$G$5/12,2))</f>
      </c>
      <c r="H25" s="29">
        <f>IF(M24&lt;=0,0,MIN(M24+C25,$C$6+V25*$U25))</f>
      </c>
      <c r="I25" s="29">
        <f>IF(N24&lt;=0,0,MIN(N24+D25,$D$6+W25*$U25))</f>
      </c>
      <c r="J25" s="29">
        <f>IF(O24&lt;=0,0,MIN(O24+E25,$E$6+X25*$U25))</f>
      </c>
      <c r="K25" s="29">
        <f>IF(P24&lt;=0,0,MIN(P24+F25,$F$6+Y25*$U25))</f>
      </c>
      <c r="L25" s="29">
        <f>IF(Q24&lt;=0,0,MIN(Q24+G25,$G$6+Z25*$U25))</f>
      </c>
      <c r="M25" s="29">
        <f>ROUND(M24+C25-H25,2)</f>
      </c>
      <c r="N25" s="29">
        <f>ROUND(N24+D25-I25,2)</f>
      </c>
      <c r="O25" s="29">
        <f>ROUND(O24+E25-J25,2)</f>
      </c>
      <c r="P25" s="29">
        <f>ROUND(P24+F25-K25,2)</f>
      </c>
      <c r="Q25" s="29">
        <f>ROUND(Q24+G25-L25,2)</f>
      </c>
      <c r="R25" s="29">
        <f>SUM(H25:L25)</f>
      </c>
      <c r="S25" s="29">
        <f>SUM(C25:G25)</f>
      </c>
      <c r="T25" s="29">
        <f>SUM(M25:Q25)</f>
      </c>
      <c r="U25" s="30">
        <f>Debts!$B$13+SUMPRODUCT(($M24:$Q24&lt;=0)*$C$6:$G$6)</f>
      </c>
      <c r="V25" s="31">
        <f>IF(AND(M24&gt;0,SUMPRODUCT(($C$7:$G$7&lt;$C$7)*($M24:$Q24&gt;0))=0),1,0)</f>
      </c>
      <c r="W25" s="31">
        <f>IF(AND(N24&gt;0,SUMPRODUCT(($C$7:$G$7&lt;$D$7)*($M24:$Q24&gt;0))=0),1,0)</f>
      </c>
      <c r="X25" s="31">
        <f>IF(AND(O24&gt;0,SUMPRODUCT(($C$7:$G$7&lt;$E$7)*($M24:$Q24&gt;0))=0),1,0)</f>
      </c>
      <c r="Y25" s="31">
        <f>IF(AND(P24&gt;0,SUMPRODUCT(($C$7:$G$7&lt;$F$7)*($M24:$Q24&gt;0))=0),1,0)</f>
      </c>
      <c r="Z25" s="31">
        <f>IF(AND(Q24&gt;0,SUMPRODUCT(($C$7:$G$7&lt;$G$7)*($M24:$Q24&gt;0))=0),1,0)</f>
      </c>
    </row>
    <row r="26" spans="1:26" x14ac:dyDescent="0.25">
      <c r="A26" s="11">
        <f>A25+1</f>
      </c>
      <c r="B26" s="24">
        <f>EDATE(Debts!$B$14,A26)</f>
      </c>
      <c r="C26" s="25">
        <f>IF(M25&lt;=0,0,ROUND(M25*$C$5/12,2))</f>
      </c>
      <c r="D26" s="25">
        <f>IF(N25&lt;=0,0,ROUND(N25*$D$5/12,2))</f>
      </c>
      <c r="E26" s="25">
        <f>IF(O25&lt;=0,0,ROUND(O25*$E$5/12,2))</f>
      </c>
      <c r="F26" s="25">
        <f>IF(P25&lt;=0,0,ROUND(P25*$F$5/12,2))</f>
      </c>
      <c r="G26" s="25">
        <f>IF(Q25&lt;=0,0,ROUND(Q25*$G$5/12,2))</f>
      </c>
      <c r="H26" s="25">
        <f>IF(M25&lt;=0,0,MIN(M25+C26,$C$6+V26*$U26))</f>
      </c>
      <c r="I26" s="25">
        <f>IF(N25&lt;=0,0,MIN(N25+D26,$D$6+W26*$U26))</f>
      </c>
      <c r="J26" s="25">
        <f>IF(O25&lt;=0,0,MIN(O25+E26,$E$6+X26*$U26))</f>
      </c>
      <c r="K26" s="25">
        <f>IF(P25&lt;=0,0,MIN(P25+F26,$F$6+Y26*$U26))</f>
      </c>
      <c r="L26" s="25">
        <f>IF(Q25&lt;=0,0,MIN(Q25+G26,$G$6+Z26*$U26))</f>
      </c>
      <c r="M26" s="25">
        <f>ROUND(M25+C26-H26,2)</f>
      </c>
      <c r="N26" s="25">
        <f>ROUND(N25+D26-I26,2)</f>
      </c>
      <c r="O26" s="25">
        <f>ROUND(O25+E26-J26,2)</f>
      </c>
      <c r="P26" s="25">
        <f>ROUND(P25+F26-K26,2)</f>
      </c>
      <c r="Q26" s="25">
        <f>ROUND(Q25+G26-L26,2)</f>
      </c>
      <c r="R26" s="25">
        <f>SUM(H26:L26)</f>
      </c>
      <c r="S26" s="25">
        <f>SUM(C26:G26)</f>
      </c>
      <c r="T26" s="25">
        <f>SUM(M26:Q26)</f>
      </c>
      <c r="U26" s="26">
        <f>Debts!$B$13+SUMPRODUCT(($M25:$Q25&lt;=0)*$C$6:$G$6)</f>
      </c>
      <c r="V26" s="27">
        <f>IF(AND(M25&gt;0,SUMPRODUCT(($C$7:$G$7&lt;$C$7)*($M25:$Q25&gt;0))=0),1,0)</f>
      </c>
      <c r="W26" s="27">
        <f>IF(AND(N25&gt;0,SUMPRODUCT(($C$7:$G$7&lt;$D$7)*($M25:$Q25&gt;0))=0),1,0)</f>
      </c>
      <c r="X26" s="27">
        <f>IF(AND(O25&gt;0,SUMPRODUCT(($C$7:$G$7&lt;$E$7)*($M25:$Q25&gt;0))=0),1,0)</f>
      </c>
      <c r="Y26" s="27">
        <f>IF(AND(P25&gt;0,SUMPRODUCT(($C$7:$G$7&lt;$F$7)*($M25:$Q25&gt;0))=0),1,0)</f>
      </c>
      <c r="Z26" s="27">
        <f>IF(AND(Q25&gt;0,SUMPRODUCT(($C$7:$G$7&lt;$G$7)*($M25:$Q25&gt;0))=0),1,0)</f>
      </c>
    </row>
    <row r="27" spans="1:26" x14ac:dyDescent="0.25">
      <c r="A27" s="12">
        <f>A26+1</f>
      </c>
      <c r="B27" s="28">
        <f>EDATE(Debts!$B$14,A27)</f>
      </c>
      <c r="C27" s="29">
        <f>IF(M26&lt;=0,0,ROUND(M26*$C$5/12,2))</f>
      </c>
      <c r="D27" s="29">
        <f>IF(N26&lt;=0,0,ROUND(N26*$D$5/12,2))</f>
      </c>
      <c r="E27" s="29">
        <f>IF(O26&lt;=0,0,ROUND(O26*$E$5/12,2))</f>
      </c>
      <c r="F27" s="29">
        <f>IF(P26&lt;=0,0,ROUND(P26*$F$5/12,2))</f>
      </c>
      <c r="G27" s="29">
        <f>IF(Q26&lt;=0,0,ROUND(Q26*$G$5/12,2))</f>
      </c>
      <c r="H27" s="29">
        <f>IF(M26&lt;=0,0,MIN(M26+C27,$C$6+V27*$U27))</f>
      </c>
      <c r="I27" s="29">
        <f>IF(N26&lt;=0,0,MIN(N26+D27,$D$6+W27*$U27))</f>
      </c>
      <c r="J27" s="29">
        <f>IF(O26&lt;=0,0,MIN(O26+E27,$E$6+X27*$U27))</f>
      </c>
      <c r="K27" s="29">
        <f>IF(P26&lt;=0,0,MIN(P26+F27,$F$6+Y27*$U27))</f>
      </c>
      <c r="L27" s="29">
        <f>IF(Q26&lt;=0,0,MIN(Q26+G27,$G$6+Z27*$U27))</f>
      </c>
      <c r="M27" s="29">
        <f>ROUND(M26+C27-H27,2)</f>
      </c>
      <c r="N27" s="29">
        <f>ROUND(N26+D27-I27,2)</f>
      </c>
      <c r="O27" s="29">
        <f>ROUND(O26+E27-J27,2)</f>
      </c>
      <c r="P27" s="29">
        <f>ROUND(P26+F27-K27,2)</f>
      </c>
      <c r="Q27" s="29">
        <f>ROUND(Q26+G27-L27,2)</f>
      </c>
      <c r="R27" s="29">
        <f>SUM(H27:L27)</f>
      </c>
      <c r="S27" s="29">
        <f>SUM(C27:G27)</f>
      </c>
      <c r="T27" s="29">
        <f>SUM(M27:Q27)</f>
      </c>
      <c r="U27" s="30">
        <f>Debts!$B$13+SUMPRODUCT(($M26:$Q26&lt;=0)*$C$6:$G$6)</f>
      </c>
      <c r="V27" s="31">
        <f>IF(AND(M26&gt;0,SUMPRODUCT(($C$7:$G$7&lt;$C$7)*($M26:$Q26&gt;0))=0),1,0)</f>
      </c>
      <c r="W27" s="31">
        <f>IF(AND(N26&gt;0,SUMPRODUCT(($C$7:$G$7&lt;$D$7)*($M26:$Q26&gt;0))=0),1,0)</f>
      </c>
      <c r="X27" s="31">
        <f>IF(AND(O26&gt;0,SUMPRODUCT(($C$7:$G$7&lt;$E$7)*($M26:$Q26&gt;0))=0),1,0)</f>
      </c>
      <c r="Y27" s="31">
        <f>IF(AND(P26&gt;0,SUMPRODUCT(($C$7:$G$7&lt;$F$7)*($M26:$Q26&gt;0))=0),1,0)</f>
      </c>
      <c r="Z27" s="31">
        <f>IF(AND(Q26&gt;0,SUMPRODUCT(($C$7:$G$7&lt;$G$7)*($M26:$Q26&gt;0))=0),1,0)</f>
      </c>
    </row>
    <row r="28" spans="1:26" x14ac:dyDescent="0.25">
      <c r="A28" s="11">
        <f>A27+1</f>
      </c>
      <c r="B28" s="24">
        <f>EDATE(Debts!$B$14,A28)</f>
      </c>
      <c r="C28" s="25">
        <f>IF(M27&lt;=0,0,ROUND(M27*$C$5/12,2))</f>
      </c>
      <c r="D28" s="25">
        <f>IF(N27&lt;=0,0,ROUND(N27*$D$5/12,2))</f>
      </c>
      <c r="E28" s="25">
        <f>IF(O27&lt;=0,0,ROUND(O27*$E$5/12,2))</f>
      </c>
      <c r="F28" s="25">
        <f>IF(P27&lt;=0,0,ROUND(P27*$F$5/12,2))</f>
      </c>
      <c r="G28" s="25">
        <f>IF(Q27&lt;=0,0,ROUND(Q27*$G$5/12,2))</f>
      </c>
      <c r="H28" s="25">
        <f>IF(M27&lt;=0,0,MIN(M27+C28,$C$6+V28*$U28))</f>
      </c>
      <c r="I28" s="25">
        <f>IF(N27&lt;=0,0,MIN(N27+D28,$D$6+W28*$U28))</f>
      </c>
      <c r="J28" s="25">
        <f>IF(O27&lt;=0,0,MIN(O27+E28,$E$6+X28*$U28))</f>
      </c>
      <c r="K28" s="25">
        <f>IF(P27&lt;=0,0,MIN(P27+F28,$F$6+Y28*$U28))</f>
      </c>
      <c r="L28" s="25">
        <f>IF(Q27&lt;=0,0,MIN(Q27+G28,$G$6+Z28*$U28))</f>
      </c>
      <c r="M28" s="25">
        <f>ROUND(M27+C28-H28,2)</f>
      </c>
      <c r="N28" s="25">
        <f>ROUND(N27+D28-I28,2)</f>
      </c>
      <c r="O28" s="25">
        <f>ROUND(O27+E28-J28,2)</f>
      </c>
      <c r="P28" s="25">
        <f>ROUND(P27+F28-K28,2)</f>
      </c>
      <c r="Q28" s="25">
        <f>ROUND(Q27+G28-L28,2)</f>
      </c>
      <c r="R28" s="25">
        <f>SUM(H28:L28)</f>
      </c>
      <c r="S28" s="25">
        <f>SUM(C28:G28)</f>
      </c>
      <c r="T28" s="25">
        <f>SUM(M28:Q28)</f>
      </c>
      <c r="U28" s="26">
        <f>Debts!$B$13+SUMPRODUCT(($M27:$Q27&lt;=0)*$C$6:$G$6)</f>
      </c>
      <c r="V28" s="27">
        <f>IF(AND(M27&gt;0,SUMPRODUCT(($C$7:$G$7&lt;$C$7)*($M27:$Q27&gt;0))=0),1,0)</f>
      </c>
      <c r="W28" s="27">
        <f>IF(AND(N27&gt;0,SUMPRODUCT(($C$7:$G$7&lt;$D$7)*($M27:$Q27&gt;0))=0),1,0)</f>
      </c>
      <c r="X28" s="27">
        <f>IF(AND(O27&gt;0,SUMPRODUCT(($C$7:$G$7&lt;$E$7)*($M27:$Q27&gt;0))=0),1,0)</f>
      </c>
      <c r="Y28" s="27">
        <f>IF(AND(P27&gt;0,SUMPRODUCT(($C$7:$G$7&lt;$F$7)*($M27:$Q27&gt;0))=0),1,0)</f>
      </c>
      <c r="Z28" s="27">
        <f>IF(AND(Q27&gt;0,SUMPRODUCT(($C$7:$G$7&lt;$G$7)*($M27:$Q27&gt;0))=0),1,0)</f>
      </c>
    </row>
    <row r="29" spans="1:26" x14ac:dyDescent="0.25">
      <c r="A29" s="12">
        <f>A28+1</f>
      </c>
      <c r="B29" s="28">
        <f>EDATE(Debts!$B$14,A29)</f>
      </c>
      <c r="C29" s="29">
        <f>IF(M28&lt;=0,0,ROUND(M28*$C$5/12,2))</f>
      </c>
      <c r="D29" s="29">
        <f>IF(N28&lt;=0,0,ROUND(N28*$D$5/12,2))</f>
      </c>
      <c r="E29" s="29">
        <f>IF(O28&lt;=0,0,ROUND(O28*$E$5/12,2))</f>
      </c>
      <c r="F29" s="29">
        <f>IF(P28&lt;=0,0,ROUND(P28*$F$5/12,2))</f>
      </c>
      <c r="G29" s="29">
        <f>IF(Q28&lt;=0,0,ROUND(Q28*$G$5/12,2))</f>
      </c>
      <c r="H29" s="29">
        <f>IF(M28&lt;=0,0,MIN(M28+C29,$C$6+V29*$U29))</f>
      </c>
      <c r="I29" s="29">
        <f>IF(N28&lt;=0,0,MIN(N28+D29,$D$6+W29*$U29))</f>
      </c>
      <c r="J29" s="29">
        <f>IF(O28&lt;=0,0,MIN(O28+E29,$E$6+X29*$U29))</f>
      </c>
      <c r="K29" s="29">
        <f>IF(P28&lt;=0,0,MIN(P28+F29,$F$6+Y29*$U29))</f>
      </c>
      <c r="L29" s="29">
        <f>IF(Q28&lt;=0,0,MIN(Q28+G29,$G$6+Z29*$U29))</f>
      </c>
      <c r="M29" s="29">
        <f>ROUND(M28+C29-H29,2)</f>
      </c>
      <c r="N29" s="29">
        <f>ROUND(N28+D29-I29,2)</f>
      </c>
      <c r="O29" s="29">
        <f>ROUND(O28+E29-J29,2)</f>
      </c>
      <c r="P29" s="29">
        <f>ROUND(P28+F29-K29,2)</f>
      </c>
      <c r="Q29" s="29">
        <f>ROUND(Q28+G29-L29,2)</f>
      </c>
      <c r="R29" s="29">
        <f>SUM(H29:L29)</f>
      </c>
      <c r="S29" s="29">
        <f>SUM(C29:G29)</f>
      </c>
      <c r="T29" s="29">
        <f>SUM(M29:Q29)</f>
      </c>
      <c r="U29" s="30">
        <f>Debts!$B$13+SUMPRODUCT(($M28:$Q28&lt;=0)*$C$6:$G$6)</f>
      </c>
      <c r="V29" s="31">
        <f>IF(AND(M28&gt;0,SUMPRODUCT(($C$7:$G$7&lt;$C$7)*($M28:$Q28&gt;0))=0),1,0)</f>
      </c>
      <c r="W29" s="31">
        <f>IF(AND(N28&gt;0,SUMPRODUCT(($C$7:$G$7&lt;$D$7)*($M28:$Q28&gt;0))=0),1,0)</f>
      </c>
      <c r="X29" s="31">
        <f>IF(AND(O28&gt;0,SUMPRODUCT(($C$7:$G$7&lt;$E$7)*($M28:$Q28&gt;0))=0),1,0)</f>
      </c>
      <c r="Y29" s="31">
        <f>IF(AND(P28&gt;0,SUMPRODUCT(($C$7:$G$7&lt;$F$7)*($M28:$Q28&gt;0))=0),1,0)</f>
      </c>
      <c r="Z29" s="31">
        <f>IF(AND(Q28&gt;0,SUMPRODUCT(($C$7:$G$7&lt;$G$7)*($M28:$Q28&gt;0))=0),1,0)</f>
      </c>
    </row>
    <row r="30" spans="1:26" x14ac:dyDescent="0.25">
      <c r="A30" s="11">
        <f>A29+1</f>
      </c>
      <c r="B30" s="24">
        <f>EDATE(Debts!$B$14,A30)</f>
      </c>
      <c r="C30" s="25">
        <f>IF(M29&lt;=0,0,ROUND(M29*$C$5/12,2))</f>
      </c>
      <c r="D30" s="25">
        <f>IF(N29&lt;=0,0,ROUND(N29*$D$5/12,2))</f>
      </c>
      <c r="E30" s="25">
        <f>IF(O29&lt;=0,0,ROUND(O29*$E$5/12,2))</f>
      </c>
      <c r="F30" s="25">
        <f>IF(P29&lt;=0,0,ROUND(P29*$F$5/12,2))</f>
      </c>
      <c r="G30" s="25">
        <f>IF(Q29&lt;=0,0,ROUND(Q29*$G$5/12,2))</f>
      </c>
      <c r="H30" s="25">
        <f>IF(M29&lt;=0,0,MIN(M29+C30,$C$6+V30*$U30))</f>
      </c>
      <c r="I30" s="25">
        <f>IF(N29&lt;=0,0,MIN(N29+D30,$D$6+W30*$U30))</f>
      </c>
      <c r="J30" s="25">
        <f>IF(O29&lt;=0,0,MIN(O29+E30,$E$6+X30*$U30))</f>
      </c>
      <c r="K30" s="25">
        <f>IF(P29&lt;=0,0,MIN(P29+F30,$F$6+Y30*$U30))</f>
      </c>
      <c r="L30" s="25">
        <f>IF(Q29&lt;=0,0,MIN(Q29+G30,$G$6+Z30*$U30))</f>
      </c>
      <c r="M30" s="25">
        <f>ROUND(M29+C30-H30,2)</f>
      </c>
      <c r="N30" s="25">
        <f>ROUND(N29+D30-I30,2)</f>
      </c>
      <c r="O30" s="25">
        <f>ROUND(O29+E30-J30,2)</f>
      </c>
      <c r="P30" s="25">
        <f>ROUND(P29+F30-K30,2)</f>
      </c>
      <c r="Q30" s="25">
        <f>ROUND(Q29+G30-L30,2)</f>
      </c>
      <c r="R30" s="25">
        <f>SUM(H30:L30)</f>
      </c>
      <c r="S30" s="25">
        <f>SUM(C30:G30)</f>
      </c>
      <c r="T30" s="25">
        <f>SUM(M30:Q30)</f>
      </c>
      <c r="U30" s="26">
        <f>Debts!$B$13+SUMPRODUCT(($M29:$Q29&lt;=0)*$C$6:$G$6)</f>
      </c>
      <c r="V30" s="27">
        <f>IF(AND(M29&gt;0,SUMPRODUCT(($C$7:$G$7&lt;$C$7)*($M29:$Q29&gt;0))=0),1,0)</f>
      </c>
      <c r="W30" s="27">
        <f>IF(AND(N29&gt;0,SUMPRODUCT(($C$7:$G$7&lt;$D$7)*($M29:$Q29&gt;0))=0),1,0)</f>
      </c>
      <c r="X30" s="27">
        <f>IF(AND(O29&gt;0,SUMPRODUCT(($C$7:$G$7&lt;$E$7)*($M29:$Q29&gt;0))=0),1,0)</f>
      </c>
      <c r="Y30" s="27">
        <f>IF(AND(P29&gt;0,SUMPRODUCT(($C$7:$G$7&lt;$F$7)*($M29:$Q29&gt;0))=0),1,0)</f>
      </c>
      <c r="Z30" s="27">
        <f>IF(AND(Q29&gt;0,SUMPRODUCT(($C$7:$G$7&lt;$G$7)*($M29:$Q29&gt;0))=0),1,0)</f>
      </c>
    </row>
    <row r="31" spans="1:26" x14ac:dyDescent="0.25">
      <c r="A31" s="12">
        <f>A30+1</f>
      </c>
      <c r="B31" s="28">
        <f>EDATE(Debts!$B$14,A31)</f>
      </c>
      <c r="C31" s="29">
        <f>IF(M30&lt;=0,0,ROUND(M30*$C$5/12,2))</f>
      </c>
      <c r="D31" s="29">
        <f>IF(N30&lt;=0,0,ROUND(N30*$D$5/12,2))</f>
      </c>
      <c r="E31" s="29">
        <f>IF(O30&lt;=0,0,ROUND(O30*$E$5/12,2))</f>
      </c>
      <c r="F31" s="29">
        <f>IF(P30&lt;=0,0,ROUND(P30*$F$5/12,2))</f>
      </c>
      <c r="G31" s="29">
        <f>IF(Q30&lt;=0,0,ROUND(Q30*$G$5/12,2))</f>
      </c>
      <c r="H31" s="29">
        <f>IF(M30&lt;=0,0,MIN(M30+C31,$C$6+V31*$U31))</f>
      </c>
      <c r="I31" s="29">
        <f>IF(N30&lt;=0,0,MIN(N30+D31,$D$6+W31*$U31))</f>
      </c>
      <c r="J31" s="29">
        <f>IF(O30&lt;=0,0,MIN(O30+E31,$E$6+X31*$U31))</f>
      </c>
      <c r="K31" s="29">
        <f>IF(P30&lt;=0,0,MIN(P30+F31,$F$6+Y31*$U31))</f>
      </c>
      <c r="L31" s="29">
        <f>IF(Q30&lt;=0,0,MIN(Q30+G31,$G$6+Z31*$U31))</f>
      </c>
      <c r="M31" s="29">
        <f>ROUND(M30+C31-H31,2)</f>
      </c>
      <c r="N31" s="29">
        <f>ROUND(N30+D31-I31,2)</f>
      </c>
      <c r="O31" s="29">
        <f>ROUND(O30+E31-J31,2)</f>
      </c>
      <c r="P31" s="29">
        <f>ROUND(P30+F31-K31,2)</f>
      </c>
      <c r="Q31" s="29">
        <f>ROUND(Q30+G31-L31,2)</f>
      </c>
      <c r="R31" s="29">
        <f>SUM(H31:L31)</f>
      </c>
      <c r="S31" s="29">
        <f>SUM(C31:G31)</f>
      </c>
      <c r="T31" s="29">
        <f>SUM(M31:Q31)</f>
      </c>
      <c r="U31" s="30">
        <f>Debts!$B$13+SUMPRODUCT(($M30:$Q30&lt;=0)*$C$6:$G$6)</f>
      </c>
      <c r="V31" s="31">
        <f>IF(AND(M30&gt;0,SUMPRODUCT(($C$7:$G$7&lt;$C$7)*($M30:$Q30&gt;0))=0),1,0)</f>
      </c>
      <c r="W31" s="31">
        <f>IF(AND(N30&gt;0,SUMPRODUCT(($C$7:$G$7&lt;$D$7)*($M30:$Q30&gt;0))=0),1,0)</f>
      </c>
      <c r="X31" s="31">
        <f>IF(AND(O30&gt;0,SUMPRODUCT(($C$7:$G$7&lt;$E$7)*($M30:$Q30&gt;0))=0),1,0)</f>
      </c>
      <c r="Y31" s="31">
        <f>IF(AND(P30&gt;0,SUMPRODUCT(($C$7:$G$7&lt;$F$7)*($M30:$Q30&gt;0))=0),1,0)</f>
      </c>
      <c r="Z31" s="31">
        <f>IF(AND(Q30&gt;0,SUMPRODUCT(($C$7:$G$7&lt;$G$7)*($M30:$Q30&gt;0))=0),1,0)</f>
      </c>
    </row>
    <row r="32" spans="1:26" x14ac:dyDescent="0.25">
      <c r="A32" s="11">
        <f>A31+1</f>
      </c>
      <c r="B32" s="24">
        <f>EDATE(Debts!$B$14,A32)</f>
      </c>
      <c r="C32" s="25">
        <f>IF(M31&lt;=0,0,ROUND(M31*$C$5/12,2))</f>
      </c>
      <c r="D32" s="25">
        <f>IF(N31&lt;=0,0,ROUND(N31*$D$5/12,2))</f>
      </c>
      <c r="E32" s="25">
        <f>IF(O31&lt;=0,0,ROUND(O31*$E$5/12,2))</f>
      </c>
      <c r="F32" s="25">
        <f>IF(P31&lt;=0,0,ROUND(P31*$F$5/12,2))</f>
      </c>
      <c r="G32" s="25">
        <f>IF(Q31&lt;=0,0,ROUND(Q31*$G$5/12,2))</f>
      </c>
      <c r="H32" s="25">
        <f>IF(M31&lt;=0,0,MIN(M31+C32,$C$6+V32*$U32))</f>
      </c>
      <c r="I32" s="25">
        <f>IF(N31&lt;=0,0,MIN(N31+D32,$D$6+W32*$U32))</f>
      </c>
      <c r="J32" s="25">
        <f>IF(O31&lt;=0,0,MIN(O31+E32,$E$6+X32*$U32))</f>
      </c>
      <c r="K32" s="25">
        <f>IF(P31&lt;=0,0,MIN(P31+F32,$F$6+Y32*$U32))</f>
      </c>
      <c r="L32" s="25">
        <f>IF(Q31&lt;=0,0,MIN(Q31+G32,$G$6+Z32*$U32))</f>
      </c>
      <c r="M32" s="25">
        <f>ROUND(M31+C32-H32,2)</f>
      </c>
      <c r="N32" s="25">
        <f>ROUND(N31+D32-I32,2)</f>
      </c>
      <c r="O32" s="25">
        <f>ROUND(O31+E32-J32,2)</f>
      </c>
      <c r="P32" s="25">
        <f>ROUND(P31+F32-K32,2)</f>
      </c>
      <c r="Q32" s="25">
        <f>ROUND(Q31+G32-L32,2)</f>
      </c>
      <c r="R32" s="25">
        <f>SUM(H32:L32)</f>
      </c>
      <c r="S32" s="25">
        <f>SUM(C32:G32)</f>
      </c>
      <c r="T32" s="25">
        <f>SUM(M32:Q32)</f>
      </c>
      <c r="U32" s="26">
        <f>Debts!$B$13+SUMPRODUCT(($M31:$Q31&lt;=0)*$C$6:$G$6)</f>
      </c>
      <c r="V32" s="27">
        <f>IF(AND(M31&gt;0,SUMPRODUCT(($C$7:$G$7&lt;$C$7)*($M31:$Q31&gt;0))=0),1,0)</f>
      </c>
      <c r="W32" s="27">
        <f>IF(AND(N31&gt;0,SUMPRODUCT(($C$7:$G$7&lt;$D$7)*($M31:$Q31&gt;0))=0),1,0)</f>
      </c>
      <c r="X32" s="27">
        <f>IF(AND(O31&gt;0,SUMPRODUCT(($C$7:$G$7&lt;$E$7)*($M31:$Q31&gt;0))=0),1,0)</f>
      </c>
      <c r="Y32" s="27">
        <f>IF(AND(P31&gt;0,SUMPRODUCT(($C$7:$G$7&lt;$F$7)*($M31:$Q31&gt;0))=0),1,0)</f>
      </c>
      <c r="Z32" s="27">
        <f>IF(AND(Q31&gt;0,SUMPRODUCT(($C$7:$G$7&lt;$G$7)*($M31:$Q31&gt;0))=0),1,0)</f>
      </c>
    </row>
    <row r="33" spans="1:26" x14ac:dyDescent="0.25">
      <c r="A33" s="12">
        <f>A32+1</f>
      </c>
      <c r="B33" s="28">
        <f>EDATE(Debts!$B$14,A33)</f>
      </c>
      <c r="C33" s="29">
        <f>IF(M32&lt;=0,0,ROUND(M32*$C$5/12,2))</f>
      </c>
      <c r="D33" s="29">
        <f>IF(N32&lt;=0,0,ROUND(N32*$D$5/12,2))</f>
      </c>
      <c r="E33" s="29">
        <f>IF(O32&lt;=0,0,ROUND(O32*$E$5/12,2))</f>
      </c>
      <c r="F33" s="29">
        <f>IF(P32&lt;=0,0,ROUND(P32*$F$5/12,2))</f>
      </c>
      <c r="G33" s="29">
        <f>IF(Q32&lt;=0,0,ROUND(Q32*$G$5/12,2))</f>
      </c>
      <c r="H33" s="29">
        <f>IF(M32&lt;=0,0,MIN(M32+C33,$C$6+V33*$U33))</f>
      </c>
      <c r="I33" s="29">
        <f>IF(N32&lt;=0,0,MIN(N32+D33,$D$6+W33*$U33))</f>
      </c>
      <c r="J33" s="29">
        <f>IF(O32&lt;=0,0,MIN(O32+E33,$E$6+X33*$U33))</f>
      </c>
      <c r="K33" s="29">
        <f>IF(P32&lt;=0,0,MIN(P32+F33,$F$6+Y33*$U33))</f>
      </c>
      <c r="L33" s="29">
        <f>IF(Q32&lt;=0,0,MIN(Q32+G33,$G$6+Z33*$U33))</f>
      </c>
      <c r="M33" s="29">
        <f>ROUND(M32+C33-H33,2)</f>
      </c>
      <c r="N33" s="29">
        <f>ROUND(N32+D33-I33,2)</f>
      </c>
      <c r="O33" s="29">
        <f>ROUND(O32+E33-J33,2)</f>
      </c>
      <c r="P33" s="29">
        <f>ROUND(P32+F33-K33,2)</f>
      </c>
      <c r="Q33" s="29">
        <f>ROUND(Q32+G33-L33,2)</f>
      </c>
      <c r="R33" s="29">
        <f>SUM(H33:L33)</f>
      </c>
      <c r="S33" s="29">
        <f>SUM(C33:G33)</f>
      </c>
      <c r="T33" s="29">
        <f>SUM(M33:Q33)</f>
      </c>
      <c r="U33" s="30">
        <f>Debts!$B$13+SUMPRODUCT(($M32:$Q32&lt;=0)*$C$6:$G$6)</f>
      </c>
      <c r="V33" s="31">
        <f>IF(AND(M32&gt;0,SUMPRODUCT(($C$7:$G$7&lt;$C$7)*($M32:$Q32&gt;0))=0),1,0)</f>
      </c>
      <c r="W33" s="31">
        <f>IF(AND(N32&gt;0,SUMPRODUCT(($C$7:$G$7&lt;$D$7)*($M32:$Q32&gt;0))=0),1,0)</f>
      </c>
      <c r="X33" s="31">
        <f>IF(AND(O32&gt;0,SUMPRODUCT(($C$7:$G$7&lt;$E$7)*($M32:$Q32&gt;0))=0),1,0)</f>
      </c>
      <c r="Y33" s="31">
        <f>IF(AND(P32&gt;0,SUMPRODUCT(($C$7:$G$7&lt;$F$7)*($M32:$Q32&gt;0))=0),1,0)</f>
      </c>
      <c r="Z33" s="31">
        <f>IF(AND(Q32&gt;0,SUMPRODUCT(($C$7:$G$7&lt;$G$7)*($M32:$Q32&gt;0))=0),1,0)</f>
      </c>
    </row>
    <row r="34" spans="1:26" x14ac:dyDescent="0.25">
      <c r="A34" s="11">
        <f>A33+1</f>
      </c>
      <c r="B34" s="24">
        <f>EDATE(Debts!$B$14,A34)</f>
      </c>
      <c r="C34" s="25">
        <f>IF(M33&lt;=0,0,ROUND(M33*$C$5/12,2))</f>
      </c>
      <c r="D34" s="25">
        <f>IF(N33&lt;=0,0,ROUND(N33*$D$5/12,2))</f>
      </c>
      <c r="E34" s="25">
        <f>IF(O33&lt;=0,0,ROUND(O33*$E$5/12,2))</f>
      </c>
      <c r="F34" s="25">
        <f>IF(P33&lt;=0,0,ROUND(P33*$F$5/12,2))</f>
      </c>
      <c r="G34" s="25">
        <f>IF(Q33&lt;=0,0,ROUND(Q33*$G$5/12,2))</f>
      </c>
      <c r="H34" s="25">
        <f>IF(M33&lt;=0,0,MIN(M33+C34,$C$6+V34*$U34))</f>
      </c>
      <c r="I34" s="25">
        <f>IF(N33&lt;=0,0,MIN(N33+D34,$D$6+W34*$U34))</f>
      </c>
      <c r="J34" s="25">
        <f>IF(O33&lt;=0,0,MIN(O33+E34,$E$6+X34*$U34))</f>
      </c>
      <c r="K34" s="25">
        <f>IF(P33&lt;=0,0,MIN(P33+F34,$F$6+Y34*$U34))</f>
      </c>
      <c r="L34" s="25">
        <f>IF(Q33&lt;=0,0,MIN(Q33+G34,$G$6+Z34*$U34))</f>
      </c>
      <c r="M34" s="25">
        <f>ROUND(M33+C34-H34,2)</f>
      </c>
      <c r="N34" s="25">
        <f>ROUND(N33+D34-I34,2)</f>
      </c>
      <c r="O34" s="25">
        <f>ROUND(O33+E34-J34,2)</f>
      </c>
      <c r="P34" s="25">
        <f>ROUND(P33+F34-K34,2)</f>
      </c>
      <c r="Q34" s="25">
        <f>ROUND(Q33+G34-L34,2)</f>
      </c>
      <c r="R34" s="25">
        <f>SUM(H34:L34)</f>
      </c>
      <c r="S34" s="25">
        <f>SUM(C34:G34)</f>
      </c>
      <c r="T34" s="25">
        <f>SUM(M34:Q34)</f>
      </c>
      <c r="U34" s="26">
        <f>Debts!$B$13+SUMPRODUCT(($M33:$Q33&lt;=0)*$C$6:$G$6)</f>
      </c>
      <c r="V34" s="27">
        <f>IF(AND(M33&gt;0,SUMPRODUCT(($C$7:$G$7&lt;$C$7)*($M33:$Q33&gt;0))=0),1,0)</f>
      </c>
      <c r="W34" s="27">
        <f>IF(AND(N33&gt;0,SUMPRODUCT(($C$7:$G$7&lt;$D$7)*($M33:$Q33&gt;0))=0),1,0)</f>
      </c>
      <c r="X34" s="27">
        <f>IF(AND(O33&gt;0,SUMPRODUCT(($C$7:$G$7&lt;$E$7)*($M33:$Q33&gt;0))=0),1,0)</f>
      </c>
      <c r="Y34" s="27">
        <f>IF(AND(P33&gt;0,SUMPRODUCT(($C$7:$G$7&lt;$F$7)*($M33:$Q33&gt;0))=0),1,0)</f>
      </c>
      <c r="Z34" s="27">
        <f>IF(AND(Q33&gt;0,SUMPRODUCT(($C$7:$G$7&lt;$G$7)*($M33:$Q33&gt;0))=0),1,0)</f>
      </c>
    </row>
    <row r="35" spans="1:26" x14ac:dyDescent="0.25">
      <c r="A35" s="12">
        <f>A34+1</f>
      </c>
      <c r="B35" s="28">
        <f>EDATE(Debts!$B$14,A35)</f>
      </c>
      <c r="C35" s="29">
        <f>IF(M34&lt;=0,0,ROUND(M34*$C$5/12,2))</f>
      </c>
      <c r="D35" s="29">
        <f>IF(N34&lt;=0,0,ROUND(N34*$D$5/12,2))</f>
      </c>
      <c r="E35" s="29">
        <f>IF(O34&lt;=0,0,ROUND(O34*$E$5/12,2))</f>
      </c>
      <c r="F35" s="29">
        <f>IF(P34&lt;=0,0,ROUND(P34*$F$5/12,2))</f>
      </c>
      <c r="G35" s="29">
        <f>IF(Q34&lt;=0,0,ROUND(Q34*$G$5/12,2))</f>
      </c>
      <c r="H35" s="29">
        <f>IF(M34&lt;=0,0,MIN(M34+C35,$C$6+V35*$U35))</f>
      </c>
      <c r="I35" s="29">
        <f>IF(N34&lt;=0,0,MIN(N34+D35,$D$6+W35*$U35))</f>
      </c>
      <c r="J35" s="29">
        <f>IF(O34&lt;=0,0,MIN(O34+E35,$E$6+X35*$U35))</f>
      </c>
      <c r="K35" s="29">
        <f>IF(P34&lt;=0,0,MIN(P34+F35,$F$6+Y35*$U35))</f>
      </c>
      <c r="L35" s="29">
        <f>IF(Q34&lt;=0,0,MIN(Q34+G35,$G$6+Z35*$U35))</f>
      </c>
      <c r="M35" s="29">
        <f>ROUND(M34+C35-H35,2)</f>
      </c>
      <c r="N35" s="29">
        <f>ROUND(N34+D35-I35,2)</f>
      </c>
      <c r="O35" s="29">
        <f>ROUND(O34+E35-J35,2)</f>
      </c>
      <c r="P35" s="29">
        <f>ROUND(P34+F35-K35,2)</f>
      </c>
      <c r="Q35" s="29">
        <f>ROUND(Q34+G35-L35,2)</f>
      </c>
      <c r="R35" s="29">
        <f>SUM(H35:L35)</f>
      </c>
      <c r="S35" s="29">
        <f>SUM(C35:G35)</f>
      </c>
      <c r="T35" s="29">
        <f>SUM(M35:Q35)</f>
      </c>
      <c r="U35" s="30">
        <f>Debts!$B$13+SUMPRODUCT(($M34:$Q34&lt;=0)*$C$6:$G$6)</f>
      </c>
      <c r="V35" s="31">
        <f>IF(AND(M34&gt;0,SUMPRODUCT(($C$7:$G$7&lt;$C$7)*($M34:$Q34&gt;0))=0),1,0)</f>
      </c>
      <c r="W35" s="31">
        <f>IF(AND(N34&gt;0,SUMPRODUCT(($C$7:$G$7&lt;$D$7)*($M34:$Q34&gt;0))=0),1,0)</f>
      </c>
      <c r="X35" s="31">
        <f>IF(AND(O34&gt;0,SUMPRODUCT(($C$7:$G$7&lt;$E$7)*($M34:$Q34&gt;0))=0),1,0)</f>
      </c>
      <c r="Y35" s="31">
        <f>IF(AND(P34&gt;0,SUMPRODUCT(($C$7:$G$7&lt;$F$7)*($M34:$Q34&gt;0))=0),1,0)</f>
      </c>
      <c r="Z35" s="31">
        <f>IF(AND(Q34&gt;0,SUMPRODUCT(($C$7:$G$7&lt;$G$7)*($M34:$Q34&gt;0))=0),1,0)</f>
      </c>
    </row>
    <row r="36" spans="1:26" x14ac:dyDescent="0.25">
      <c r="A36" s="11">
        <f>A35+1</f>
      </c>
      <c r="B36" s="24">
        <f>EDATE(Debts!$B$14,A36)</f>
      </c>
      <c r="C36" s="25">
        <f>IF(M35&lt;=0,0,ROUND(M35*$C$5/12,2))</f>
      </c>
      <c r="D36" s="25">
        <f>IF(N35&lt;=0,0,ROUND(N35*$D$5/12,2))</f>
      </c>
      <c r="E36" s="25">
        <f>IF(O35&lt;=0,0,ROUND(O35*$E$5/12,2))</f>
      </c>
      <c r="F36" s="25">
        <f>IF(P35&lt;=0,0,ROUND(P35*$F$5/12,2))</f>
      </c>
      <c r="G36" s="25">
        <f>IF(Q35&lt;=0,0,ROUND(Q35*$G$5/12,2))</f>
      </c>
      <c r="H36" s="25">
        <f>IF(M35&lt;=0,0,MIN(M35+C36,$C$6+V36*$U36))</f>
      </c>
      <c r="I36" s="25">
        <f>IF(N35&lt;=0,0,MIN(N35+D36,$D$6+W36*$U36))</f>
      </c>
      <c r="J36" s="25">
        <f>IF(O35&lt;=0,0,MIN(O35+E36,$E$6+X36*$U36))</f>
      </c>
      <c r="K36" s="25">
        <f>IF(P35&lt;=0,0,MIN(P35+F36,$F$6+Y36*$U36))</f>
      </c>
      <c r="L36" s="25">
        <f>IF(Q35&lt;=0,0,MIN(Q35+G36,$G$6+Z36*$U36))</f>
      </c>
      <c r="M36" s="25">
        <f>ROUND(M35+C36-H36,2)</f>
      </c>
      <c r="N36" s="25">
        <f>ROUND(N35+D36-I36,2)</f>
      </c>
      <c r="O36" s="25">
        <f>ROUND(O35+E36-J36,2)</f>
      </c>
      <c r="P36" s="25">
        <f>ROUND(P35+F36-K36,2)</f>
      </c>
      <c r="Q36" s="25">
        <f>ROUND(Q35+G36-L36,2)</f>
      </c>
      <c r="R36" s="25">
        <f>SUM(H36:L36)</f>
      </c>
      <c r="S36" s="25">
        <f>SUM(C36:G36)</f>
      </c>
      <c r="T36" s="25">
        <f>SUM(M36:Q36)</f>
      </c>
      <c r="U36" s="26">
        <f>Debts!$B$13+SUMPRODUCT(($M35:$Q35&lt;=0)*$C$6:$G$6)</f>
      </c>
      <c r="V36" s="27">
        <f>IF(AND(M35&gt;0,SUMPRODUCT(($C$7:$G$7&lt;$C$7)*($M35:$Q35&gt;0))=0),1,0)</f>
      </c>
      <c r="W36" s="27">
        <f>IF(AND(N35&gt;0,SUMPRODUCT(($C$7:$G$7&lt;$D$7)*($M35:$Q35&gt;0))=0),1,0)</f>
      </c>
      <c r="X36" s="27">
        <f>IF(AND(O35&gt;0,SUMPRODUCT(($C$7:$G$7&lt;$E$7)*($M35:$Q35&gt;0))=0),1,0)</f>
      </c>
      <c r="Y36" s="27">
        <f>IF(AND(P35&gt;0,SUMPRODUCT(($C$7:$G$7&lt;$F$7)*($M35:$Q35&gt;0))=0),1,0)</f>
      </c>
      <c r="Z36" s="27">
        <f>IF(AND(Q35&gt;0,SUMPRODUCT(($C$7:$G$7&lt;$G$7)*($M35:$Q35&gt;0))=0),1,0)</f>
      </c>
    </row>
    <row r="37" spans="1:26" x14ac:dyDescent="0.25">
      <c r="A37" s="12">
        <f>A36+1</f>
      </c>
      <c r="B37" s="28">
        <f>EDATE(Debts!$B$14,A37)</f>
      </c>
      <c r="C37" s="29">
        <f>IF(M36&lt;=0,0,ROUND(M36*$C$5/12,2))</f>
      </c>
      <c r="D37" s="29">
        <f>IF(N36&lt;=0,0,ROUND(N36*$D$5/12,2))</f>
      </c>
      <c r="E37" s="29">
        <f>IF(O36&lt;=0,0,ROUND(O36*$E$5/12,2))</f>
      </c>
      <c r="F37" s="29">
        <f>IF(P36&lt;=0,0,ROUND(P36*$F$5/12,2))</f>
      </c>
      <c r="G37" s="29">
        <f>IF(Q36&lt;=0,0,ROUND(Q36*$G$5/12,2))</f>
      </c>
      <c r="H37" s="29">
        <f>IF(M36&lt;=0,0,MIN(M36+C37,$C$6+V37*$U37))</f>
      </c>
      <c r="I37" s="29">
        <f>IF(N36&lt;=0,0,MIN(N36+D37,$D$6+W37*$U37))</f>
      </c>
      <c r="J37" s="29">
        <f>IF(O36&lt;=0,0,MIN(O36+E37,$E$6+X37*$U37))</f>
      </c>
      <c r="K37" s="29">
        <f>IF(P36&lt;=0,0,MIN(P36+F37,$F$6+Y37*$U37))</f>
      </c>
      <c r="L37" s="29">
        <f>IF(Q36&lt;=0,0,MIN(Q36+G37,$G$6+Z37*$U37))</f>
      </c>
      <c r="M37" s="29">
        <f>ROUND(M36+C37-H37,2)</f>
      </c>
      <c r="N37" s="29">
        <f>ROUND(N36+D37-I37,2)</f>
      </c>
      <c r="O37" s="29">
        <f>ROUND(O36+E37-J37,2)</f>
      </c>
      <c r="P37" s="29">
        <f>ROUND(P36+F37-K37,2)</f>
      </c>
      <c r="Q37" s="29">
        <f>ROUND(Q36+G37-L37,2)</f>
      </c>
      <c r="R37" s="29">
        <f>SUM(H37:L37)</f>
      </c>
      <c r="S37" s="29">
        <f>SUM(C37:G37)</f>
      </c>
      <c r="T37" s="29">
        <f>SUM(M37:Q37)</f>
      </c>
      <c r="U37" s="30">
        <f>Debts!$B$13+SUMPRODUCT(($M36:$Q36&lt;=0)*$C$6:$G$6)</f>
      </c>
      <c r="V37" s="31">
        <f>IF(AND(M36&gt;0,SUMPRODUCT(($C$7:$G$7&lt;$C$7)*($M36:$Q36&gt;0))=0),1,0)</f>
      </c>
      <c r="W37" s="31">
        <f>IF(AND(N36&gt;0,SUMPRODUCT(($C$7:$G$7&lt;$D$7)*($M36:$Q36&gt;0))=0),1,0)</f>
      </c>
      <c r="X37" s="31">
        <f>IF(AND(O36&gt;0,SUMPRODUCT(($C$7:$G$7&lt;$E$7)*($M36:$Q36&gt;0))=0),1,0)</f>
      </c>
      <c r="Y37" s="31">
        <f>IF(AND(P36&gt;0,SUMPRODUCT(($C$7:$G$7&lt;$F$7)*($M36:$Q36&gt;0))=0),1,0)</f>
      </c>
      <c r="Z37" s="31">
        <f>IF(AND(Q36&gt;0,SUMPRODUCT(($C$7:$G$7&lt;$G$7)*($M36:$Q36&gt;0))=0),1,0)</f>
      </c>
    </row>
    <row r="38" spans="1:26" x14ac:dyDescent="0.25">
      <c r="A38" s="11">
        <f>A37+1</f>
      </c>
      <c r="B38" s="24">
        <f>EDATE(Debts!$B$14,A38)</f>
      </c>
      <c r="C38" s="25">
        <f>IF(M37&lt;=0,0,ROUND(M37*$C$5/12,2))</f>
      </c>
      <c r="D38" s="25">
        <f>IF(N37&lt;=0,0,ROUND(N37*$D$5/12,2))</f>
      </c>
      <c r="E38" s="25">
        <f>IF(O37&lt;=0,0,ROUND(O37*$E$5/12,2))</f>
      </c>
      <c r="F38" s="25">
        <f>IF(P37&lt;=0,0,ROUND(P37*$F$5/12,2))</f>
      </c>
      <c r="G38" s="25">
        <f>IF(Q37&lt;=0,0,ROUND(Q37*$G$5/12,2))</f>
      </c>
      <c r="H38" s="25">
        <f>IF(M37&lt;=0,0,MIN(M37+C38,$C$6+V38*$U38))</f>
      </c>
      <c r="I38" s="25">
        <f>IF(N37&lt;=0,0,MIN(N37+D38,$D$6+W38*$U38))</f>
      </c>
      <c r="J38" s="25">
        <f>IF(O37&lt;=0,0,MIN(O37+E38,$E$6+X38*$U38))</f>
      </c>
      <c r="K38" s="25">
        <f>IF(P37&lt;=0,0,MIN(P37+F38,$F$6+Y38*$U38))</f>
      </c>
      <c r="L38" s="25">
        <f>IF(Q37&lt;=0,0,MIN(Q37+G38,$G$6+Z38*$U38))</f>
      </c>
      <c r="M38" s="25">
        <f>ROUND(M37+C38-H38,2)</f>
      </c>
      <c r="N38" s="25">
        <f>ROUND(N37+D38-I38,2)</f>
      </c>
      <c r="O38" s="25">
        <f>ROUND(O37+E38-J38,2)</f>
      </c>
      <c r="P38" s="25">
        <f>ROUND(P37+F38-K38,2)</f>
      </c>
      <c r="Q38" s="25">
        <f>ROUND(Q37+G38-L38,2)</f>
      </c>
      <c r="R38" s="25">
        <f>SUM(H38:L38)</f>
      </c>
      <c r="S38" s="25">
        <f>SUM(C38:G38)</f>
      </c>
      <c r="T38" s="25">
        <f>SUM(M38:Q38)</f>
      </c>
      <c r="U38" s="26">
        <f>Debts!$B$13+SUMPRODUCT(($M37:$Q37&lt;=0)*$C$6:$G$6)</f>
      </c>
      <c r="V38" s="27">
        <f>IF(AND(M37&gt;0,SUMPRODUCT(($C$7:$G$7&lt;$C$7)*($M37:$Q37&gt;0))=0),1,0)</f>
      </c>
      <c r="W38" s="27">
        <f>IF(AND(N37&gt;0,SUMPRODUCT(($C$7:$G$7&lt;$D$7)*($M37:$Q37&gt;0))=0),1,0)</f>
      </c>
      <c r="X38" s="27">
        <f>IF(AND(O37&gt;0,SUMPRODUCT(($C$7:$G$7&lt;$E$7)*($M37:$Q37&gt;0))=0),1,0)</f>
      </c>
      <c r="Y38" s="27">
        <f>IF(AND(P37&gt;0,SUMPRODUCT(($C$7:$G$7&lt;$F$7)*($M37:$Q37&gt;0))=0),1,0)</f>
      </c>
      <c r="Z38" s="27">
        <f>IF(AND(Q37&gt;0,SUMPRODUCT(($C$7:$G$7&lt;$G$7)*($M37:$Q37&gt;0))=0),1,0)</f>
      </c>
    </row>
    <row r="39" spans="1:26" x14ac:dyDescent="0.25">
      <c r="A39" s="12">
        <f>A38+1</f>
      </c>
      <c r="B39" s="28">
        <f>EDATE(Debts!$B$14,A39)</f>
      </c>
      <c r="C39" s="29">
        <f>IF(M38&lt;=0,0,ROUND(M38*$C$5/12,2))</f>
      </c>
      <c r="D39" s="29">
        <f>IF(N38&lt;=0,0,ROUND(N38*$D$5/12,2))</f>
      </c>
      <c r="E39" s="29">
        <f>IF(O38&lt;=0,0,ROUND(O38*$E$5/12,2))</f>
      </c>
      <c r="F39" s="29">
        <f>IF(P38&lt;=0,0,ROUND(P38*$F$5/12,2))</f>
      </c>
      <c r="G39" s="29">
        <f>IF(Q38&lt;=0,0,ROUND(Q38*$G$5/12,2))</f>
      </c>
      <c r="H39" s="29">
        <f>IF(M38&lt;=0,0,MIN(M38+C39,$C$6+V39*$U39))</f>
      </c>
      <c r="I39" s="29">
        <f>IF(N38&lt;=0,0,MIN(N38+D39,$D$6+W39*$U39))</f>
      </c>
      <c r="J39" s="29">
        <f>IF(O38&lt;=0,0,MIN(O38+E39,$E$6+X39*$U39))</f>
      </c>
      <c r="K39" s="29">
        <f>IF(P38&lt;=0,0,MIN(P38+F39,$F$6+Y39*$U39))</f>
      </c>
      <c r="L39" s="29">
        <f>IF(Q38&lt;=0,0,MIN(Q38+G39,$G$6+Z39*$U39))</f>
      </c>
      <c r="M39" s="29">
        <f>ROUND(M38+C39-H39,2)</f>
      </c>
      <c r="N39" s="29">
        <f>ROUND(N38+D39-I39,2)</f>
      </c>
      <c r="O39" s="29">
        <f>ROUND(O38+E39-J39,2)</f>
      </c>
      <c r="P39" s="29">
        <f>ROUND(P38+F39-K39,2)</f>
      </c>
      <c r="Q39" s="29">
        <f>ROUND(Q38+G39-L39,2)</f>
      </c>
      <c r="R39" s="29">
        <f>SUM(H39:L39)</f>
      </c>
      <c r="S39" s="29">
        <f>SUM(C39:G39)</f>
      </c>
      <c r="T39" s="29">
        <f>SUM(M39:Q39)</f>
      </c>
      <c r="U39" s="30">
        <f>Debts!$B$13+SUMPRODUCT(($M38:$Q38&lt;=0)*$C$6:$G$6)</f>
      </c>
      <c r="V39" s="31">
        <f>IF(AND(M38&gt;0,SUMPRODUCT(($C$7:$G$7&lt;$C$7)*($M38:$Q38&gt;0))=0),1,0)</f>
      </c>
      <c r="W39" s="31">
        <f>IF(AND(N38&gt;0,SUMPRODUCT(($C$7:$G$7&lt;$D$7)*($M38:$Q38&gt;0))=0),1,0)</f>
      </c>
      <c r="X39" s="31">
        <f>IF(AND(O38&gt;0,SUMPRODUCT(($C$7:$G$7&lt;$E$7)*($M38:$Q38&gt;0))=0),1,0)</f>
      </c>
      <c r="Y39" s="31">
        <f>IF(AND(P38&gt;0,SUMPRODUCT(($C$7:$G$7&lt;$F$7)*($M38:$Q38&gt;0))=0),1,0)</f>
      </c>
      <c r="Z39" s="31">
        <f>IF(AND(Q38&gt;0,SUMPRODUCT(($C$7:$G$7&lt;$G$7)*($M38:$Q38&gt;0))=0),1,0)</f>
      </c>
    </row>
    <row r="40" spans="1:26" x14ac:dyDescent="0.25">
      <c r="A40" s="11">
        <f>A39+1</f>
      </c>
      <c r="B40" s="24">
        <f>EDATE(Debts!$B$14,A40)</f>
      </c>
      <c r="C40" s="25">
        <f>IF(M39&lt;=0,0,ROUND(M39*$C$5/12,2))</f>
      </c>
      <c r="D40" s="25">
        <f>IF(N39&lt;=0,0,ROUND(N39*$D$5/12,2))</f>
      </c>
      <c r="E40" s="25">
        <f>IF(O39&lt;=0,0,ROUND(O39*$E$5/12,2))</f>
      </c>
      <c r="F40" s="25">
        <f>IF(P39&lt;=0,0,ROUND(P39*$F$5/12,2))</f>
      </c>
      <c r="G40" s="25">
        <f>IF(Q39&lt;=0,0,ROUND(Q39*$G$5/12,2))</f>
      </c>
      <c r="H40" s="25">
        <f>IF(M39&lt;=0,0,MIN(M39+C40,$C$6+V40*$U40))</f>
      </c>
      <c r="I40" s="25">
        <f>IF(N39&lt;=0,0,MIN(N39+D40,$D$6+W40*$U40))</f>
      </c>
      <c r="J40" s="25">
        <f>IF(O39&lt;=0,0,MIN(O39+E40,$E$6+X40*$U40))</f>
      </c>
      <c r="K40" s="25">
        <f>IF(P39&lt;=0,0,MIN(P39+F40,$F$6+Y40*$U40))</f>
      </c>
      <c r="L40" s="25">
        <f>IF(Q39&lt;=0,0,MIN(Q39+G40,$G$6+Z40*$U40))</f>
      </c>
      <c r="M40" s="25">
        <f>ROUND(M39+C40-H40,2)</f>
      </c>
      <c r="N40" s="25">
        <f>ROUND(N39+D40-I40,2)</f>
      </c>
      <c r="O40" s="25">
        <f>ROUND(O39+E40-J40,2)</f>
      </c>
      <c r="P40" s="25">
        <f>ROUND(P39+F40-K40,2)</f>
      </c>
      <c r="Q40" s="25">
        <f>ROUND(Q39+G40-L40,2)</f>
      </c>
      <c r="R40" s="25">
        <f>SUM(H40:L40)</f>
      </c>
      <c r="S40" s="25">
        <f>SUM(C40:G40)</f>
      </c>
      <c r="T40" s="25">
        <f>SUM(M40:Q40)</f>
      </c>
      <c r="U40" s="26">
        <f>Debts!$B$13+SUMPRODUCT(($M39:$Q39&lt;=0)*$C$6:$G$6)</f>
      </c>
      <c r="V40" s="27">
        <f>IF(AND(M39&gt;0,SUMPRODUCT(($C$7:$G$7&lt;$C$7)*($M39:$Q39&gt;0))=0),1,0)</f>
      </c>
      <c r="W40" s="27">
        <f>IF(AND(N39&gt;0,SUMPRODUCT(($C$7:$G$7&lt;$D$7)*($M39:$Q39&gt;0))=0),1,0)</f>
      </c>
      <c r="X40" s="27">
        <f>IF(AND(O39&gt;0,SUMPRODUCT(($C$7:$G$7&lt;$E$7)*($M39:$Q39&gt;0))=0),1,0)</f>
      </c>
      <c r="Y40" s="27">
        <f>IF(AND(P39&gt;0,SUMPRODUCT(($C$7:$G$7&lt;$F$7)*($M39:$Q39&gt;0))=0),1,0)</f>
      </c>
      <c r="Z40" s="27">
        <f>IF(AND(Q39&gt;0,SUMPRODUCT(($C$7:$G$7&lt;$G$7)*($M39:$Q39&gt;0))=0),1,0)</f>
      </c>
    </row>
    <row r="41" spans="1:26" x14ac:dyDescent="0.25">
      <c r="A41" s="12">
        <f>A40+1</f>
      </c>
      <c r="B41" s="28">
        <f>EDATE(Debts!$B$14,A41)</f>
      </c>
      <c r="C41" s="29">
        <f>IF(M40&lt;=0,0,ROUND(M40*$C$5/12,2))</f>
      </c>
      <c r="D41" s="29">
        <f>IF(N40&lt;=0,0,ROUND(N40*$D$5/12,2))</f>
      </c>
      <c r="E41" s="29">
        <f>IF(O40&lt;=0,0,ROUND(O40*$E$5/12,2))</f>
      </c>
      <c r="F41" s="29">
        <f>IF(P40&lt;=0,0,ROUND(P40*$F$5/12,2))</f>
      </c>
      <c r="G41" s="29">
        <f>IF(Q40&lt;=0,0,ROUND(Q40*$G$5/12,2))</f>
      </c>
      <c r="H41" s="29">
        <f>IF(M40&lt;=0,0,MIN(M40+C41,$C$6+V41*$U41))</f>
      </c>
      <c r="I41" s="29">
        <f>IF(N40&lt;=0,0,MIN(N40+D41,$D$6+W41*$U41))</f>
      </c>
      <c r="J41" s="29">
        <f>IF(O40&lt;=0,0,MIN(O40+E41,$E$6+X41*$U41))</f>
      </c>
      <c r="K41" s="29">
        <f>IF(P40&lt;=0,0,MIN(P40+F41,$F$6+Y41*$U41))</f>
      </c>
      <c r="L41" s="29">
        <f>IF(Q40&lt;=0,0,MIN(Q40+G41,$G$6+Z41*$U41))</f>
      </c>
      <c r="M41" s="29">
        <f>ROUND(M40+C41-H41,2)</f>
      </c>
      <c r="N41" s="29">
        <f>ROUND(N40+D41-I41,2)</f>
      </c>
      <c r="O41" s="29">
        <f>ROUND(O40+E41-J41,2)</f>
      </c>
      <c r="P41" s="29">
        <f>ROUND(P40+F41-K41,2)</f>
      </c>
      <c r="Q41" s="29">
        <f>ROUND(Q40+G41-L41,2)</f>
      </c>
      <c r="R41" s="29">
        <f>SUM(H41:L41)</f>
      </c>
      <c r="S41" s="29">
        <f>SUM(C41:G41)</f>
      </c>
      <c r="T41" s="29">
        <f>SUM(M41:Q41)</f>
      </c>
      <c r="U41" s="30">
        <f>Debts!$B$13+SUMPRODUCT(($M40:$Q40&lt;=0)*$C$6:$G$6)</f>
      </c>
      <c r="V41" s="31">
        <f>IF(AND(M40&gt;0,SUMPRODUCT(($C$7:$G$7&lt;$C$7)*($M40:$Q40&gt;0))=0),1,0)</f>
      </c>
      <c r="W41" s="31">
        <f>IF(AND(N40&gt;0,SUMPRODUCT(($C$7:$G$7&lt;$D$7)*($M40:$Q40&gt;0))=0),1,0)</f>
      </c>
      <c r="X41" s="31">
        <f>IF(AND(O40&gt;0,SUMPRODUCT(($C$7:$G$7&lt;$E$7)*($M40:$Q40&gt;0))=0),1,0)</f>
      </c>
      <c r="Y41" s="31">
        <f>IF(AND(P40&gt;0,SUMPRODUCT(($C$7:$G$7&lt;$F$7)*($M40:$Q40&gt;0))=0),1,0)</f>
      </c>
      <c r="Z41" s="31">
        <f>IF(AND(Q40&gt;0,SUMPRODUCT(($C$7:$G$7&lt;$G$7)*($M40:$Q40&gt;0))=0),1,0)</f>
      </c>
    </row>
    <row r="42" spans="1:26" x14ac:dyDescent="0.25">
      <c r="A42" s="11">
        <f>A41+1</f>
      </c>
      <c r="B42" s="24">
        <f>EDATE(Debts!$B$14,A42)</f>
      </c>
      <c r="C42" s="25">
        <f>IF(M41&lt;=0,0,ROUND(M41*$C$5/12,2))</f>
      </c>
      <c r="D42" s="25">
        <f>IF(N41&lt;=0,0,ROUND(N41*$D$5/12,2))</f>
      </c>
      <c r="E42" s="25">
        <f>IF(O41&lt;=0,0,ROUND(O41*$E$5/12,2))</f>
      </c>
      <c r="F42" s="25">
        <f>IF(P41&lt;=0,0,ROUND(P41*$F$5/12,2))</f>
      </c>
      <c r="G42" s="25">
        <f>IF(Q41&lt;=0,0,ROUND(Q41*$G$5/12,2))</f>
      </c>
      <c r="H42" s="25">
        <f>IF(M41&lt;=0,0,MIN(M41+C42,$C$6+V42*$U42))</f>
      </c>
      <c r="I42" s="25">
        <f>IF(N41&lt;=0,0,MIN(N41+D42,$D$6+W42*$U42))</f>
      </c>
      <c r="J42" s="25">
        <f>IF(O41&lt;=0,0,MIN(O41+E42,$E$6+X42*$U42))</f>
      </c>
      <c r="K42" s="25">
        <f>IF(P41&lt;=0,0,MIN(P41+F42,$F$6+Y42*$U42))</f>
      </c>
      <c r="L42" s="25">
        <f>IF(Q41&lt;=0,0,MIN(Q41+G42,$G$6+Z42*$U42))</f>
      </c>
      <c r="M42" s="25">
        <f>ROUND(M41+C42-H42,2)</f>
      </c>
      <c r="N42" s="25">
        <f>ROUND(N41+D42-I42,2)</f>
      </c>
      <c r="O42" s="25">
        <f>ROUND(O41+E42-J42,2)</f>
      </c>
      <c r="P42" s="25">
        <f>ROUND(P41+F42-K42,2)</f>
      </c>
      <c r="Q42" s="25">
        <f>ROUND(Q41+G42-L42,2)</f>
      </c>
      <c r="R42" s="25">
        <f>SUM(H42:L42)</f>
      </c>
      <c r="S42" s="25">
        <f>SUM(C42:G42)</f>
      </c>
      <c r="T42" s="25">
        <f>SUM(M42:Q42)</f>
      </c>
      <c r="U42" s="26">
        <f>Debts!$B$13+SUMPRODUCT(($M41:$Q41&lt;=0)*$C$6:$G$6)</f>
      </c>
      <c r="V42" s="27">
        <f>IF(AND(M41&gt;0,SUMPRODUCT(($C$7:$G$7&lt;$C$7)*($M41:$Q41&gt;0))=0),1,0)</f>
      </c>
      <c r="W42" s="27">
        <f>IF(AND(N41&gt;0,SUMPRODUCT(($C$7:$G$7&lt;$D$7)*($M41:$Q41&gt;0))=0),1,0)</f>
      </c>
      <c r="X42" s="27">
        <f>IF(AND(O41&gt;0,SUMPRODUCT(($C$7:$G$7&lt;$E$7)*($M41:$Q41&gt;0))=0),1,0)</f>
      </c>
      <c r="Y42" s="27">
        <f>IF(AND(P41&gt;0,SUMPRODUCT(($C$7:$G$7&lt;$F$7)*($M41:$Q41&gt;0))=0),1,0)</f>
      </c>
      <c r="Z42" s="27">
        <f>IF(AND(Q41&gt;0,SUMPRODUCT(($C$7:$G$7&lt;$G$7)*($M41:$Q41&gt;0))=0),1,0)</f>
      </c>
    </row>
    <row r="43" spans="1:26" x14ac:dyDescent="0.25">
      <c r="A43" s="12">
        <f>A42+1</f>
      </c>
      <c r="B43" s="28">
        <f>EDATE(Debts!$B$14,A43)</f>
      </c>
      <c r="C43" s="29">
        <f>IF(M42&lt;=0,0,ROUND(M42*$C$5/12,2))</f>
      </c>
      <c r="D43" s="29">
        <f>IF(N42&lt;=0,0,ROUND(N42*$D$5/12,2))</f>
      </c>
      <c r="E43" s="29">
        <f>IF(O42&lt;=0,0,ROUND(O42*$E$5/12,2))</f>
      </c>
      <c r="F43" s="29">
        <f>IF(P42&lt;=0,0,ROUND(P42*$F$5/12,2))</f>
      </c>
      <c r="G43" s="29">
        <f>IF(Q42&lt;=0,0,ROUND(Q42*$G$5/12,2))</f>
      </c>
      <c r="H43" s="29">
        <f>IF(M42&lt;=0,0,MIN(M42+C43,$C$6+V43*$U43))</f>
      </c>
      <c r="I43" s="29">
        <f>IF(N42&lt;=0,0,MIN(N42+D43,$D$6+W43*$U43))</f>
      </c>
      <c r="J43" s="29">
        <f>IF(O42&lt;=0,0,MIN(O42+E43,$E$6+X43*$U43))</f>
      </c>
      <c r="K43" s="29">
        <f>IF(P42&lt;=0,0,MIN(P42+F43,$F$6+Y43*$U43))</f>
      </c>
      <c r="L43" s="29">
        <f>IF(Q42&lt;=0,0,MIN(Q42+G43,$G$6+Z43*$U43))</f>
      </c>
      <c r="M43" s="29">
        <f>ROUND(M42+C43-H43,2)</f>
      </c>
      <c r="N43" s="29">
        <f>ROUND(N42+D43-I43,2)</f>
      </c>
      <c r="O43" s="29">
        <f>ROUND(O42+E43-J43,2)</f>
      </c>
      <c r="P43" s="29">
        <f>ROUND(P42+F43-K43,2)</f>
      </c>
      <c r="Q43" s="29">
        <f>ROUND(Q42+G43-L43,2)</f>
      </c>
      <c r="R43" s="29">
        <f>SUM(H43:L43)</f>
      </c>
      <c r="S43" s="29">
        <f>SUM(C43:G43)</f>
      </c>
      <c r="T43" s="29">
        <f>SUM(M43:Q43)</f>
      </c>
      <c r="U43" s="30">
        <f>Debts!$B$13+SUMPRODUCT(($M42:$Q42&lt;=0)*$C$6:$G$6)</f>
      </c>
      <c r="V43" s="31">
        <f>IF(AND(M42&gt;0,SUMPRODUCT(($C$7:$G$7&lt;$C$7)*($M42:$Q42&gt;0))=0),1,0)</f>
      </c>
      <c r="W43" s="31">
        <f>IF(AND(N42&gt;0,SUMPRODUCT(($C$7:$G$7&lt;$D$7)*($M42:$Q42&gt;0))=0),1,0)</f>
      </c>
      <c r="X43" s="31">
        <f>IF(AND(O42&gt;0,SUMPRODUCT(($C$7:$G$7&lt;$E$7)*($M42:$Q42&gt;0))=0),1,0)</f>
      </c>
      <c r="Y43" s="31">
        <f>IF(AND(P42&gt;0,SUMPRODUCT(($C$7:$G$7&lt;$F$7)*($M42:$Q42&gt;0))=0),1,0)</f>
      </c>
      <c r="Z43" s="31">
        <f>IF(AND(Q42&gt;0,SUMPRODUCT(($C$7:$G$7&lt;$G$7)*($M42:$Q42&gt;0))=0),1,0)</f>
      </c>
    </row>
    <row r="44" spans="1:26" x14ac:dyDescent="0.25">
      <c r="A44" s="11">
        <f>A43+1</f>
      </c>
      <c r="B44" s="24">
        <f>EDATE(Debts!$B$14,A44)</f>
      </c>
      <c r="C44" s="25">
        <f>IF(M43&lt;=0,0,ROUND(M43*$C$5/12,2))</f>
      </c>
      <c r="D44" s="25">
        <f>IF(N43&lt;=0,0,ROUND(N43*$D$5/12,2))</f>
      </c>
      <c r="E44" s="25">
        <f>IF(O43&lt;=0,0,ROUND(O43*$E$5/12,2))</f>
      </c>
      <c r="F44" s="25">
        <f>IF(P43&lt;=0,0,ROUND(P43*$F$5/12,2))</f>
      </c>
      <c r="G44" s="25">
        <f>IF(Q43&lt;=0,0,ROUND(Q43*$G$5/12,2))</f>
      </c>
      <c r="H44" s="25">
        <f>IF(M43&lt;=0,0,MIN(M43+C44,$C$6+V44*$U44))</f>
      </c>
      <c r="I44" s="25">
        <f>IF(N43&lt;=0,0,MIN(N43+D44,$D$6+W44*$U44))</f>
      </c>
      <c r="J44" s="25">
        <f>IF(O43&lt;=0,0,MIN(O43+E44,$E$6+X44*$U44))</f>
      </c>
      <c r="K44" s="25">
        <f>IF(P43&lt;=0,0,MIN(P43+F44,$F$6+Y44*$U44))</f>
      </c>
      <c r="L44" s="25">
        <f>IF(Q43&lt;=0,0,MIN(Q43+G44,$G$6+Z44*$U44))</f>
      </c>
      <c r="M44" s="25">
        <f>ROUND(M43+C44-H44,2)</f>
      </c>
      <c r="N44" s="25">
        <f>ROUND(N43+D44-I44,2)</f>
      </c>
      <c r="O44" s="25">
        <f>ROUND(O43+E44-J44,2)</f>
      </c>
      <c r="P44" s="25">
        <f>ROUND(P43+F44-K44,2)</f>
      </c>
      <c r="Q44" s="25">
        <f>ROUND(Q43+G44-L44,2)</f>
      </c>
      <c r="R44" s="25">
        <f>SUM(H44:L44)</f>
      </c>
      <c r="S44" s="25">
        <f>SUM(C44:G44)</f>
      </c>
      <c r="T44" s="25">
        <f>SUM(M44:Q44)</f>
      </c>
      <c r="U44" s="26">
        <f>Debts!$B$13+SUMPRODUCT(($M43:$Q43&lt;=0)*$C$6:$G$6)</f>
      </c>
      <c r="V44" s="27">
        <f>IF(AND(M43&gt;0,SUMPRODUCT(($C$7:$G$7&lt;$C$7)*($M43:$Q43&gt;0))=0),1,0)</f>
      </c>
      <c r="W44" s="27">
        <f>IF(AND(N43&gt;0,SUMPRODUCT(($C$7:$G$7&lt;$D$7)*($M43:$Q43&gt;0))=0),1,0)</f>
      </c>
      <c r="X44" s="27">
        <f>IF(AND(O43&gt;0,SUMPRODUCT(($C$7:$G$7&lt;$E$7)*($M43:$Q43&gt;0))=0),1,0)</f>
      </c>
      <c r="Y44" s="27">
        <f>IF(AND(P43&gt;0,SUMPRODUCT(($C$7:$G$7&lt;$F$7)*($M43:$Q43&gt;0))=0),1,0)</f>
      </c>
      <c r="Z44" s="27">
        <f>IF(AND(Q43&gt;0,SUMPRODUCT(($C$7:$G$7&lt;$G$7)*($M43:$Q43&gt;0))=0),1,0)</f>
      </c>
    </row>
    <row r="45" spans="1:26" x14ac:dyDescent="0.25">
      <c r="A45" s="12">
        <f>A44+1</f>
      </c>
      <c r="B45" s="28">
        <f>EDATE(Debts!$B$14,A45)</f>
      </c>
      <c r="C45" s="29">
        <f>IF(M44&lt;=0,0,ROUND(M44*$C$5/12,2))</f>
      </c>
      <c r="D45" s="29">
        <f>IF(N44&lt;=0,0,ROUND(N44*$D$5/12,2))</f>
      </c>
      <c r="E45" s="29">
        <f>IF(O44&lt;=0,0,ROUND(O44*$E$5/12,2))</f>
      </c>
      <c r="F45" s="29">
        <f>IF(P44&lt;=0,0,ROUND(P44*$F$5/12,2))</f>
      </c>
      <c r="G45" s="29">
        <f>IF(Q44&lt;=0,0,ROUND(Q44*$G$5/12,2))</f>
      </c>
      <c r="H45" s="29">
        <f>IF(M44&lt;=0,0,MIN(M44+C45,$C$6+V45*$U45))</f>
      </c>
      <c r="I45" s="29">
        <f>IF(N44&lt;=0,0,MIN(N44+D45,$D$6+W45*$U45))</f>
      </c>
      <c r="J45" s="29">
        <f>IF(O44&lt;=0,0,MIN(O44+E45,$E$6+X45*$U45))</f>
      </c>
      <c r="K45" s="29">
        <f>IF(P44&lt;=0,0,MIN(P44+F45,$F$6+Y45*$U45))</f>
      </c>
      <c r="L45" s="29">
        <f>IF(Q44&lt;=0,0,MIN(Q44+G45,$G$6+Z45*$U45))</f>
      </c>
      <c r="M45" s="29">
        <f>ROUND(M44+C45-H45,2)</f>
      </c>
      <c r="N45" s="29">
        <f>ROUND(N44+D45-I45,2)</f>
      </c>
      <c r="O45" s="29">
        <f>ROUND(O44+E45-J45,2)</f>
      </c>
      <c r="P45" s="29">
        <f>ROUND(P44+F45-K45,2)</f>
      </c>
      <c r="Q45" s="29">
        <f>ROUND(Q44+G45-L45,2)</f>
      </c>
      <c r="R45" s="29">
        <f>SUM(H45:L45)</f>
      </c>
      <c r="S45" s="29">
        <f>SUM(C45:G45)</f>
      </c>
      <c r="T45" s="29">
        <f>SUM(M45:Q45)</f>
      </c>
      <c r="U45" s="30">
        <f>Debts!$B$13+SUMPRODUCT(($M44:$Q44&lt;=0)*$C$6:$G$6)</f>
      </c>
      <c r="V45" s="31">
        <f>IF(AND(M44&gt;0,SUMPRODUCT(($C$7:$G$7&lt;$C$7)*($M44:$Q44&gt;0))=0),1,0)</f>
      </c>
      <c r="W45" s="31">
        <f>IF(AND(N44&gt;0,SUMPRODUCT(($C$7:$G$7&lt;$D$7)*($M44:$Q44&gt;0))=0),1,0)</f>
      </c>
      <c r="X45" s="31">
        <f>IF(AND(O44&gt;0,SUMPRODUCT(($C$7:$G$7&lt;$E$7)*($M44:$Q44&gt;0))=0),1,0)</f>
      </c>
      <c r="Y45" s="31">
        <f>IF(AND(P44&gt;0,SUMPRODUCT(($C$7:$G$7&lt;$F$7)*($M44:$Q44&gt;0))=0),1,0)</f>
      </c>
      <c r="Z45" s="31">
        <f>IF(AND(Q44&gt;0,SUMPRODUCT(($C$7:$G$7&lt;$G$7)*($M44:$Q44&gt;0))=0),1,0)</f>
      </c>
    </row>
    <row r="46" spans="1:26" x14ac:dyDescent="0.25">
      <c r="A46" s="11">
        <f>A45+1</f>
      </c>
      <c r="B46" s="24">
        <f>EDATE(Debts!$B$14,A46)</f>
      </c>
      <c r="C46" s="25">
        <f>IF(M45&lt;=0,0,ROUND(M45*$C$5/12,2))</f>
      </c>
      <c r="D46" s="25">
        <f>IF(N45&lt;=0,0,ROUND(N45*$D$5/12,2))</f>
      </c>
      <c r="E46" s="25">
        <f>IF(O45&lt;=0,0,ROUND(O45*$E$5/12,2))</f>
      </c>
      <c r="F46" s="25">
        <f>IF(P45&lt;=0,0,ROUND(P45*$F$5/12,2))</f>
      </c>
      <c r="G46" s="25">
        <f>IF(Q45&lt;=0,0,ROUND(Q45*$G$5/12,2))</f>
      </c>
      <c r="H46" s="25">
        <f>IF(M45&lt;=0,0,MIN(M45+C46,$C$6+V46*$U46))</f>
      </c>
      <c r="I46" s="25">
        <f>IF(N45&lt;=0,0,MIN(N45+D46,$D$6+W46*$U46))</f>
      </c>
      <c r="J46" s="25">
        <f>IF(O45&lt;=0,0,MIN(O45+E46,$E$6+X46*$U46))</f>
      </c>
      <c r="K46" s="25">
        <f>IF(P45&lt;=0,0,MIN(P45+F46,$F$6+Y46*$U46))</f>
      </c>
      <c r="L46" s="25">
        <f>IF(Q45&lt;=0,0,MIN(Q45+G46,$G$6+Z46*$U46))</f>
      </c>
      <c r="M46" s="25">
        <f>ROUND(M45+C46-H46,2)</f>
      </c>
      <c r="N46" s="25">
        <f>ROUND(N45+D46-I46,2)</f>
      </c>
      <c r="O46" s="25">
        <f>ROUND(O45+E46-J46,2)</f>
      </c>
      <c r="P46" s="25">
        <f>ROUND(P45+F46-K46,2)</f>
      </c>
      <c r="Q46" s="25">
        <f>ROUND(Q45+G46-L46,2)</f>
      </c>
      <c r="R46" s="25">
        <f>SUM(H46:L46)</f>
      </c>
      <c r="S46" s="25">
        <f>SUM(C46:G46)</f>
      </c>
      <c r="T46" s="25">
        <f>SUM(M46:Q46)</f>
      </c>
      <c r="U46" s="26">
        <f>Debts!$B$13+SUMPRODUCT(($M45:$Q45&lt;=0)*$C$6:$G$6)</f>
      </c>
      <c r="V46" s="27">
        <f>IF(AND(M45&gt;0,SUMPRODUCT(($C$7:$G$7&lt;$C$7)*($M45:$Q45&gt;0))=0),1,0)</f>
      </c>
      <c r="W46" s="27">
        <f>IF(AND(N45&gt;0,SUMPRODUCT(($C$7:$G$7&lt;$D$7)*($M45:$Q45&gt;0))=0),1,0)</f>
      </c>
      <c r="X46" s="27">
        <f>IF(AND(O45&gt;0,SUMPRODUCT(($C$7:$G$7&lt;$E$7)*($M45:$Q45&gt;0))=0),1,0)</f>
      </c>
      <c r="Y46" s="27">
        <f>IF(AND(P45&gt;0,SUMPRODUCT(($C$7:$G$7&lt;$F$7)*($M45:$Q45&gt;0))=0),1,0)</f>
      </c>
      <c r="Z46" s="27">
        <f>IF(AND(Q45&gt;0,SUMPRODUCT(($C$7:$G$7&lt;$G$7)*($M45:$Q45&gt;0))=0),1,0)</f>
      </c>
    </row>
    <row r="47" spans="1:26" x14ac:dyDescent="0.25">
      <c r="A47" s="12">
        <f>A46+1</f>
      </c>
      <c r="B47" s="28">
        <f>EDATE(Debts!$B$14,A47)</f>
      </c>
      <c r="C47" s="29">
        <f>IF(M46&lt;=0,0,ROUND(M46*$C$5/12,2))</f>
      </c>
      <c r="D47" s="29">
        <f>IF(N46&lt;=0,0,ROUND(N46*$D$5/12,2))</f>
      </c>
      <c r="E47" s="29">
        <f>IF(O46&lt;=0,0,ROUND(O46*$E$5/12,2))</f>
      </c>
      <c r="F47" s="29">
        <f>IF(P46&lt;=0,0,ROUND(P46*$F$5/12,2))</f>
      </c>
      <c r="G47" s="29">
        <f>IF(Q46&lt;=0,0,ROUND(Q46*$G$5/12,2))</f>
      </c>
      <c r="H47" s="29">
        <f>IF(M46&lt;=0,0,MIN(M46+C47,$C$6+V47*$U47))</f>
      </c>
      <c r="I47" s="29">
        <f>IF(N46&lt;=0,0,MIN(N46+D47,$D$6+W47*$U47))</f>
      </c>
      <c r="J47" s="29">
        <f>IF(O46&lt;=0,0,MIN(O46+E47,$E$6+X47*$U47))</f>
      </c>
      <c r="K47" s="29">
        <f>IF(P46&lt;=0,0,MIN(P46+F47,$F$6+Y47*$U47))</f>
      </c>
      <c r="L47" s="29">
        <f>IF(Q46&lt;=0,0,MIN(Q46+G47,$G$6+Z47*$U47))</f>
      </c>
      <c r="M47" s="29">
        <f>ROUND(M46+C47-H47,2)</f>
      </c>
      <c r="N47" s="29">
        <f>ROUND(N46+D47-I47,2)</f>
      </c>
      <c r="O47" s="29">
        <f>ROUND(O46+E47-J47,2)</f>
      </c>
      <c r="P47" s="29">
        <f>ROUND(P46+F47-K47,2)</f>
      </c>
      <c r="Q47" s="29">
        <f>ROUND(Q46+G47-L47,2)</f>
      </c>
      <c r="R47" s="29">
        <f>SUM(H47:L47)</f>
      </c>
      <c r="S47" s="29">
        <f>SUM(C47:G47)</f>
      </c>
      <c r="T47" s="29">
        <f>SUM(M47:Q47)</f>
      </c>
      <c r="U47" s="30">
        <f>Debts!$B$13+SUMPRODUCT(($M46:$Q46&lt;=0)*$C$6:$G$6)</f>
      </c>
      <c r="V47" s="31">
        <f>IF(AND(M46&gt;0,SUMPRODUCT(($C$7:$G$7&lt;$C$7)*($M46:$Q46&gt;0))=0),1,0)</f>
      </c>
      <c r="W47" s="31">
        <f>IF(AND(N46&gt;0,SUMPRODUCT(($C$7:$G$7&lt;$D$7)*($M46:$Q46&gt;0))=0),1,0)</f>
      </c>
      <c r="X47" s="31">
        <f>IF(AND(O46&gt;0,SUMPRODUCT(($C$7:$G$7&lt;$E$7)*($M46:$Q46&gt;0))=0),1,0)</f>
      </c>
      <c r="Y47" s="31">
        <f>IF(AND(P46&gt;0,SUMPRODUCT(($C$7:$G$7&lt;$F$7)*($M46:$Q46&gt;0))=0),1,0)</f>
      </c>
      <c r="Z47" s="31">
        <f>IF(AND(Q46&gt;0,SUMPRODUCT(($C$7:$G$7&lt;$G$7)*($M46:$Q46&gt;0))=0),1,0)</f>
      </c>
    </row>
    <row r="48" spans="1:26" x14ac:dyDescent="0.25">
      <c r="A48" s="11">
        <f>A47+1</f>
      </c>
      <c r="B48" s="24">
        <f>EDATE(Debts!$B$14,A48)</f>
      </c>
      <c r="C48" s="25">
        <f>IF(M47&lt;=0,0,ROUND(M47*$C$5/12,2))</f>
      </c>
      <c r="D48" s="25">
        <f>IF(N47&lt;=0,0,ROUND(N47*$D$5/12,2))</f>
      </c>
      <c r="E48" s="25">
        <f>IF(O47&lt;=0,0,ROUND(O47*$E$5/12,2))</f>
      </c>
      <c r="F48" s="25">
        <f>IF(P47&lt;=0,0,ROUND(P47*$F$5/12,2))</f>
      </c>
      <c r="G48" s="25">
        <f>IF(Q47&lt;=0,0,ROUND(Q47*$G$5/12,2))</f>
      </c>
      <c r="H48" s="25">
        <f>IF(M47&lt;=0,0,MIN(M47+C48,$C$6+V48*$U48))</f>
      </c>
      <c r="I48" s="25">
        <f>IF(N47&lt;=0,0,MIN(N47+D48,$D$6+W48*$U48))</f>
      </c>
      <c r="J48" s="25">
        <f>IF(O47&lt;=0,0,MIN(O47+E48,$E$6+X48*$U48))</f>
      </c>
      <c r="K48" s="25">
        <f>IF(P47&lt;=0,0,MIN(P47+F48,$F$6+Y48*$U48))</f>
      </c>
      <c r="L48" s="25">
        <f>IF(Q47&lt;=0,0,MIN(Q47+G48,$G$6+Z48*$U48))</f>
      </c>
      <c r="M48" s="25">
        <f>ROUND(M47+C48-H48,2)</f>
      </c>
      <c r="N48" s="25">
        <f>ROUND(N47+D48-I48,2)</f>
      </c>
      <c r="O48" s="25">
        <f>ROUND(O47+E48-J48,2)</f>
      </c>
      <c r="P48" s="25">
        <f>ROUND(P47+F48-K48,2)</f>
      </c>
      <c r="Q48" s="25">
        <f>ROUND(Q47+G48-L48,2)</f>
      </c>
      <c r="R48" s="25">
        <f>SUM(H48:L48)</f>
      </c>
      <c r="S48" s="25">
        <f>SUM(C48:G48)</f>
      </c>
      <c r="T48" s="25">
        <f>SUM(M48:Q48)</f>
      </c>
      <c r="U48" s="26">
        <f>Debts!$B$13+SUMPRODUCT(($M47:$Q47&lt;=0)*$C$6:$G$6)</f>
      </c>
      <c r="V48" s="27">
        <f>IF(AND(M47&gt;0,SUMPRODUCT(($C$7:$G$7&lt;$C$7)*($M47:$Q47&gt;0))=0),1,0)</f>
      </c>
      <c r="W48" s="27">
        <f>IF(AND(N47&gt;0,SUMPRODUCT(($C$7:$G$7&lt;$D$7)*($M47:$Q47&gt;0))=0),1,0)</f>
      </c>
      <c r="X48" s="27">
        <f>IF(AND(O47&gt;0,SUMPRODUCT(($C$7:$G$7&lt;$E$7)*($M47:$Q47&gt;0))=0),1,0)</f>
      </c>
      <c r="Y48" s="27">
        <f>IF(AND(P47&gt;0,SUMPRODUCT(($C$7:$G$7&lt;$F$7)*($M47:$Q47&gt;0))=0),1,0)</f>
      </c>
      <c r="Z48" s="27">
        <f>IF(AND(Q47&gt;0,SUMPRODUCT(($C$7:$G$7&lt;$G$7)*($M47:$Q47&gt;0))=0),1,0)</f>
      </c>
    </row>
    <row r="49" spans="1:26" x14ac:dyDescent="0.25">
      <c r="A49" s="12">
        <f>A48+1</f>
      </c>
      <c r="B49" s="28">
        <f>EDATE(Debts!$B$14,A49)</f>
      </c>
      <c r="C49" s="29">
        <f>IF(M48&lt;=0,0,ROUND(M48*$C$5/12,2))</f>
      </c>
      <c r="D49" s="29">
        <f>IF(N48&lt;=0,0,ROUND(N48*$D$5/12,2))</f>
      </c>
      <c r="E49" s="29">
        <f>IF(O48&lt;=0,0,ROUND(O48*$E$5/12,2))</f>
      </c>
      <c r="F49" s="29">
        <f>IF(P48&lt;=0,0,ROUND(P48*$F$5/12,2))</f>
      </c>
      <c r="G49" s="29">
        <f>IF(Q48&lt;=0,0,ROUND(Q48*$G$5/12,2))</f>
      </c>
      <c r="H49" s="29">
        <f>IF(M48&lt;=0,0,MIN(M48+C49,$C$6+V49*$U49))</f>
      </c>
      <c r="I49" s="29">
        <f>IF(N48&lt;=0,0,MIN(N48+D49,$D$6+W49*$U49))</f>
      </c>
      <c r="J49" s="29">
        <f>IF(O48&lt;=0,0,MIN(O48+E49,$E$6+X49*$U49))</f>
      </c>
      <c r="K49" s="29">
        <f>IF(P48&lt;=0,0,MIN(P48+F49,$F$6+Y49*$U49))</f>
      </c>
      <c r="L49" s="29">
        <f>IF(Q48&lt;=0,0,MIN(Q48+G49,$G$6+Z49*$U49))</f>
      </c>
      <c r="M49" s="29">
        <f>ROUND(M48+C49-H49,2)</f>
      </c>
      <c r="N49" s="29">
        <f>ROUND(N48+D49-I49,2)</f>
      </c>
      <c r="O49" s="29">
        <f>ROUND(O48+E49-J49,2)</f>
      </c>
      <c r="P49" s="29">
        <f>ROUND(P48+F49-K49,2)</f>
      </c>
      <c r="Q49" s="29">
        <f>ROUND(Q48+G49-L49,2)</f>
      </c>
      <c r="R49" s="29">
        <f>SUM(H49:L49)</f>
      </c>
      <c r="S49" s="29">
        <f>SUM(C49:G49)</f>
      </c>
      <c r="T49" s="29">
        <f>SUM(M49:Q49)</f>
      </c>
      <c r="U49" s="30">
        <f>Debts!$B$13+SUMPRODUCT(($M48:$Q48&lt;=0)*$C$6:$G$6)</f>
      </c>
      <c r="V49" s="31">
        <f>IF(AND(M48&gt;0,SUMPRODUCT(($C$7:$G$7&lt;$C$7)*($M48:$Q48&gt;0))=0),1,0)</f>
      </c>
      <c r="W49" s="31">
        <f>IF(AND(N48&gt;0,SUMPRODUCT(($C$7:$G$7&lt;$D$7)*($M48:$Q48&gt;0))=0),1,0)</f>
      </c>
      <c r="X49" s="31">
        <f>IF(AND(O48&gt;0,SUMPRODUCT(($C$7:$G$7&lt;$E$7)*($M48:$Q48&gt;0))=0),1,0)</f>
      </c>
      <c r="Y49" s="31">
        <f>IF(AND(P48&gt;0,SUMPRODUCT(($C$7:$G$7&lt;$F$7)*($M48:$Q48&gt;0))=0),1,0)</f>
      </c>
      <c r="Z49" s="31">
        <f>IF(AND(Q48&gt;0,SUMPRODUCT(($C$7:$G$7&lt;$G$7)*($M48:$Q48&gt;0))=0),1,0)</f>
      </c>
    </row>
    <row r="50" spans="1:26" x14ac:dyDescent="0.25">
      <c r="A50" s="11">
        <f>A49+1</f>
      </c>
      <c r="B50" s="24">
        <f>EDATE(Debts!$B$14,A50)</f>
      </c>
      <c r="C50" s="25">
        <f>IF(M49&lt;=0,0,ROUND(M49*$C$5/12,2))</f>
      </c>
      <c r="D50" s="25">
        <f>IF(N49&lt;=0,0,ROUND(N49*$D$5/12,2))</f>
      </c>
      <c r="E50" s="25">
        <f>IF(O49&lt;=0,0,ROUND(O49*$E$5/12,2))</f>
      </c>
      <c r="F50" s="25">
        <f>IF(P49&lt;=0,0,ROUND(P49*$F$5/12,2))</f>
      </c>
      <c r="G50" s="25">
        <f>IF(Q49&lt;=0,0,ROUND(Q49*$G$5/12,2))</f>
      </c>
      <c r="H50" s="25">
        <f>IF(M49&lt;=0,0,MIN(M49+C50,$C$6+V50*$U50))</f>
      </c>
      <c r="I50" s="25">
        <f>IF(N49&lt;=0,0,MIN(N49+D50,$D$6+W50*$U50))</f>
      </c>
      <c r="J50" s="25">
        <f>IF(O49&lt;=0,0,MIN(O49+E50,$E$6+X50*$U50))</f>
      </c>
      <c r="K50" s="25">
        <f>IF(P49&lt;=0,0,MIN(P49+F50,$F$6+Y50*$U50))</f>
      </c>
      <c r="L50" s="25">
        <f>IF(Q49&lt;=0,0,MIN(Q49+G50,$G$6+Z50*$U50))</f>
      </c>
      <c r="M50" s="25">
        <f>ROUND(M49+C50-H50,2)</f>
      </c>
      <c r="N50" s="25">
        <f>ROUND(N49+D50-I50,2)</f>
      </c>
      <c r="O50" s="25">
        <f>ROUND(O49+E50-J50,2)</f>
      </c>
      <c r="P50" s="25">
        <f>ROUND(P49+F50-K50,2)</f>
      </c>
      <c r="Q50" s="25">
        <f>ROUND(Q49+G50-L50,2)</f>
      </c>
      <c r="R50" s="25">
        <f>SUM(H50:L50)</f>
      </c>
      <c r="S50" s="25">
        <f>SUM(C50:G50)</f>
      </c>
      <c r="T50" s="25">
        <f>SUM(M50:Q50)</f>
      </c>
      <c r="U50" s="26">
        <f>Debts!$B$13+SUMPRODUCT(($M49:$Q49&lt;=0)*$C$6:$G$6)</f>
      </c>
      <c r="V50" s="27">
        <f>IF(AND(M49&gt;0,SUMPRODUCT(($C$7:$G$7&lt;$C$7)*($M49:$Q49&gt;0))=0),1,0)</f>
      </c>
      <c r="W50" s="27">
        <f>IF(AND(N49&gt;0,SUMPRODUCT(($C$7:$G$7&lt;$D$7)*($M49:$Q49&gt;0))=0),1,0)</f>
      </c>
      <c r="X50" s="27">
        <f>IF(AND(O49&gt;0,SUMPRODUCT(($C$7:$G$7&lt;$E$7)*($M49:$Q49&gt;0))=0),1,0)</f>
      </c>
      <c r="Y50" s="27">
        <f>IF(AND(P49&gt;0,SUMPRODUCT(($C$7:$G$7&lt;$F$7)*($M49:$Q49&gt;0))=0),1,0)</f>
      </c>
      <c r="Z50" s="27">
        <f>IF(AND(Q49&gt;0,SUMPRODUCT(($C$7:$G$7&lt;$G$7)*($M49:$Q49&gt;0))=0),1,0)</f>
      </c>
    </row>
    <row r="51" spans="1:26" x14ac:dyDescent="0.25">
      <c r="A51" s="12">
        <f>A50+1</f>
      </c>
      <c r="B51" s="28">
        <f>EDATE(Debts!$B$14,A51)</f>
      </c>
      <c r="C51" s="29">
        <f>IF(M50&lt;=0,0,ROUND(M50*$C$5/12,2))</f>
      </c>
      <c r="D51" s="29">
        <f>IF(N50&lt;=0,0,ROUND(N50*$D$5/12,2))</f>
      </c>
      <c r="E51" s="29">
        <f>IF(O50&lt;=0,0,ROUND(O50*$E$5/12,2))</f>
      </c>
      <c r="F51" s="29">
        <f>IF(P50&lt;=0,0,ROUND(P50*$F$5/12,2))</f>
      </c>
      <c r="G51" s="29">
        <f>IF(Q50&lt;=0,0,ROUND(Q50*$G$5/12,2))</f>
      </c>
      <c r="H51" s="29">
        <f>IF(M50&lt;=0,0,MIN(M50+C51,$C$6+V51*$U51))</f>
      </c>
      <c r="I51" s="29">
        <f>IF(N50&lt;=0,0,MIN(N50+D51,$D$6+W51*$U51))</f>
      </c>
      <c r="J51" s="29">
        <f>IF(O50&lt;=0,0,MIN(O50+E51,$E$6+X51*$U51))</f>
      </c>
      <c r="K51" s="29">
        <f>IF(P50&lt;=0,0,MIN(P50+F51,$F$6+Y51*$U51))</f>
      </c>
      <c r="L51" s="29">
        <f>IF(Q50&lt;=0,0,MIN(Q50+G51,$G$6+Z51*$U51))</f>
      </c>
      <c r="M51" s="29">
        <f>ROUND(M50+C51-H51,2)</f>
      </c>
      <c r="N51" s="29">
        <f>ROUND(N50+D51-I51,2)</f>
      </c>
      <c r="O51" s="29">
        <f>ROUND(O50+E51-J51,2)</f>
      </c>
      <c r="P51" s="29">
        <f>ROUND(P50+F51-K51,2)</f>
      </c>
      <c r="Q51" s="29">
        <f>ROUND(Q50+G51-L51,2)</f>
      </c>
      <c r="R51" s="29">
        <f>SUM(H51:L51)</f>
      </c>
      <c r="S51" s="29">
        <f>SUM(C51:G51)</f>
      </c>
      <c r="T51" s="29">
        <f>SUM(M51:Q51)</f>
      </c>
      <c r="U51" s="30">
        <f>Debts!$B$13+SUMPRODUCT(($M50:$Q50&lt;=0)*$C$6:$G$6)</f>
      </c>
      <c r="V51" s="31">
        <f>IF(AND(M50&gt;0,SUMPRODUCT(($C$7:$G$7&lt;$C$7)*($M50:$Q50&gt;0))=0),1,0)</f>
      </c>
      <c r="W51" s="31">
        <f>IF(AND(N50&gt;0,SUMPRODUCT(($C$7:$G$7&lt;$D$7)*($M50:$Q50&gt;0))=0),1,0)</f>
      </c>
      <c r="X51" s="31">
        <f>IF(AND(O50&gt;0,SUMPRODUCT(($C$7:$G$7&lt;$E$7)*($M50:$Q50&gt;0))=0),1,0)</f>
      </c>
      <c r="Y51" s="31">
        <f>IF(AND(P50&gt;0,SUMPRODUCT(($C$7:$G$7&lt;$F$7)*($M50:$Q50&gt;0))=0),1,0)</f>
      </c>
      <c r="Z51" s="31">
        <f>IF(AND(Q50&gt;0,SUMPRODUCT(($C$7:$G$7&lt;$G$7)*($M50:$Q50&gt;0))=0),1,0)</f>
      </c>
    </row>
    <row r="52" spans="1:26" x14ac:dyDescent="0.25">
      <c r="A52" s="11">
        <f>A51+1</f>
      </c>
      <c r="B52" s="24">
        <f>EDATE(Debts!$B$14,A52)</f>
      </c>
      <c r="C52" s="25">
        <f>IF(M51&lt;=0,0,ROUND(M51*$C$5/12,2))</f>
      </c>
      <c r="D52" s="25">
        <f>IF(N51&lt;=0,0,ROUND(N51*$D$5/12,2))</f>
      </c>
      <c r="E52" s="25">
        <f>IF(O51&lt;=0,0,ROUND(O51*$E$5/12,2))</f>
      </c>
      <c r="F52" s="25">
        <f>IF(P51&lt;=0,0,ROUND(P51*$F$5/12,2))</f>
      </c>
      <c r="G52" s="25">
        <f>IF(Q51&lt;=0,0,ROUND(Q51*$G$5/12,2))</f>
      </c>
      <c r="H52" s="25">
        <f>IF(M51&lt;=0,0,MIN(M51+C52,$C$6+V52*$U52))</f>
      </c>
      <c r="I52" s="25">
        <f>IF(N51&lt;=0,0,MIN(N51+D52,$D$6+W52*$U52))</f>
      </c>
      <c r="J52" s="25">
        <f>IF(O51&lt;=0,0,MIN(O51+E52,$E$6+X52*$U52))</f>
      </c>
      <c r="K52" s="25">
        <f>IF(P51&lt;=0,0,MIN(P51+F52,$F$6+Y52*$U52))</f>
      </c>
      <c r="L52" s="25">
        <f>IF(Q51&lt;=0,0,MIN(Q51+G52,$G$6+Z52*$U52))</f>
      </c>
      <c r="M52" s="25">
        <f>ROUND(M51+C52-H52,2)</f>
      </c>
      <c r="N52" s="25">
        <f>ROUND(N51+D52-I52,2)</f>
      </c>
      <c r="O52" s="25">
        <f>ROUND(O51+E52-J52,2)</f>
      </c>
      <c r="P52" s="25">
        <f>ROUND(P51+F52-K52,2)</f>
      </c>
      <c r="Q52" s="25">
        <f>ROUND(Q51+G52-L52,2)</f>
      </c>
      <c r="R52" s="25">
        <f>SUM(H52:L52)</f>
      </c>
      <c r="S52" s="25">
        <f>SUM(C52:G52)</f>
      </c>
      <c r="T52" s="25">
        <f>SUM(M52:Q52)</f>
      </c>
      <c r="U52" s="26">
        <f>Debts!$B$13+SUMPRODUCT(($M51:$Q51&lt;=0)*$C$6:$G$6)</f>
      </c>
      <c r="V52" s="27">
        <f>IF(AND(M51&gt;0,SUMPRODUCT(($C$7:$G$7&lt;$C$7)*($M51:$Q51&gt;0))=0),1,0)</f>
      </c>
      <c r="W52" s="27">
        <f>IF(AND(N51&gt;0,SUMPRODUCT(($C$7:$G$7&lt;$D$7)*($M51:$Q51&gt;0))=0),1,0)</f>
      </c>
      <c r="X52" s="27">
        <f>IF(AND(O51&gt;0,SUMPRODUCT(($C$7:$G$7&lt;$E$7)*($M51:$Q51&gt;0))=0),1,0)</f>
      </c>
      <c r="Y52" s="27">
        <f>IF(AND(P51&gt;0,SUMPRODUCT(($C$7:$G$7&lt;$F$7)*($M51:$Q51&gt;0))=0),1,0)</f>
      </c>
      <c r="Z52" s="27">
        <f>IF(AND(Q51&gt;0,SUMPRODUCT(($C$7:$G$7&lt;$G$7)*($M51:$Q51&gt;0))=0),1,0)</f>
      </c>
    </row>
    <row r="53" spans="1:26" x14ac:dyDescent="0.25">
      <c r="A53" s="12">
        <f>A52+1</f>
      </c>
      <c r="B53" s="28">
        <f>EDATE(Debts!$B$14,A53)</f>
      </c>
      <c r="C53" s="29">
        <f>IF(M52&lt;=0,0,ROUND(M52*$C$5/12,2))</f>
      </c>
      <c r="D53" s="29">
        <f>IF(N52&lt;=0,0,ROUND(N52*$D$5/12,2))</f>
      </c>
      <c r="E53" s="29">
        <f>IF(O52&lt;=0,0,ROUND(O52*$E$5/12,2))</f>
      </c>
      <c r="F53" s="29">
        <f>IF(P52&lt;=0,0,ROUND(P52*$F$5/12,2))</f>
      </c>
      <c r="G53" s="29">
        <f>IF(Q52&lt;=0,0,ROUND(Q52*$G$5/12,2))</f>
      </c>
      <c r="H53" s="29">
        <f>IF(M52&lt;=0,0,MIN(M52+C53,$C$6+V53*$U53))</f>
      </c>
      <c r="I53" s="29">
        <f>IF(N52&lt;=0,0,MIN(N52+D53,$D$6+W53*$U53))</f>
      </c>
      <c r="J53" s="29">
        <f>IF(O52&lt;=0,0,MIN(O52+E53,$E$6+X53*$U53))</f>
      </c>
      <c r="K53" s="29">
        <f>IF(P52&lt;=0,0,MIN(P52+F53,$F$6+Y53*$U53))</f>
      </c>
      <c r="L53" s="29">
        <f>IF(Q52&lt;=0,0,MIN(Q52+G53,$G$6+Z53*$U53))</f>
      </c>
      <c r="M53" s="29">
        <f>ROUND(M52+C53-H53,2)</f>
      </c>
      <c r="N53" s="29">
        <f>ROUND(N52+D53-I53,2)</f>
      </c>
      <c r="O53" s="29">
        <f>ROUND(O52+E53-J53,2)</f>
      </c>
      <c r="P53" s="29">
        <f>ROUND(P52+F53-K53,2)</f>
      </c>
      <c r="Q53" s="29">
        <f>ROUND(Q52+G53-L53,2)</f>
      </c>
      <c r="R53" s="29">
        <f>SUM(H53:L53)</f>
      </c>
      <c r="S53" s="29">
        <f>SUM(C53:G53)</f>
      </c>
      <c r="T53" s="29">
        <f>SUM(M53:Q53)</f>
      </c>
      <c r="U53" s="30">
        <f>Debts!$B$13+SUMPRODUCT(($M52:$Q52&lt;=0)*$C$6:$G$6)</f>
      </c>
      <c r="V53" s="31">
        <f>IF(AND(M52&gt;0,SUMPRODUCT(($C$7:$G$7&lt;$C$7)*($M52:$Q52&gt;0))=0),1,0)</f>
      </c>
      <c r="W53" s="31">
        <f>IF(AND(N52&gt;0,SUMPRODUCT(($C$7:$G$7&lt;$D$7)*($M52:$Q52&gt;0))=0),1,0)</f>
      </c>
      <c r="X53" s="31">
        <f>IF(AND(O52&gt;0,SUMPRODUCT(($C$7:$G$7&lt;$E$7)*($M52:$Q52&gt;0))=0),1,0)</f>
      </c>
      <c r="Y53" s="31">
        <f>IF(AND(P52&gt;0,SUMPRODUCT(($C$7:$G$7&lt;$F$7)*($M52:$Q52&gt;0))=0),1,0)</f>
      </c>
      <c r="Z53" s="31">
        <f>IF(AND(Q52&gt;0,SUMPRODUCT(($C$7:$G$7&lt;$G$7)*($M52:$Q52&gt;0))=0),1,0)</f>
      </c>
    </row>
    <row r="54" spans="1:26" x14ac:dyDescent="0.25">
      <c r="A54" s="11">
        <f>A53+1</f>
      </c>
      <c r="B54" s="24">
        <f>EDATE(Debts!$B$14,A54)</f>
      </c>
      <c r="C54" s="25">
        <f>IF(M53&lt;=0,0,ROUND(M53*$C$5/12,2))</f>
      </c>
      <c r="D54" s="25">
        <f>IF(N53&lt;=0,0,ROUND(N53*$D$5/12,2))</f>
      </c>
      <c r="E54" s="25">
        <f>IF(O53&lt;=0,0,ROUND(O53*$E$5/12,2))</f>
      </c>
      <c r="F54" s="25">
        <f>IF(P53&lt;=0,0,ROUND(P53*$F$5/12,2))</f>
      </c>
      <c r="G54" s="25">
        <f>IF(Q53&lt;=0,0,ROUND(Q53*$G$5/12,2))</f>
      </c>
      <c r="H54" s="25">
        <f>IF(M53&lt;=0,0,MIN(M53+C54,$C$6+V54*$U54))</f>
      </c>
      <c r="I54" s="25">
        <f>IF(N53&lt;=0,0,MIN(N53+D54,$D$6+W54*$U54))</f>
      </c>
      <c r="J54" s="25">
        <f>IF(O53&lt;=0,0,MIN(O53+E54,$E$6+X54*$U54))</f>
      </c>
      <c r="K54" s="25">
        <f>IF(P53&lt;=0,0,MIN(P53+F54,$F$6+Y54*$U54))</f>
      </c>
      <c r="L54" s="25">
        <f>IF(Q53&lt;=0,0,MIN(Q53+G54,$G$6+Z54*$U54))</f>
      </c>
      <c r="M54" s="25">
        <f>ROUND(M53+C54-H54,2)</f>
      </c>
      <c r="N54" s="25">
        <f>ROUND(N53+D54-I54,2)</f>
      </c>
      <c r="O54" s="25">
        <f>ROUND(O53+E54-J54,2)</f>
      </c>
      <c r="P54" s="25">
        <f>ROUND(P53+F54-K54,2)</f>
      </c>
      <c r="Q54" s="25">
        <f>ROUND(Q53+G54-L54,2)</f>
      </c>
      <c r="R54" s="25">
        <f>SUM(H54:L54)</f>
      </c>
      <c r="S54" s="25">
        <f>SUM(C54:G54)</f>
      </c>
      <c r="T54" s="25">
        <f>SUM(M54:Q54)</f>
      </c>
      <c r="U54" s="26">
        <f>Debts!$B$13+SUMPRODUCT(($M53:$Q53&lt;=0)*$C$6:$G$6)</f>
      </c>
      <c r="V54" s="27">
        <f>IF(AND(M53&gt;0,SUMPRODUCT(($C$7:$G$7&lt;$C$7)*($M53:$Q53&gt;0))=0),1,0)</f>
      </c>
      <c r="W54" s="27">
        <f>IF(AND(N53&gt;0,SUMPRODUCT(($C$7:$G$7&lt;$D$7)*($M53:$Q53&gt;0))=0),1,0)</f>
      </c>
      <c r="X54" s="27">
        <f>IF(AND(O53&gt;0,SUMPRODUCT(($C$7:$G$7&lt;$E$7)*($M53:$Q53&gt;0))=0),1,0)</f>
      </c>
      <c r="Y54" s="27">
        <f>IF(AND(P53&gt;0,SUMPRODUCT(($C$7:$G$7&lt;$F$7)*($M53:$Q53&gt;0))=0),1,0)</f>
      </c>
      <c r="Z54" s="27">
        <f>IF(AND(Q53&gt;0,SUMPRODUCT(($C$7:$G$7&lt;$G$7)*($M53:$Q53&gt;0))=0),1,0)</f>
      </c>
    </row>
    <row r="55" spans="1:26" x14ac:dyDescent="0.25">
      <c r="A55" s="12">
        <f>A54+1</f>
      </c>
      <c r="B55" s="28">
        <f>EDATE(Debts!$B$14,A55)</f>
      </c>
      <c r="C55" s="29">
        <f>IF(M54&lt;=0,0,ROUND(M54*$C$5/12,2))</f>
      </c>
      <c r="D55" s="29">
        <f>IF(N54&lt;=0,0,ROUND(N54*$D$5/12,2))</f>
      </c>
      <c r="E55" s="29">
        <f>IF(O54&lt;=0,0,ROUND(O54*$E$5/12,2))</f>
      </c>
      <c r="F55" s="29">
        <f>IF(P54&lt;=0,0,ROUND(P54*$F$5/12,2))</f>
      </c>
      <c r="G55" s="29">
        <f>IF(Q54&lt;=0,0,ROUND(Q54*$G$5/12,2))</f>
      </c>
      <c r="H55" s="29">
        <f>IF(M54&lt;=0,0,MIN(M54+C55,$C$6+V55*$U55))</f>
      </c>
      <c r="I55" s="29">
        <f>IF(N54&lt;=0,0,MIN(N54+D55,$D$6+W55*$U55))</f>
      </c>
      <c r="J55" s="29">
        <f>IF(O54&lt;=0,0,MIN(O54+E55,$E$6+X55*$U55))</f>
      </c>
      <c r="K55" s="29">
        <f>IF(P54&lt;=0,0,MIN(P54+F55,$F$6+Y55*$U55))</f>
      </c>
      <c r="L55" s="29">
        <f>IF(Q54&lt;=0,0,MIN(Q54+G55,$G$6+Z55*$U55))</f>
      </c>
      <c r="M55" s="29">
        <f>ROUND(M54+C55-H55,2)</f>
      </c>
      <c r="N55" s="29">
        <f>ROUND(N54+D55-I55,2)</f>
      </c>
      <c r="O55" s="29">
        <f>ROUND(O54+E55-J55,2)</f>
      </c>
      <c r="P55" s="29">
        <f>ROUND(P54+F55-K55,2)</f>
      </c>
      <c r="Q55" s="29">
        <f>ROUND(Q54+G55-L55,2)</f>
      </c>
      <c r="R55" s="29">
        <f>SUM(H55:L55)</f>
      </c>
      <c r="S55" s="29">
        <f>SUM(C55:G55)</f>
      </c>
      <c r="T55" s="29">
        <f>SUM(M55:Q55)</f>
      </c>
      <c r="U55" s="30">
        <f>Debts!$B$13+SUMPRODUCT(($M54:$Q54&lt;=0)*$C$6:$G$6)</f>
      </c>
      <c r="V55" s="31">
        <f>IF(AND(M54&gt;0,SUMPRODUCT(($C$7:$G$7&lt;$C$7)*($M54:$Q54&gt;0))=0),1,0)</f>
      </c>
      <c r="W55" s="31">
        <f>IF(AND(N54&gt;0,SUMPRODUCT(($C$7:$G$7&lt;$D$7)*($M54:$Q54&gt;0))=0),1,0)</f>
      </c>
      <c r="X55" s="31">
        <f>IF(AND(O54&gt;0,SUMPRODUCT(($C$7:$G$7&lt;$E$7)*($M54:$Q54&gt;0))=0),1,0)</f>
      </c>
      <c r="Y55" s="31">
        <f>IF(AND(P54&gt;0,SUMPRODUCT(($C$7:$G$7&lt;$F$7)*($M54:$Q54&gt;0))=0),1,0)</f>
      </c>
      <c r="Z55" s="31">
        <f>IF(AND(Q54&gt;0,SUMPRODUCT(($C$7:$G$7&lt;$G$7)*($M54:$Q54&gt;0))=0),1,0)</f>
      </c>
    </row>
    <row r="56" spans="1:26" x14ac:dyDescent="0.25">
      <c r="A56" s="11">
        <f>A55+1</f>
      </c>
      <c r="B56" s="24">
        <f>EDATE(Debts!$B$14,A56)</f>
      </c>
      <c r="C56" s="25">
        <f>IF(M55&lt;=0,0,ROUND(M55*$C$5/12,2))</f>
      </c>
      <c r="D56" s="25">
        <f>IF(N55&lt;=0,0,ROUND(N55*$D$5/12,2))</f>
      </c>
      <c r="E56" s="25">
        <f>IF(O55&lt;=0,0,ROUND(O55*$E$5/12,2))</f>
      </c>
      <c r="F56" s="25">
        <f>IF(P55&lt;=0,0,ROUND(P55*$F$5/12,2))</f>
      </c>
      <c r="G56" s="25">
        <f>IF(Q55&lt;=0,0,ROUND(Q55*$G$5/12,2))</f>
      </c>
      <c r="H56" s="25">
        <f>IF(M55&lt;=0,0,MIN(M55+C56,$C$6+V56*$U56))</f>
      </c>
      <c r="I56" s="25">
        <f>IF(N55&lt;=0,0,MIN(N55+D56,$D$6+W56*$U56))</f>
      </c>
      <c r="J56" s="25">
        <f>IF(O55&lt;=0,0,MIN(O55+E56,$E$6+X56*$U56))</f>
      </c>
      <c r="K56" s="25">
        <f>IF(P55&lt;=0,0,MIN(P55+F56,$F$6+Y56*$U56))</f>
      </c>
      <c r="L56" s="25">
        <f>IF(Q55&lt;=0,0,MIN(Q55+G56,$G$6+Z56*$U56))</f>
      </c>
      <c r="M56" s="25">
        <f>ROUND(M55+C56-H56,2)</f>
      </c>
      <c r="N56" s="25">
        <f>ROUND(N55+D56-I56,2)</f>
      </c>
      <c r="O56" s="25">
        <f>ROUND(O55+E56-J56,2)</f>
      </c>
      <c r="P56" s="25">
        <f>ROUND(P55+F56-K56,2)</f>
      </c>
      <c r="Q56" s="25">
        <f>ROUND(Q55+G56-L56,2)</f>
      </c>
      <c r="R56" s="25">
        <f>SUM(H56:L56)</f>
      </c>
      <c r="S56" s="25">
        <f>SUM(C56:G56)</f>
      </c>
      <c r="T56" s="25">
        <f>SUM(M56:Q56)</f>
      </c>
      <c r="U56" s="26">
        <f>Debts!$B$13+SUMPRODUCT(($M55:$Q55&lt;=0)*$C$6:$G$6)</f>
      </c>
      <c r="V56" s="27">
        <f>IF(AND(M55&gt;0,SUMPRODUCT(($C$7:$G$7&lt;$C$7)*($M55:$Q55&gt;0))=0),1,0)</f>
      </c>
      <c r="W56" s="27">
        <f>IF(AND(N55&gt;0,SUMPRODUCT(($C$7:$G$7&lt;$D$7)*($M55:$Q55&gt;0))=0),1,0)</f>
      </c>
      <c r="X56" s="27">
        <f>IF(AND(O55&gt;0,SUMPRODUCT(($C$7:$G$7&lt;$E$7)*($M55:$Q55&gt;0))=0),1,0)</f>
      </c>
      <c r="Y56" s="27">
        <f>IF(AND(P55&gt;0,SUMPRODUCT(($C$7:$G$7&lt;$F$7)*($M55:$Q55&gt;0))=0),1,0)</f>
      </c>
      <c r="Z56" s="27">
        <f>IF(AND(Q55&gt;0,SUMPRODUCT(($C$7:$G$7&lt;$G$7)*($M55:$Q55&gt;0))=0),1,0)</f>
      </c>
    </row>
    <row r="57" spans="1:26" x14ac:dyDescent="0.25">
      <c r="A57" s="12">
        <f>A56+1</f>
      </c>
      <c r="B57" s="28">
        <f>EDATE(Debts!$B$14,A57)</f>
      </c>
      <c r="C57" s="29">
        <f>IF(M56&lt;=0,0,ROUND(M56*$C$5/12,2))</f>
      </c>
      <c r="D57" s="29">
        <f>IF(N56&lt;=0,0,ROUND(N56*$D$5/12,2))</f>
      </c>
      <c r="E57" s="29">
        <f>IF(O56&lt;=0,0,ROUND(O56*$E$5/12,2))</f>
      </c>
      <c r="F57" s="29">
        <f>IF(P56&lt;=0,0,ROUND(P56*$F$5/12,2))</f>
      </c>
      <c r="G57" s="29">
        <f>IF(Q56&lt;=0,0,ROUND(Q56*$G$5/12,2))</f>
      </c>
      <c r="H57" s="29">
        <f>IF(M56&lt;=0,0,MIN(M56+C57,$C$6+V57*$U57))</f>
      </c>
      <c r="I57" s="29">
        <f>IF(N56&lt;=0,0,MIN(N56+D57,$D$6+W57*$U57))</f>
      </c>
      <c r="J57" s="29">
        <f>IF(O56&lt;=0,0,MIN(O56+E57,$E$6+X57*$U57))</f>
      </c>
      <c r="K57" s="29">
        <f>IF(P56&lt;=0,0,MIN(P56+F57,$F$6+Y57*$U57))</f>
      </c>
      <c r="L57" s="29">
        <f>IF(Q56&lt;=0,0,MIN(Q56+G57,$G$6+Z57*$U57))</f>
      </c>
      <c r="M57" s="29">
        <f>ROUND(M56+C57-H57,2)</f>
      </c>
      <c r="N57" s="29">
        <f>ROUND(N56+D57-I57,2)</f>
      </c>
      <c r="O57" s="29">
        <f>ROUND(O56+E57-J57,2)</f>
      </c>
      <c r="P57" s="29">
        <f>ROUND(P56+F57-K57,2)</f>
      </c>
      <c r="Q57" s="29">
        <f>ROUND(Q56+G57-L57,2)</f>
      </c>
      <c r="R57" s="29">
        <f>SUM(H57:L57)</f>
      </c>
      <c r="S57" s="29">
        <f>SUM(C57:G57)</f>
      </c>
      <c r="T57" s="29">
        <f>SUM(M57:Q57)</f>
      </c>
      <c r="U57" s="30">
        <f>Debts!$B$13+SUMPRODUCT(($M56:$Q56&lt;=0)*$C$6:$G$6)</f>
      </c>
      <c r="V57" s="31">
        <f>IF(AND(M56&gt;0,SUMPRODUCT(($C$7:$G$7&lt;$C$7)*($M56:$Q56&gt;0))=0),1,0)</f>
      </c>
      <c r="W57" s="31">
        <f>IF(AND(N56&gt;0,SUMPRODUCT(($C$7:$G$7&lt;$D$7)*($M56:$Q56&gt;0))=0),1,0)</f>
      </c>
      <c r="X57" s="31">
        <f>IF(AND(O56&gt;0,SUMPRODUCT(($C$7:$G$7&lt;$E$7)*($M56:$Q56&gt;0))=0),1,0)</f>
      </c>
      <c r="Y57" s="31">
        <f>IF(AND(P56&gt;0,SUMPRODUCT(($C$7:$G$7&lt;$F$7)*($M56:$Q56&gt;0))=0),1,0)</f>
      </c>
      <c r="Z57" s="31">
        <f>IF(AND(Q56&gt;0,SUMPRODUCT(($C$7:$G$7&lt;$G$7)*($M56:$Q56&gt;0))=0),1,0)</f>
      </c>
    </row>
    <row r="58" spans="1:26" x14ac:dyDescent="0.25">
      <c r="A58" s="11">
        <f>A57+1</f>
      </c>
      <c r="B58" s="24">
        <f>EDATE(Debts!$B$14,A58)</f>
      </c>
      <c r="C58" s="25">
        <f>IF(M57&lt;=0,0,ROUND(M57*$C$5/12,2))</f>
      </c>
      <c r="D58" s="25">
        <f>IF(N57&lt;=0,0,ROUND(N57*$D$5/12,2))</f>
      </c>
      <c r="E58" s="25">
        <f>IF(O57&lt;=0,0,ROUND(O57*$E$5/12,2))</f>
      </c>
      <c r="F58" s="25">
        <f>IF(P57&lt;=0,0,ROUND(P57*$F$5/12,2))</f>
      </c>
      <c r="G58" s="25">
        <f>IF(Q57&lt;=0,0,ROUND(Q57*$G$5/12,2))</f>
      </c>
      <c r="H58" s="25">
        <f>IF(M57&lt;=0,0,MIN(M57+C58,$C$6+V58*$U58))</f>
      </c>
      <c r="I58" s="25">
        <f>IF(N57&lt;=0,0,MIN(N57+D58,$D$6+W58*$U58))</f>
      </c>
      <c r="J58" s="25">
        <f>IF(O57&lt;=0,0,MIN(O57+E58,$E$6+X58*$U58))</f>
      </c>
      <c r="K58" s="25">
        <f>IF(P57&lt;=0,0,MIN(P57+F58,$F$6+Y58*$U58))</f>
      </c>
      <c r="L58" s="25">
        <f>IF(Q57&lt;=0,0,MIN(Q57+G58,$G$6+Z58*$U58))</f>
      </c>
      <c r="M58" s="25">
        <f>ROUND(M57+C58-H58,2)</f>
      </c>
      <c r="N58" s="25">
        <f>ROUND(N57+D58-I58,2)</f>
      </c>
      <c r="O58" s="25">
        <f>ROUND(O57+E58-J58,2)</f>
      </c>
      <c r="P58" s="25">
        <f>ROUND(P57+F58-K58,2)</f>
      </c>
      <c r="Q58" s="25">
        <f>ROUND(Q57+G58-L58,2)</f>
      </c>
      <c r="R58" s="25">
        <f>SUM(H58:L58)</f>
      </c>
      <c r="S58" s="25">
        <f>SUM(C58:G58)</f>
      </c>
      <c r="T58" s="25">
        <f>SUM(M58:Q58)</f>
      </c>
      <c r="U58" s="26">
        <f>Debts!$B$13+SUMPRODUCT(($M57:$Q57&lt;=0)*$C$6:$G$6)</f>
      </c>
      <c r="V58" s="27">
        <f>IF(AND(M57&gt;0,SUMPRODUCT(($C$7:$G$7&lt;$C$7)*($M57:$Q57&gt;0))=0),1,0)</f>
      </c>
      <c r="W58" s="27">
        <f>IF(AND(N57&gt;0,SUMPRODUCT(($C$7:$G$7&lt;$D$7)*($M57:$Q57&gt;0))=0),1,0)</f>
      </c>
      <c r="X58" s="27">
        <f>IF(AND(O57&gt;0,SUMPRODUCT(($C$7:$G$7&lt;$E$7)*($M57:$Q57&gt;0))=0),1,0)</f>
      </c>
      <c r="Y58" s="27">
        <f>IF(AND(P57&gt;0,SUMPRODUCT(($C$7:$G$7&lt;$F$7)*($M57:$Q57&gt;0))=0),1,0)</f>
      </c>
      <c r="Z58" s="27">
        <f>IF(AND(Q57&gt;0,SUMPRODUCT(($C$7:$G$7&lt;$G$7)*($M57:$Q57&gt;0))=0),1,0)</f>
      </c>
    </row>
    <row r="59" spans="1:26" x14ac:dyDescent="0.25">
      <c r="A59" s="12">
        <f>A58+1</f>
      </c>
      <c r="B59" s="28">
        <f>EDATE(Debts!$B$14,A59)</f>
      </c>
      <c r="C59" s="29">
        <f>IF(M58&lt;=0,0,ROUND(M58*$C$5/12,2))</f>
      </c>
      <c r="D59" s="29">
        <f>IF(N58&lt;=0,0,ROUND(N58*$D$5/12,2))</f>
      </c>
      <c r="E59" s="29">
        <f>IF(O58&lt;=0,0,ROUND(O58*$E$5/12,2))</f>
      </c>
      <c r="F59" s="29">
        <f>IF(P58&lt;=0,0,ROUND(P58*$F$5/12,2))</f>
      </c>
      <c r="G59" s="29">
        <f>IF(Q58&lt;=0,0,ROUND(Q58*$G$5/12,2))</f>
      </c>
      <c r="H59" s="29">
        <f>IF(M58&lt;=0,0,MIN(M58+C59,$C$6+V59*$U59))</f>
      </c>
      <c r="I59" s="29">
        <f>IF(N58&lt;=0,0,MIN(N58+D59,$D$6+W59*$U59))</f>
      </c>
      <c r="J59" s="29">
        <f>IF(O58&lt;=0,0,MIN(O58+E59,$E$6+X59*$U59))</f>
      </c>
      <c r="K59" s="29">
        <f>IF(P58&lt;=0,0,MIN(P58+F59,$F$6+Y59*$U59))</f>
      </c>
      <c r="L59" s="29">
        <f>IF(Q58&lt;=0,0,MIN(Q58+G59,$G$6+Z59*$U59))</f>
      </c>
      <c r="M59" s="29">
        <f>ROUND(M58+C59-H59,2)</f>
      </c>
      <c r="N59" s="29">
        <f>ROUND(N58+D59-I59,2)</f>
      </c>
      <c r="O59" s="29">
        <f>ROUND(O58+E59-J59,2)</f>
      </c>
      <c r="P59" s="29">
        <f>ROUND(P58+F59-K59,2)</f>
      </c>
      <c r="Q59" s="29">
        <f>ROUND(Q58+G59-L59,2)</f>
      </c>
      <c r="R59" s="29">
        <f>SUM(H59:L59)</f>
      </c>
      <c r="S59" s="29">
        <f>SUM(C59:G59)</f>
      </c>
      <c r="T59" s="29">
        <f>SUM(M59:Q59)</f>
      </c>
      <c r="U59" s="30">
        <f>Debts!$B$13+SUMPRODUCT(($M58:$Q58&lt;=0)*$C$6:$G$6)</f>
      </c>
      <c r="V59" s="31">
        <f>IF(AND(M58&gt;0,SUMPRODUCT(($C$7:$G$7&lt;$C$7)*($M58:$Q58&gt;0))=0),1,0)</f>
      </c>
      <c r="W59" s="31">
        <f>IF(AND(N58&gt;0,SUMPRODUCT(($C$7:$G$7&lt;$D$7)*($M58:$Q58&gt;0))=0),1,0)</f>
      </c>
      <c r="X59" s="31">
        <f>IF(AND(O58&gt;0,SUMPRODUCT(($C$7:$G$7&lt;$E$7)*($M58:$Q58&gt;0))=0),1,0)</f>
      </c>
      <c r="Y59" s="31">
        <f>IF(AND(P58&gt;0,SUMPRODUCT(($C$7:$G$7&lt;$F$7)*($M58:$Q58&gt;0))=0),1,0)</f>
      </c>
      <c r="Z59" s="31">
        <f>IF(AND(Q58&gt;0,SUMPRODUCT(($C$7:$G$7&lt;$G$7)*($M58:$Q58&gt;0))=0),1,0)</f>
      </c>
    </row>
    <row r="60" spans="1:26" x14ac:dyDescent="0.25">
      <c r="A60" s="11">
        <f>A59+1</f>
      </c>
      <c r="B60" s="24">
        <f>EDATE(Debts!$B$14,A60)</f>
      </c>
      <c r="C60" s="25">
        <f>IF(M59&lt;=0,0,ROUND(M59*$C$5/12,2))</f>
      </c>
      <c r="D60" s="25">
        <f>IF(N59&lt;=0,0,ROUND(N59*$D$5/12,2))</f>
      </c>
      <c r="E60" s="25">
        <f>IF(O59&lt;=0,0,ROUND(O59*$E$5/12,2))</f>
      </c>
      <c r="F60" s="25">
        <f>IF(P59&lt;=0,0,ROUND(P59*$F$5/12,2))</f>
      </c>
      <c r="G60" s="25">
        <f>IF(Q59&lt;=0,0,ROUND(Q59*$G$5/12,2))</f>
      </c>
      <c r="H60" s="25">
        <f>IF(M59&lt;=0,0,MIN(M59+C60,$C$6+V60*$U60))</f>
      </c>
      <c r="I60" s="25">
        <f>IF(N59&lt;=0,0,MIN(N59+D60,$D$6+W60*$U60))</f>
      </c>
      <c r="J60" s="25">
        <f>IF(O59&lt;=0,0,MIN(O59+E60,$E$6+X60*$U60))</f>
      </c>
      <c r="K60" s="25">
        <f>IF(P59&lt;=0,0,MIN(P59+F60,$F$6+Y60*$U60))</f>
      </c>
      <c r="L60" s="25">
        <f>IF(Q59&lt;=0,0,MIN(Q59+G60,$G$6+Z60*$U60))</f>
      </c>
      <c r="M60" s="25">
        <f>ROUND(M59+C60-H60,2)</f>
      </c>
      <c r="N60" s="25">
        <f>ROUND(N59+D60-I60,2)</f>
      </c>
      <c r="O60" s="25">
        <f>ROUND(O59+E60-J60,2)</f>
      </c>
      <c r="P60" s="25">
        <f>ROUND(P59+F60-K60,2)</f>
      </c>
      <c r="Q60" s="25">
        <f>ROUND(Q59+G60-L60,2)</f>
      </c>
      <c r="R60" s="25">
        <f>SUM(H60:L60)</f>
      </c>
      <c r="S60" s="25">
        <f>SUM(C60:G60)</f>
      </c>
      <c r="T60" s="25">
        <f>SUM(M60:Q60)</f>
      </c>
      <c r="U60" s="26">
        <f>Debts!$B$13+SUMPRODUCT(($M59:$Q59&lt;=0)*$C$6:$G$6)</f>
      </c>
      <c r="V60" s="27">
        <f>IF(AND(M59&gt;0,SUMPRODUCT(($C$7:$G$7&lt;$C$7)*($M59:$Q59&gt;0))=0),1,0)</f>
      </c>
      <c r="W60" s="27">
        <f>IF(AND(N59&gt;0,SUMPRODUCT(($C$7:$G$7&lt;$D$7)*($M59:$Q59&gt;0))=0),1,0)</f>
      </c>
      <c r="X60" s="27">
        <f>IF(AND(O59&gt;0,SUMPRODUCT(($C$7:$G$7&lt;$E$7)*($M59:$Q59&gt;0))=0),1,0)</f>
      </c>
      <c r="Y60" s="27">
        <f>IF(AND(P59&gt;0,SUMPRODUCT(($C$7:$G$7&lt;$F$7)*($M59:$Q59&gt;0))=0),1,0)</f>
      </c>
      <c r="Z60" s="27">
        <f>IF(AND(Q59&gt;0,SUMPRODUCT(($C$7:$G$7&lt;$G$7)*($M59:$Q59&gt;0))=0),1,0)</f>
      </c>
    </row>
    <row r="61" spans="1:26" x14ac:dyDescent="0.25">
      <c r="A61" s="12">
        <f>A60+1</f>
      </c>
      <c r="B61" s="28">
        <f>EDATE(Debts!$B$14,A61)</f>
      </c>
      <c r="C61" s="29">
        <f>IF(M60&lt;=0,0,ROUND(M60*$C$5/12,2))</f>
      </c>
      <c r="D61" s="29">
        <f>IF(N60&lt;=0,0,ROUND(N60*$D$5/12,2))</f>
      </c>
      <c r="E61" s="29">
        <f>IF(O60&lt;=0,0,ROUND(O60*$E$5/12,2))</f>
      </c>
      <c r="F61" s="29">
        <f>IF(P60&lt;=0,0,ROUND(P60*$F$5/12,2))</f>
      </c>
      <c r="G61" s="29">
        <f>IF(Q60&lt;=0,0,ROUND(Q60*$G$5/12,2))</f>
      </c>
      <c r="H61" s="29">
        <f>IF(M60&lt;=0,0,MIN(M60+C61,$C$6+V61*$U61))</f>
      </c>
      <c r="I61" s="29">
        <f>IF(N60&lt;=0,0,MIN(N60+D61,$D$6+W61*$U61))</f>
      </c>
      <c r="J61" s="29">
        <f>IF(O60&lt;=0,0,MIN(O60+E61,$E$6+X61*$U61))</f>
      </c>
      <c r="K61" s="29">
        <f>IF(P60&lt;=0,0,MIN(P60+F61,$F$6+Y61*$U61))</f>
      </c>
      <c r="L61" s="29">
        <f>IF(Q60&lt;=0,0,MIN(Q60+G61,$G$6+Z61*$U61))</f>
      </c>
      <c r="M61" s="29">
        <f>ROUND(M60+C61-H61,2)</f>
      </c>
      <c r="N61" s="29">
        <f>ROUND(N60+D61-I61,2)</f>
      </c>
      <c r="O61" s="29">
        <f>ROUND(O60+E61-J61,2)</f>
      </c>
      <c r="P61" s="29">
        <f>ROUND(P60+F61-K61,2)</f>
      </c>
      <c r="Q61" s="29">
        <f>ROUND(Q60+G61-L61,2)</f>
      </c>
      <c r="R61" s="29">
        <f>SUM(H61:L61)</f>
      </c>
      <c r="S61" s="29">
        <f>SUM(C61:G61)</f>
      </c>
      <c r="T61" s="29">
        <f>SUM(M61:Q61)</f>
      </c>
      <c r="U61" s="30">
        <f>Debts!$B$13+SUMPRODUCT(($M60:$Q60&lt;=0)*$C$6:$G$6)</f>
      </c>
      <c r="V61" s="31">
        <f>IF(AND(M60&gt;0,SUMPRODUCT(($C$7:$G$7&lt;$C$7)*($M60:$Q60&gt;0))=0),1,0)</f>
      </c>
      <c r="W61" s="31">
        <f>IF(AND(N60&gt;0,SUMPRODUCT(($C$7:$G$7&lt;$D$7)*($M60:$Q60&gt;0))=0),1,0)</f>
      </c>
      <c r="X61" s="31">
        <f>IF(AND(O60&gt;0,SUMPRODUCT(($C$7:$G$7&lt;$E$7)*($M60:$Q60&gt;0))=0),1,0)</f>
      </c>
      <c r="Y61" s="31">
        <f>IF(AND(P60&gt;0,SUMPRODUCT(($C$7:$G$7&lt;$F$7)*($M60:$Q60&gt;0))=0),1,0)</f>
      </c>
      <c r="Z61" s="31">
        <f>IF(AND(Q60&gt;0,SUMPRODUCT(($C$7:$G$7&lt;$G$7)*($M60:$Q60&gt;0))=0),1,0)</f>
      </c>
    </row>
    <row r="62" spans="1:26" x14ac:dyDescent="0.25">
      <c r="A62" s="11">
        <f>A61+1</f>
      </c>
      <c r="B62" s="24">
        <f>EDATE(Debts!$B$14,A62)</f>
      </c>
      <c r="C62" s="25">
        <f>IF(M61&lt;=0,0,ROUND(M61*$C$5/12,2))</f>
      </c>
      <c r="D62" s="25">
        <f>IF(N61&lt;=0,0,ROUND(N61*$D$5/12,2))</f>
      </c>
      <c r="E62" s="25">
        <f>IF(O61&lt;=0,0,ROUND(O61*$E$5/12,2))</f>
      </c>
      <c r="F62" s="25">
        <f>IF(P61&lt;=0,0,ROUND(P61*$F$5/12,2))</f>
      </c>
      <c r="G62" s="25">
        <f>IF(Q61&lt;=0,0,ROUND(Q61*$G$5/12,2))</f>
      </c>
      <c r="H62" s="25">
        <f>IF(M61&lt;=0,0,MIN(M61+C62,$C$6+V62*$U62))</f>
      </c>
      <c r="I62" s="25">
        <f>IF(N61&lt;=0,0,MIN(N61+D62,$D$6+W62*$U62))</f>
      </c>
      <c r="J62" s="25">
        <f>IF(O61&lt;=0,0,MIN(O61+E62,$E$6+X62*$U62))</f>
      </c>
      <c r="K62" s="25">
        <f>IF(P61&lt;=0,0,MIN(P61+F62,$F$6+Y62*$U62))</f>
      </c>
      <c r="L62" s="25">
        <f>IF(Q61&lt;=0,0,MIN(Q61+G62,$G$6+Z62*$U62))</f>
      </c>
      <c r="M62" s="25">
        <f>ROUND(M61+C62-H62,2)</f>
      </c>
      <c r="N62" s="25">
        <f>ROUND(N61+D62-I62,2)</f>
      </c>
      <c r="O62" s="25">
        <f>ROUND(O61+E62-J62,2)</f>
      </c>
      <c r="P62" s="25">
        <f>ROUND(P61+F62-K62,2)</f>
      </c>
      <c r="Q62" s="25">
        <f>ROUND(Q61+G62-L62,2)</f>
      </c>
      <c r="R62" s="25">
        <f>SUM(H62:L62)</f>
      </c>
      <c r="S62" s="25">
        <f>SUM(C62:G62)</f>
      </c>
      <c r="T62" s="25">
        <f>SUM(M62:Q62)</f>
      </c>
      <c r="U62" s="26">
        <f>Debts!$B$13+SUMPRODUCT(($M61:$Q61&lt;=0)*$C$6:$G$6)</f>
      </c>
      <c r="V62" s="27">
        <f>IF(AND(M61&gt;0,SUMPRODUCT(($C$7:$G$7&lt;$C$7)*($M61:$Q61&gt;0))=0),1,0)</f>
      </c>
      <c r="W62" s="27">
        <f>IF(AND(N61&gt;0,SUMPRODUCT(($C$7:$G$7&lt;$D$7)*($M61:$Q61&gt;0))=0),1,0)</f>
      </c>
      <c r="X62" s="27">
        <f>IF(AND(O61&gt;0,SUMPRODUCT(($C$7:$G$7&lt;$E$7)*($M61:$Q61&gt;0))=0),1,0)</f>
      </c>
      <c r="Y62" s="27">
        <f>IF(AND(P61&gt;0,SUMPRODUCT(($C$7:$G$7&lt;$F$7)*($M61:$Q61&gt;0))=0),1,0)</f>
      </c>
      <c r="Z62" s="27">
        <f>IF(AND(Q61&gt;0,SUMPRODUCT(($C$7:$G$7&lt;$G$7)*($M61:$Q61&gt;0))=0),1,0)</f>
      </c>
    </row>
    <row r="63" spans="1:26" x14ac:dyDescent="0.25">
      <c r="A63" s="12">
        <f>A62+1</f>
      </c>
      <c r="B63" s="28">
        <f>EDATE(Debts!$B$14,A63)</f>
      </c>
      <c r="C63" s="29">
        <f>IF(M62&lt;=0,0,ROUND(M62*$C$5/12,2))</f>
      </c>
      <c r="D63" s="29">
        <f>IF(N62&lt;=0,0,ROUND(N62*$D$5/12,2))</f>
      </c>
      <c r="E63" s="29">
        <f>IF(O62&lt;=0,0,ROUND(O62*$E$5/12,2))</f>
      </c>
      <c r="F63" s="29">
        <f>IF(P62&lt;=0,0,ROUND(P62*$F$5/12,2))</f>
      </c>
      <c r="G63" s="29">
        <f>IF(Q62&lt;=0,0,ROUND(Q62*$G$5/12,2))</f>
      </c>
      <c r="H63" s="29">
        <f>IF(M62&lt;=0,0,MIN(M62+C63,$C$6+V63*$U63))</f>
      </c>
      <c r="I63" s="29">
        <f>IF(N62&lt;=0,0,MIN(N62+D63,$D$6+W63*$U63))</f>
      </c>
      <c r="J63" s="29">
        <f>IF(O62&lt;=0,0,MIN(O62+E63,$E$6+X63*$U63))</f>
      </c>
      <c r="K63" s="29">
        <f>IF(P62&lt;=0,0,MIN(P62+F63,$F$6+Y63*$U63))</f>
      </c>
      <c r="L63" s="29">
        <f>IF(Q62&lt;=0,0,MIN(Q62+G63,$G$6+Z63*$U63))</f>
      </c>
      <c r="M63" s="29">
        <f>ROUND(M62+C63-H63,2)</f>
      </c>
      <c r="N63" s="29">
        <f>ROUND(N62+D63-I63,2)</f>
      </c>
      <c r="O63" s="29">
        <f>ROUND(O62+E63-J63,2)</f>
      </c>
      <c r="P63" s="29">
        <f>ROUND(P62+F63-K63,2)</f>
      </c>
      <c r="Q63" s="29">
        <f>ROUND(Q62+G63-L63,2)</f>
      </c>
      <c r="R63" s="29">
        <f>SUM(H63:L63)</f>
      </c>
      <c r="S63" s="29">
        <f>SUM(C63:G63)</f>
      </c>
      <c r="T63" s="29">
        <f>SUM(M63:Q63)</f>
      </c>
      <c r="U63" s="30">
        <f>Debts!$B$13+SUMPRODUCT(($M62:$Q62&lt;=0)*$C$6:$G$6)</f>
      </c>
      <c r="V63" s="31">
        <f>IF(AND(M62&gt;0,SUMPRODUCT(($C$7:$G$7&lt;$C$7)*($M62:$Q62&gt;0))=0),1,0)</f>
      </c>
      <c r="W63" s="31">
        <f>IF(AND(N62&gt;0,SUMPRODUCT(($C$7:$G$7&lt;$D$7)*($M62:$Q62&gt;0))=0),1,0)</f>
      </c>
      <c r="X63" s="31">
        <f>IF(AND(O62&gt;0,SUMPRODUCT(($C$7:$G$7&lt;$E$7)*($M62:$Q62&gt;0))=0),1,0)</f>
      </c>
      <c r="Y63" s="31">
        <f>IF(AND(P62&gt;0,SUMPRODUCT(($C$7:$G$7&lt;$F$7)*($M62:$Q62&gt;0))=0),1,0)</f>
      </c>
      <c r="Z63" s="31">
        <f>IF(AND(Q62&gt;0,SUMPRODUCT(($C$7:$G$7&lt;$G$7)*($M62:$Q62&gt;0))=0),1,0)</f>
      </c>
    </row>
    <row r="64" spans="1:26" x14ac:dyDescent="0.25">
      <c r="A64" s="11">
        <f>A63+1</f>
      </c>
      <c r="B64" s="24">
        <f>EDATE(Debts!$B$14,A64)</f>
      </c>
      <c r="C64" s="25">
        <f>IF(M63&lt;=0,0,ROUND(M63*$C$5/12,2))</f>
      </c>
      <c r="D64" s="25">
        <f>IF(N63&lt;=0,0,ROUND(N63*$D$5/12,2))</f>
      </c>
      <c r="E64" s="25">
        <f>IF(O63&lt;=0,0,ROUND(O63*$E$5/12,2))</f>
      </c>
      <c r="F64" s="25">
        <f>IF(P63&lt;=0,0,ROUND(P63*$F$5/12,2))</f>
      </c>
      <c r="G64" s="25">
        <f>IF(Q63&lt;=0,0,ROUND(Q63*$G$5/12,2))</f>
      </c>
      <c r="H64" s="25">
        <f>IF(M63&lt;=0,0,MIN(M63+C64,$C$6+V64*$U64))</f>
      </c>
      <c r="I64" s="25">
        <f>IF(N63&lt;=0,0,MIN(N63+D64,$D$6+W64*$U64))</f>
      </c>
      <c r="J64" s="25">
        <f>IF(O63&lt;=0,0,MIN(O63+E64,$E$6+X64*$U64))</f>
      </c>
      <c r="K64" s="25">
        <f>IF(P63&lt;=0,0,MIN(P63+F64,$F$6+Y64*$U64))</f>
      </c>
      <c r="L64" s="25">
        <f>IF(Q63&lt;=0,0,MIN(Q63+G64,$G$6+Z64*$U64))</f>
      </c>
      <c r="M64" s="25">
        <f>ROUND(M63+C64-H64,2)</f>
      </c>
      <c r="N64" s="25">
        <f>ROUND(N63+D64-I64,2)</f>
      </c>
      <c r="O64" s="25">
        <f>ROUND(O63+E64-J64,2)</f>
      </c>
      <c r="P64" s="25">
        <f>ROUND(P63+F64-K64,2)</f>
      </c>
      <c r="Q64" s="25">
        <f>ROUND(Q63+G64-L64,2)</f>
      </c>
      <c r="R64" s="25">
        <f>SUM(H64:L64)</f>
      </c>
      <c r="S64" s="25">
        <f>SUM(C64:G64)</f>
      </c>
      <c r="T64" s="25">
        <f>SUM(M64:Q64)</f>
      </c>
      <c r="U64" s="26">
        <f>Debts!$B$13+SUMPRODUCT(($M63:$Q63&lt;=0)*$C$6:$G$6)</f>
      </c>
      <c r="V64" s="27">
        <f>IF(AND(M63&gt;0,SUMPRODUCT(($C$7:$G$7&lt;$C$7)*($M63:$Q63&gt;0))=0),1,0)</f>
      </c>
      <c r="W64" s="27">
        <f>IF(AND(N63&gt;0,SUMPRODUCT(($C$7:$G$7&lt;$D$7)*($M63:$Q63&gt;0))=0),1,0)</f>
      </c>
      <c r="X64" s="27">
        <f>IF(AND(O63&gt;0,SUMPRODUCT(($C$7:$G$7&lt;$E$7)*($M63:$Q63&gt;0))=0),1,0)</f>
      </c>
      <c r="Y64" s="27">
        <f>IF(AND(P63&gt;0,SUMPRODUCT(($C$7:$G$7&lt;$F$7)*($M63:$Q63&gt;0))=0),1,0)</f>
      </c>
      <c r="Z64" s="27">
        <f>IF(AND(Q63&gt;0,SUMPRODUCT(($C$7:$G$7&lt;$G$7)*($M63:$Q63&gt;0))=0),1,0)</f>
      </c>
    </row>
    <row r="65" spans="1:26" x14ac:dyDescent="0.25">
      <c r="A65" s="12">
        <f>A64+1</f>
      </c>
      <c r="B65" s="28">
        <f>EDATE(Debts!$B$14,A65)</f>
      </c>
      <c r="C65" s="29">
        <f>IF(M64&lt;=0,0,ROUND(M64*$C$5/12,2))</f>
      </c>
      <c r="D65" s="29">
        <f>IF(N64&lt;=0,0,ROUND(N64*$D$5/12,2))</f>
      </c>
      <c r="E65" s="29">
        <f>IF(O64&lt;=0,0,ROUND(O64*$E$5/12,2))</f>
      </c>
      <c r="F65" s="29">
        <f>IF(P64&lt;=0,0,ROUND(P64*$F$5/12,2))</f>
      </c>
      <c r="G65" s="29">
        <f>IF(Q64&lt;=0,0,ROUND(Q64*$G$5/12,2))</f>
      </c>
      <c r="H65" s="29">
        <f>IF(M64&lt;=0,0,MIN(M64+C65,$C$6+V65*$U65))</f>
      </c>
      <c r="I65" s="29">
        <f>IF(N64&lt;=0,0,MIN(N64+D65,$D$6+W65*$U65))</f>
      </c>
      <c r="J65" s="29">
        <f>IF(O64&lt;=0,0,MIN(O64+E65,$E$6+X65*$U65))</f>
      </c>
      <c r="K65" s="29">
        <f>IF(P64&lt;=0,0,MIN(P64+F65,$F$6+Y65*$U65))</f>
      </c>
      <c r="L65" s="29">
        <f>IF(Q64&lt;=0,0,MIN(Q64+G65,$G$6+Z65*$U65))</f>
      </c>
      <c r="M65" s="29">
        <f>ROUND(M64+C65-H65,2)</f>
      </c>
      <c r="N65" s="29">
        <f>ROUND(N64+D65-I65,2)</f>
      </c>
      <c r="O65" s="29">
        <f>ROUND(O64+E65-J65,2)</f>
      </c>
      <c r="P65" s="29">
        <f>ROUND(P64+F65-K65,2)</f>
      </c>
      <c r="Q65" s="29">
        <f>ROUND(Q64+G65-L65,2)</f>
      </c>
      <c r="R65" s="29">
        <f>SUM(H65:L65)</f>
      </c>
      <c r="S65" s="29">
        <f>SUM(C65:G65)</f>
      </c>
      <c r="T65" s="29">
        <f>SUM(M65:Q65)</f>
      </c>
      <c r="U65" s="30">
        <f>Debts!$B$13+SUMPRODUCT(($M64:$Q64&lt;=0)*$C$6:$G$6)</f>
      </c>
      <c r="V65" s="31">
        <f>IF(AND(M64&gt;0,SUMPRODUCT(($C$7:$G$7&lt;$C$7)*($M64:$Q64&gt;0))=0),1,0)</f>
      </c>
      <c r="W65" s="31">
        <f>IF(AND(N64&gt;0,SUMPRODUCT(($C$7:$G$7&lt;$D$7)*($M64:$Q64&gt;0))=0),1,0)</f>
      </c>
      <c r="X65" s="31">
        <f>IF(AND(O64&gt;0,SUMPRODUCT(($C$7:$G$7&lt;$E$7)*($M64:$Q64&gt;0))=0),1,0)</f>
      </c>
      <c r="Y65" s="31">
        <f>IF(AND(P64&gt;0,SUMPRODUCT(($C$7:$G$7&lt;$F$7)*($M64:$Q64&gt;0))=0),1,0)</f>
      </c>
      <c r="Z65" s="31">
        <f>IF(AND(Q64&gt;0,SUMPRODUCT(($C$7:$G$7&lt;$G$7)*($M64:$Q64&gt;0))=0),1,0)</f>
      </c>
    </row>
    <row r="66" spans="1:26" x14ac:dyDescent="0.25">
      <c r="A66" s="11">
        <f>A65+1</f>
      </c>
      <c r="B66" s="24">
        <f>EDATE(Debts!$B$14,A66)</f>
      </c>
      <c r="C66" s="25">
        <f>IF(M65&lt;=0,0,ROUND(M65*$C$5/12,2))</f>
      </c>
      <c r="D66" s="25">
        <f>IF(N65&lt;=0,0,ROUND(N65*$D$5/12,2))</f>
      </c>
      <c r="E66" s="25">
        <f>IF(O65&lt;=0,0,ROUND(O65*$E$5/12,2))</f>
      </c>
      <c r="F66" s="25">
        <f>IF(P65&lt;=0,0,ROUND(P65*$F$5/12,2))</f>
      </c>
      <c r="G66" s="25">
        <f>IF(Q65&lt;=0,0,ROUND(Q65*$G$5/12,2))</f>
      </c>
      <c r="H66" s="25">
        <f>IF(M65&lt;=0,0,MIN(M65+C66,$C$6+V66*$U66))</f>
      </c>
      <c r="I66" s="25">
        <f>IF(N65&lt;=0,0,MIN(N65+D66,$D$6+W66*$U66))</f>
      </c>
      <c r="J66" s="25">
        <f>IF(O65&lt;=0,0,MIN(O65+E66,$E$6+X66*$U66))</f>
      </c>
      <c r="K66" s="25">
        <f>IF(P65&lt;=0,0,MIN(P65+F66,$F$6+Y66*$U66))</f>
      </c>
      <c r="L66" s="25">
        <f>IF(Q65&lt;=0,0,MIN(Q65+G66,$G$6+Z66*$U66))</f>
      </c>
      <c r="M66" s="25">
        <f>ROUND(M65+C66-H66,2)</f>
      </c>
      <c r="N66" s="25">
        <f>ROUND(N65+D66-I66,2)</f>
      </c>
      <c r="O66" s="25">
        <f>ROUND(O65+E66-J66,2)</f>
      </c>
      <c r="P66" s="25">
        <f>ROUND(P65+F66-K66,2)</f>
      </c>
      <c r="Q66" s="25">
        <f>ROUND(Q65+G66-L66,2)</f>
      </c>
      <c r="R66" s="25">
        <f>SUM(H66:L66)</f>
      </c>
      <c r="S66" s="25">
        <f>SUM(C66:G66)</f>
      </c>
      <c r="T66" s="25">
        <f>SUM(M66:Q66)</f>
      </c>
      <c r="U66" s="26">
        <f>Debts!$B$13+SUMPRODUCT(($M65:$Q65&lt;=0)*$C$6:$G$6)</f>
      </c>
      <c r="V66" s="27">
        <f>IF(AND(M65&gt;0,SUMPRODUCT(($C$7:$G$7&lt;$C$7)*($M65:$Q65&gt;0))=0),1,0)</f>
      </c>
      <c r="W66" s="27">
        <f>IF(AND(N65&gt;0,SUMPRODUCT(($C$7:$G$7&lt;$D$7)*($M65:$Q65&gt;0))=0),1,0)</f>
      </c>
      <c r="X66" s="27">
        <f>IF(AND(O65&gt;0,SUMPRODUCT(($C$7:$G$7&lt;$E$7)*($M65:$Q65&gt;0))=0),1,0)</f>
      </c>
      <c r="Y66" s="27">
        <f>IF(AND(P65&gt;0,SUMPRODUCT(($C$7:$G$7&lt;$F$7)*($M65:$Q65&gt;0))=0),1,0)</f>
      </c>
      <c r="Z66" s="27">
        <f>IF(AND(Q65&gt;0,SUMPRODUCT(($C$7:$G$7&lt;$G$7)*($M65:$Q65&gt;0))=0),1,0)</f>
      </c>
    </row>
    <row r="67" spans="1:26" x14ac:dyDescent="0.25">
      <c r="A67" s="12">
        <f>A66+1</f>
      </c>
      <c r="B67" s="28">
        <f>EDATE(Debts!$B$14,A67)</f>
      </c>
      <c r="C67" s="29">
        <f>IF(M66&lt;=0,0,ROUND(M66*$C$5/12,2))</f>
      </c>
      <c r="D67" s="29">
        <f>IF(N66&lt;=0,0,ROUND(N66*$D$5/12,2))</f>
      </c>
      <c r="E67" s="29">
        <f>IF(O66&lt;=0,0,ROUND(O66*$E$5/12,2))</f>
      </c>
      <c r="F67" s="29">
        <f>IF(P66&lt;=0,0,ROUND(P66*$F$5/12,2))</f>
      </c>
      <c r="G67" s="29">
        <f>IF(Q66&lt;=0,0,ROUND(Q66*$G$5/12,2))</f>
      </c>
      <c r="H67" s="29">
        <f>IF(M66&lt;=0,0,MIN(M66+C67,$C$6+V67*$U67))</f>
      </c>
      <c r="I67" s="29">
        <f>IF(N66&lt;=0,0,MIN(N66+D67,$D$6+W67*$U67))</f>
      </c>
      <c r="J67" s="29">
        <f>IF(O66&lt;=0,0,MIN(O66+E67,$E$6+X67*$U67))</f>
      </c>
      <c r="K67" s="29">
        <f>IF(P66&lt;=0,0,MIN(P66+F67,$F$6+Y67*$U67))</f>
      </c>
      <c r="L67" s="29">
        <f>IF(Q66&lt;=0,0,MIN(Q66+G67,$G$6+Z67*$U67))</f>
      </c>
      <c r="M67" s="29">
        <f>ROUND(M66+C67-H67,2)</f>
      </c>
      <c r="N67" s="29">
        <f>ROUND(N66+D67-I67,2)</f>
      </c>
      <c r="O67" s="29">
        <f>ROUND(O66+E67-J67,2)</f>
      </c>
      <c r="P67" s="29">
        <f>ROUND(P66+F67-K67,2)</f>
      </c>
      <c r="Q67" s="29">
        <f>ROUND(Q66+G67-L67,2)</f>
      </c>
      <c r="R67" s="29">
        <f>SUM(H67:L67)</f>
      </c>
      <c r="S67" s="29">
        <f>SUM(C67:G67)</f>
      </c>
      <c r="T67" s="29">
        <f>SUM(M67:Q67)</f>
      </c>
      <c r="U67" s="30">
        <f>Debts!$B$13+SUMPRODUCT(($M66:$Q66&lt;=0)*$C$6:$G$6)</f>
      </c>
      <c r="V67" s="31">
        <f>IF(AND(M66&gt;0,SUMPRODUCT(($C$7:$G$7&lt;$C$7)*($M66:$Q66&gt;0))=0),1,0)</f>
      </c>
      <c r="W67" s="31">
        <f>IF(AND(N66&gt;0,SUMPRODUCT(($C$7:$G$7&lt;$D$7)*($M66:$Q66&gt;0))=0),1,0)</f>
      </c>
      <c r="X67" s="31">
        <f>IF(AND(O66&gt;0,SUMPRODUCT(($C$7:$G$7&lt;$E$7)*($M66:$Q66&gt;0))=0),1,0)</f>
      </c>
      <c r="Y67" s="31">
        <f>IF(AND(P66&gt;0,SUMPRODUCT(($C$7:$G$7&lt;$F$7)*($M66:$Q66&gt;0))=0),1,0)</f>
      </c>
      <c r="Z67" s="31">
        <f>IF(AND(Q66&gt;0,SUMPRODUCT(($C$7:$G$7&lt;$G$7)*($M66:$Q66&gt;0))=0),1,0)</f>
      </c>
    </row>
    <row r="68" spans="1:26" x14ac:dyDescent="0.25">
      <c r="A68" s="11">
        <f>A67+1</f>
      </c>
      <c r="B68" s="24">
        <f>EDATE(Debts!$B$14,A68)</f>
      </c>
      <c r="C68" s="25">
        <f>IF(M67&lt;=0,0,ROUND(M67*$C$5/12,2))</f>
      </c>
      <c r="D68" s="25">
        <f>IF(N67&lt;=0,0,ROUND(N67*$D$5/12,2))</f>
      </c>
      <c r="E68" s="25">
        <f>IF(O67&lt;=0,0,ROUND(O67*$E$5/12,2))</f>
      </c>
      <c r="F68" s="25">
        <f>IF(P67&lt;=0,0,ROUND(P67*$F$5/12,2))</f>
      </c>
      <c r="G68" s="25">
        <f>IF(Q67&lt;=0,0,ROUND(Q67*$G$5/12,2))</f>
      </c>
      <c r="H68" s="25">
        <f>IF(M67&lt;=0,0,MIN(M67+C68,$C$6+V68*$U68))</f>
      </c>
      <c r="I68" s="25">
        <f>IF(N67&lt;=0,0,MIN(N67+D68,$D$6+W68*$U68))</f>
      </c>
      <c r="J68" s="25">
        <f>IF(O67&lt;=0,0,MIN(O67+E68,$E$6+X68*$U68))</f>
      </c>
      <c r="K68" s="25">
        <f>IF(P67&lt;=0,0,MIN(P67+F68,$F$6+Y68*$U68))</f>
      </c>
      <c r="L68" s="25">
        <f>IF(Q67&lt;=0,0,MIN(Q67+G68,$G$6+Z68*$U68))</f>
      </c>
      <c r="M68" s="25">
        <f>ROUND(M67+C68-H68,2)</f>
      </c>
      <c r="N68" s="25">
        <f>ROUND(N67+D68-I68,2)</f>
      </c>
      <c r="O68" s="25">
        <f>ROUND(O67+E68-J68,2)</f>
      </c>
      <c r="P68" s="25">
        <f>ROUND(P67+F68-K68,2)</f>
      </c>
      <c r="Q68" s="25">
        <f>ROUND(Q67+G68-L68,2)</f>
      </c>
      <c r="R68" s="25">
        <f>SUM(H68:L68)</f>
      </c>
      <c r="S68" s="25">
        <f>SUM(C68:G68)</f>
      </c>
      <c r="T68" s="25">
        <f>SUM(M68:Q68)</f>
      </c>
      <c r="U68" s="26">
        <f>Debts!$B$13+SUMPRODUCT(($M67:$Q67&lt;=0)*$C$6:$G$6)</f>
      </c>
      <c r="V68" s="27">
        <f>IF(AND(M67&gt;0,SUMPRODUCT(($C$7:$G$7&lt;$C$7)*($M67:$Q67&gt;0))=0),1,0)</f>
      </c>
      <c r="W68" s="27">
        <f>IF(AND(N67&gt;0,SUMPRODUCT(($C$7:$G$7&lt;$D$7)*($M67:$Q67&gt;0))=0),1,0)</f>
      </c>
      <c r="X68" s="27">
        <f>IF(AND(O67&gt;0,SUMPRODUCT(($C$7:$G$7&lt;$E$7)*($M67:$Q67&gt;0))=0),1,0)</f>
      </c>
      <c r="Y68" s="27">
        <f>IF(AND(P67&gt;0,SUMPRODUCT(($C$7:$G$7&lt;$F$7)*($M67:$Q67&gt;0))=0),1,0)</f>
      </c>
      <c r="Z68" s="27">
        <f>IF(AND(Q67&gt;0,SUMPRODUCT(($C$7:$G$7&lt;$G$7)*($M67:$Q67&gt;0))=0),1,0)</f>
      </c>
    </row>
    <row r="69" spans="1:26" x14ac:dyDescent="0.25">
      <c r="A69" s="12">
        <f>A68+1</f>
      </c>
      <c r="B69" s="28">
        <f>EDATE(Debts!$B$14,A69)</f>
      </c>
      <c r="C69" s="29">
        <f>IF(M68&lt;=0,0,ROUND(M68*$C$5/12,2))</f>
      </c>
      <c r="D69" s="29">
        <f>IF(N68&lt;=0,0,ROUND(N68*$D$5/12,2))</f>
      </c>
      <c r="E69" s="29">
        <f>IF(O68&lt;=0,0,ROUND(O68*$E$5/12,2))</f>
      </c>
      <c r="F69" s="29">
        <f>IF(P68&lt;=0,0,ROUND(P68*$F$5/12,2))</f>
      </c>
      <c r="G69" s="29">
        <f>IF(Q68&lt;=0,0,ROUND(Q68*$G$5/12,2))</f>
      </c>
      <c r="H69" s="29">
        <f>IF(M68&lt;=0,0,MIN(M68+C69,$C$6+V69*$U69))</f>
      </c>
      <c r="I69" s="29">
        <f>IF(N68&lt;=0,0,MIN(N68+D69,$D$6+W69*$U69))</f>
      </c>
      <c r="J69" s="29">
        <f>IF(O68&lt;=0,0,MIN(O68+E69,$E$6+X69*$U69))</f>
      </c>
      <c r="K69" s="29">
        <f>IF(P68&lt;=0,0,MIN(P68+F69,$F$6+Y69*$U69))</f>
      </c>
      <c r="L69" s="29">
        <f>IF(Q68&lt;=0,0,MIN(Q68+G69,$G$6+Z69*$U69))</f>
      </c>
      <c r="M69" s="29">
        <f>ROUND(M68+C69-H69,2)</f>
      </c>
      <c r="N69" s="29">
        <f>ROUND(N68+D69-I69,2)</f>
      </c>
      <c r="O69" s="29">
        <f>ROUND(O68+E69-J69,2)</f>
      </c>
      <c r="P69" s="29">
        <f>ROUND(P68+F69-K69,2)</f>
      </c>
      <c r="Q69" s="29">
        <f>ROUND(Q68+G69-L69,2)</f>
      </c>
      <c r="R69" s="29">
        <f>SUM(H69:L69)</f>
      </c>
      <c r="S69" s="29">
        <f>SUM(C69:G69)</f>
      </c>
      <c r="T69" s="29">
        <f>SUM(M69:Q69)</f>
      </c>
      <c r="U69" s="30">
        <f>Debts!$B$13+SUMPRODUCT(($M68:$Q68&lt;=0)*$C$6:$G$6)</f>
      </c>
      <c r="V69" s="31">
        <f>IF(AND(M68&gt;0,SUMPRODUCT(($C$7:$G$7&lt;$C$7)*($M68:$Q68&gt;0))=0),1,0)</f>
      </c>
      <c r="W69" s="31">
        <f>IF(AND(N68&gt;0,SUMPRODUCT(($C$7:$G$7&lt;$D$7)*($M68:$Q68&gt;0))=0),1,0)</f>
      </c>
      <c r="X69" s="31">
        <f>IF(AND(O68&gt;0,SUMPRODUCT(($C$7:$G$7&lt;$E$7)*($M68:$Q68&gt;0))=0),1,0)</f>
      </c>
      <c r="Y69" s="31">
        <f>IF(AND(P68&gt;0,SUMPRODUCT(($C$7:$G$7&lt;$F$7)*($M68:$Q68&gt;0))=0),1,0)</f>
      </c>
      <c r="Z69" s="31">
        <f>IF(AND(Q68&gt;0,SUMPRODUCT(($C$7:$G$7&lt;$G$7)*($M68:$Q68&gt;0))=0),1,0)</f>
      </c>
    </row>
    <row r="70" spans="1:26" x14ac:dyDescent="0.25">
      <c r="A70" s="11">
        <f>A69+1</f>
      </c>
      <c r="B70" s="24">
        <f>EDATE(Debts!$B$14,A70)</f>
      </c>
      <c r="C70" s="25">
        <f>IF(M69&lt;=0,0,ROUND(M69*$C$5/12,2))</f>
      </c>
      <c r="D70" s="25">
        <f>IF(N69&lt;=0,0,ROUND(N69*$D$5/12,2))</f>
      </c>
      <c r="E70" s="25">
        <f>IF(O69&lt;=0,0,ROUND(O69*$E$5/12,2))</f>
      </c>
      <c r="F70" s="25">
        <f>IF(P69&lt;=0,0,ROUND(P69*$F$5/12,2))</f>
      </c>
      <c r="G70" s="25">
        <f>IF(Q69&lt;=0,0,ROUND(Q69*$G$5/12,2))</f>
      </c>
      <c r="H70" s="25">
        <f>IF(M69&lt;=0,0,MIN(M69+C70,$C$6+V70*$U70))</f>
      </c>
      <c r="I70" s="25">
        <f>IF(N69&lt;=0,0,MIN(N69+D70,$D$6+W70*$U70))</f>
      </c>
      <c r="J70" s="25">
        <f>IF(O69&lt;=0,0,MIN(O69+E70,$E$6+X70*$U70))</f>
      </c>
      <c r="K70" s="25">
        <f>IF(P69&lt;=0,0,MIN(P69+F70,$F$6+Y70*$U70))</f>
      </c>
      <c r="L70" s="25">
        <f>IF(Q69&lt;=0,0,MIN(Q69+G70,$G$6+Z70*$U70))</f>
      </c>
      <c r="M70" s="25">
        <f>ROUND(M69+C70-H70,2)</f>
      </c>
      <c r="N70" s="25">
        <f>ROUND(N69+D70-I70,2)</f>
      </c>
      <c r="O70" s="25">
        <f>ROUND(O69+E70-J70,2)</f>
      </c>
      <c r="P70" s="25">
        <f>ROUND(P69+F70-K70,2)</f>
      </c>
      <c r="Q70" s="25">
        <f>ROUND(Q69+G70-L70,2)</f>
      </c>
      <c r="R70" s="25">
        <f>SUM(H70:L70)</f>
      </c>
      <c r="S70" s="25">
        <f>SUM(C70:G70)</f>
      </c>
      <c r="T70" s="25">
        <f>SUM(M70:Q70)</f>
      </c>
      <c r="U70" s="26">
        <f>Debts!$B$13+SUMPRODUCT(($M69:$Q69&lt;=0)*$C$6:$G$6)</f>
      </c>
      <c r="V70" s="27">
        <f>IF(AND(M69&gt;0,SUMPRODUCT(($C$7:$G$7&lt;$C$7)*($M69:$Q69&gt;0))=0),1,0)</f>
      </c>
      <c r="W70" s="27">
        <f>IF(AND(N69&gt;0,SUMPRODUCT(($C$7:$G$7&lt;$D$7)*($M69:$Q69&gt;0))=0),1,0)</f>
      </c>
      <c r="X70" s="27">
        <f>IF(AND(O69&gt;0,SUMPRODUCT(($C$7:$G$7&lt;$E$7)*($M69:$Q69&gt;0))=0),1,0)</f>
      </c>
      <c r="Y70" s="27">
        <f>IF(AND(P69&gt;0,SUMPRODUCT(($C$7:$G$7&lt;$F$7)*($M69:$Q69&gt;0))=0),1,0)</f>
      </c>
      <c r="Z70" s="27">
        <f>IF(AND(Q69&gt;0,SUMPRODUCT(($C$7:$G$7&lt;$G$7)*($M69:$Q69&gt;0))=0),1,0)</f>
      </c>
    </row>
    <row r="71" spans="1:26" x14ac:dyDescent="0.25">
      <c r="A71" s="12">
        <f>A70+1</f>
      </c>
      <c r="B71" s="28">
        <f>EDATE(Debts!$B$14,A71)</f>
      </c>
      <c r="C71" s="29">
        <f>IF(M70&lt;=0,0,ROUND(M70*$C$5/12,2))</f>
      </c>
      <c r="D71" s="29">
        <f>IF(N70&lt;=0,0,ROUND(N70*$D$5/12,2))</f>
      </c>
      <c r="E71" s="29">
        <f>IF(O70&lt;=0,0,ROUND(O70*$E$5/12,2))</f>
      </c>
      <c r="F71" s="29">
        <f>IF(P70&lt;=0,0,ROUND(P70*$F$5/12,2))</f>
      </c>
      <c r="G71" s="29">
        <f>IF(Q70&lt;=0,0,ROUND(Q70*$G$5/12,2))</f>
      </c>
      <c r="H71" s="29">
        <f>IF(M70&lt;=0,0,MIN(M70+C71,$C$6+V71*$U71))</f>
      </c>
      <c r="I71" s="29">
        <f>IF(N70&lt;=0,0,MIN(N70+D71,$D$6+W71*$U71))</f>
      </c>
      <c r="J71" s="29">
        <f>IF(O70&lt;=0,0,MIN(O70+E71,$E$6+X71*$U71))</f>
      </c>
      <c r="K71" s="29">
        <f>IF(P70&lt;=0,0,MIN(P70+F71,$F$6+Y71*$U71))</f>
      </c>
      <c r="L71" s="29">
        <f>IF(Q70&lt;=0,0,MIN(Q70+G71,$G$6+Z71*$U71))</f>
      </c>
      <c r="M71" s="29">
        <f>ROUND(M70+C71-H71,2)</f>
      </c>
      <c r="N71" s="29">
        <f>ROUND(N70+D71-I71,2)</f>
      </c>
      <c r="O71" s="29">
        <f>ROUND(O70+E71-J71,2)</f>
      </c>
      <c r="P71" s="29">
        <f>ROUND(P70+F71-K71,2)</f>
      </c>
      <c r="Q71" s="29">
        <f>ROUND(Q70+G71-L71,2)</f>
      </c>
      <c r="R71" s="29">
        <f>SUM(H71:L71)</f>
      </c>
      <c r="S71" s="29">
        <f>SUM(C71:G71)</f>
      </c>
      <c r="T71" s="29">
        <f>SUM(M71:Q71)</f>
      </c>
      <c r="U71" s="30">
        <f>Debts!$B$13+SUMPRODUCT(($M70:$Q70&lt;=0)*$C$6:$G$6)</f>
      </c>
      <c r="V71" s="31">
        <f>IF(AND(M70&gt;0,SUMPRODUCT(($C$7:$G$7&lt;$C$7)*($M70:$Q70&gt;0))=0),1,0)</f>
      </c>
      <c r="W71" s="31">
        <f>IF(AND(N70&gt;0,SUMPRODUCT(($C$7:$G$7&lt;$D$7)*($M70:$Q70&gt;0))=0),1,0)</f>
      </c>
      <c r="X71" s="31">
        <f>IF(AND(O70&gt;0,SUMPRODUCT(($C$7:$G$7&lt;$E$7)*($M70:$Q70&gt;0))=0),1,0)</f>
      </c>
      <c r="Y71" s="31">
        <f>IF(AND(P70&gt;0,SUMPRODUCT(($C$7:$G$7&lt;$F$7)*($M70:$Q70&gt;0))=0),1,0)</f>
      </c>
      <c r="Z71" s="31">
        <f>IF(AND(Q70&gt;0,SUMPRODUCT(($C$7:$G$7&lt;$G$7)*($M70:$Q70&gt;0))=0),1,0)</f>
      </c>
    </row>
    <row r="72" spans="1:26" x14ac:dyDescent="0.25">
      <c r="A72" s="11">
        <f>A71+1</f>
      </c>
      <c r="B72" s="24">
        <f>EDATE(Debts!$B$14,A72)</f>
      </c>
      <c r="C72" s="25">
        <f>IF(M71&lt;=0,0,ROUND(M71*$C$5/12,2))</f>
      </c>
      <c r="D72" s="25">
        <f>IF(N71&lt;=0,0,ROUND(N71*$D$5/12,2))</f>
      </c>
      <c r="E72" s="25">
        <f>IF(O71&lt;=0,0,ROUND(O71*$E$5/12,2))</f>
      </c>
      <c r="F72" s="25">
        <f>IF(P71&lt;=0,0,ROUND(P71*$F$5/12,2))</f>
      </c>
      <c r="G72" s="25">
        <f>IF(Q71&lt;=0,0,ROUND(Q71*$G$5/12,2))</f>
      </c>
      <c r="H72" s="25">
        <f>IF(M71&lt;=0,0,MIN(M71+C72,$C$6+V72*$U72))</f>
      </c>
      <c r="I72" s="25">
        <f>IF(N71&lt;=0,0,MIN(N71+D72,$D$6+W72*$U72))</f>
      </c>
      <c r="J72" s="25">
        <f>IF(O71&lt;=0,0,MIN(O71+E72,$E$6+X72*$U72))</f>
      </c>
      <c r="K72" s="25">
        <f>IF(P71&lt;=0,0,MIN(P71+F72,$F$6+Y72*$U72))</f>
      </c>
      <c r="L72" s="25">
        <f>IF(Q71&lt;=0,0,MIN(Q71+G72,$G$6+Z72*$U72))</f>
      </c>
      <c r="M72" s="25">
        <f>ROUND(M71+C72-H72,2)</f>
      </c>
      <c r="N72" s="25">
        <f>ROUND(N71+D72-I72,2)</f>
      </c>
      <c r="O72" s="25">
        <f>ROUND(O71+E72-J72,2)</f>
      </c>
      <c r="P72" s="25">
        <f>ROUND(P71+F72-K72,2)</f>
      </c>
      <c r="Q72" s="25">
        <f>ROUND(Q71+G72-L72,2)</f>
      </c>
      <c r="R72" s="25">
        <f>SUM(H72:L72)</f>
      </c>
      <c r="S72" s="25">
        <f>SUM(C72:G72)</f>
      </c>
      <c r="T72" s="25">
        <f>SUM(M72:Q72)</f>
      </c>
      <c r="U72" s="26">
        <f>Debts!$B$13+SUMPRODUCT(($M71:$Q71&lt;=0)*$C$6:$G$6)</f>
      </c>
      <c r="V72" s="27">
        <f>IF(AND(M71&gt;0,SUMPRODUCT(($C$7:$G$7&lt;$C$7)*($M71:$Q71&gt;0))=0),1,0)</f>
      </c>
      <c r="W72" s="27">
        <f>IF(AND(N71&gt;0,SUMPRODUCT(($C$7:$G$7&lt;$D$7)*($M71:$Q71&gt;0))=0),1,0)</f>
      </c>
      <c r="X72" s="27">
        <f>IF(AND(O71&gt;0,SUMPRODUCT(($C$7:$G$7&lt;$E$7)*($M71:$Q71&gt;0))=0),1,0)</f>
      </c>
      <c r="Y72" s="27">
        <f>IF(AND(P71&gt;0,SUMPRODUCT(($C$7:$G$7&lt;$F$7)*($M71:$Q71&gt;0))=0),1,0)</f>
      </c>
      <c r="Z72" s="27">
        <f>IF(AND(Q71&gt;0,SUMPRODUCT(($C$7:$G$7&lt;$G$7)*($M71:$Q71&gt;0))=0),1,0)</f>
      </c>
    </row>
    <row r="73" spans="1:26" x14ac:dyDescent="0.25">
      <c r="A73" s="12">
        <f>A72+1</f>
      </c>
      <c r="B73" s="28">
        <f>EDATE(Debts!$B$14,A73)</f>
      </c>
      <c r="C73" s="29">
        <f>IF(M72&lt;=0,0,ROUND(M72*$C$5/12,2))</f>
      </c>
      <c r="D73" s="29">
        <f>IF(N72&lt;=0,0,ROUND(N72*$D$5/12,2))</f>
      </c>
      <c r="E73" s="29">
        <f>IF(O72&lt;=0,0,ROUND(O72*$E$5/12,2))</f>
      </c>
      <c r="F73" s="29">
        <f>IF(P72&lt;=0,0,ROUND(P72*$F$5/12,2))</f>
      </c>
      <c r="G73" s="29">
        <f>IF(Q72&lt;=0,0,ROUND(Q72*$G$5/12,2))</f>
      </c>
      <c r="H73" s="29">
        <f>IF(M72&lt;=0,0,MIN(M72+C73,$C$6+V73*$U73))</f>
      </c>
      <c r="I73" s="29">
        <f>IF(N72&lt;=0,0,MIN(N72+D73,$D$6+W73*$U73))</f>
      </c>
      <c r="J73" s="29">
        <f>IF(O72&lt;=0,0,MIN(O72+E73,$E$6+X73*$U73))</f>
      </c>
      <c r="K73" s="29">
        <f>IF(P72&lt;=0,0,MIN(P72+F73,$F$6+Y73*$U73))</f>
      </c>
      <c r="L73" s="29">
        <f>IF(Q72&lt;=0,0,MIN(Q72+G73,$G$6+Z73*$U73))</f>
      </c>
      <c r="M73" s="29">
        <f>ROUND(M72+C73-H73,2)</f>
      </c>
      <c r="N73" s="29">
        <f>ROUND(N72+D73-I73,2)</f>
      </c>
      <c r="O73" s="29">
        <f>ROUND(O72+E73-J73,2)</f>
      </c>
      <c r="P73" s="29">
        <f>ROUND(P72+F73-K73,2)</f>
      </c>
      <c r="Q73" s="29">
        <f>ROUND(Q72+G73-L73,2)</f>
      </c>
      <c r="R73" s="29">
        <f>SUM(H73:L73)</f>
      </c>
      <c r="S73" s="29">
        <f>SUM(C73:G73)</f>
      </c>
      <c r="T73" s="29">
        <f>SUM(M73:Q73)</f>
      </c>
      <c r="U73" s="30">
        <f>Debts!$B$13+SUMPRODUCT(($M72:$Q72&lt;=0)*$C$6:$G$6)</f>
      </c>
      <c r="V73" s="31">
        <f>IF(AND(M72&gt;0,SUMPRODUCT(($C$7:$G$7&lt;$C$7)*($M72:$Q72&gt;0))=0),1,0)</f>
      </c>
      <c r="W73" s="31">
        <f>IF(AND(N72&gt;0,SUMPRODUCT(($C$7:$G$7&lt;$D$7)*($M72:$Q72&gt;0))=0),1,0)</f>
      </c>
      <c r="X73" s="31">
        <f>IF(AND(O72&gt;0,SUMPRODUCT(($C$7:$G$7&lt;$E$7)*($M72:$Q72&gt;0))=0),1,0)</f>
      </c>
      <c r="Y73" s="31">
        <f>IF(AND(P72&gt;0,SUMPRODUCT(($C$7:$G$7&lt;$F$7)*($M72:$Q72&gt;0))=0),1,0)</f>
      </c>
      <c r="Z73" s="31">
        <f>IF(AND(Q72&gt;0,SUMPRODUCT(($C$7:$G$7&lt;$G$7)*($M72:$Q72&gt;0))=0),1,0)</f>
      </c>
    </row>
    <row r="74" spans="1:26" x14ac:dyDescent="0.25">
      <c r="A74" s="11">
        <f>A73+1</f>
      </c>
      <c r="B74" s="24">
        <f>EDATE(Debts!$B$14,A74)</f>
      </c>
      <c r="C74" s="25">
        <f>IF(M73&lt;=0,0,ROUND(M73*$C$5/12,2))</f>
      </c>
      <c r="D74" s="25">
        <f>IF(N73&lt;=0,0,ROUND(N73*$D$5/12,2))</f>
      </c>
      <c r="E74" s="25">
        <f>IF(O73&lt;=0,0,ROUND(O73*$E$5/12,2))</f>
      </c>
      <c r="F74" s="25">
        <f>IF(P73&lt;=0,0,ROUND(P73*$F$5/12,2))</f>
      </c>
      <c r="G74" s="25">
        <f>IF(Q73&lt;=0,0,ROUND(Q73*$G$5/12,2))</f>
      </c>
      <c r="H74" s="25">
        <f>IF(M73&lt;=0,0,MIN(M73+C74,$C$6+V74*$U74))</f>
      </c>
      <c r="I74" s="25">
        <f>IF(N73&lt;=0,0,MIN(N73+D74,$D$6+W74*$U74))</f>
      </c>
      <c r="J74" s="25">
        <f>IF(O73&lt;=0,0,MIN(O73+E74,$E$6+X74*$U74))</f>
      </c>
      <c r="K74" s="25">
        <f>IF(P73&lt;=0,0,MIN(P73+F74,$F$6+Y74*$U74))</f>
      </c>
      <c r="L74" s="25">
        <f>IF(Q73&lt;=0,0,MIN(Q73+G74,$G$6+Z74*$U74))</f>
      </c>
      <c r="M74" s="25">
        <f>ROUND(M73+C74-H74,2)</f>
      </c>
      <c r="N74" s="25">
        <f>ROUND(N73+D74-I74,2)</f>
      </c>
      <c r="O74" s="25">
        <f>ROUND(O73+E74-J74,2)</f>
      </c>
      <c r="P74" s="25">
        <f>ROUND(P73+F74-K74,2)</f>
      </c>
      <c r="Q74" s="25">
        <f>ROUND(Q73+G74-L74,2)</f>
      </c>
      <c r="R74" s="25">
        <f>SUM(H74:L74)</f>
      </c>
      <c r="S74" s="25">
        <f>SUM(C74:G74)</f>
      </c>
      <c r="T74" s="25">
        <f>SUM(M74:Q74)</f>
      </c>
      <c r="U74" s="26">
        <f>Debts!$B$13+SUMPRODUCT(($M73:$Q73&lt;=0)*$C$6:$G$6)</f>
      </c>
      <c r="V74" s="27">
        <f>IF(AND(M73&gt;0,SUMPRODUCT(($C$7:$G$7&lt;$C$7)*($M73:$Q73&gt;0))=0),1,0)</f>
      </c>
      <c r="W74" s="27">
        <f>IF(AND(N73&gt;0,SUMPRODUCT(($C$7:$G$7&lt;$D$7)*($M73:$Q73&gt;0))=0),1,0)</f>
      </c>
      <c r="X74" s="27">
        <f>IF(AND(O73&gt;0,SUMPRODUCT(($C$7:$G$7&lt;$E$7)*($M73:$Q73&gt;0))=0),1,0)</f>
      </c>
      <c r="Y74" s="27">
        <f>IF(AND(P73&gt;0,SUMPRODUCT(($C$7:$G$7&lt;$F$7)*($M73:$Q73&gt;0))=0),1,0)</f>
      </c>
      <c r="Z74" s="27">
        <f>IF(AND(Q73&gt;0,SUMPRODUCT(($C$7:$G$7&lt;$G$7)*($M73:$Q73&gt;0))=0),1,0)</f>
      </c>
    </row>
    <row r="75" spans="1:26" x14ac:dyDescent="0.25">
      <c r="A75" s="12">
        <f>A74+1</f>
      </c>
      <c r="B75" s="28">
        <f>EDATE(Debts!$B$14,A75)</f>
      </c>
      <c r="C75" s="29">
        <f>IF(M74&lt;=0,0,ROUND(M74*$C$5/12,2))</f>
      </c>
      <c r="D75" s="29">
        <f>IF(N74&lt;=0,0,ROUND(N74*$D$5/12,2))</f>
      </c>
      <c r="E75" s="29">
        <f>IF(O74&lt;=0,0,ROUND(O74*$E$5/12,2))</f>
      </c>
      <c r="F75" s="29">
        <f>IF(P74&lt;=0,0,ROUND(P74*$F$5/12,2))</f>
      </c>
      <c r="G75" s="29">
        <f>IF(Q74&lt;=0,0,ROUND(Q74*$G$5/12,2))</f>
      </c>
      <c r="H75" s="29">
        <f>IF(M74&lt;=0,0,MIN(M74+C75,$C$6+V75*$U75))</f>
      </c>
      <c r="I75" s="29">
        <f>IF(N74&lt;=0,0,MIN(N74+D75,$D$6+W75*$U75))</f>
      </c>
      <c r="J75" s="29">
        <f>IF(O74&lt;=0,0,MIN(O74+E75,$E$6+X75*$U75))</f>
      </c>
      <c r="K75" s="29">
        <f>IF(P74&lt;=0,0,MIN(P74+F75,$F$6+Y75*$U75))</f>
      </c>
      <c r="L75" s="29">
        <f>IF(Q74&lt;=0,0,MIN(Q74+G75,$G$6+Z75*$U75))</f>
      </c>
      <c r="M75" s="29">
        <f>ROUND(M74+C75-H75,2)</f>
      </c>
      <c r="N75" s="29">
        <f>ROUND(N74+D75-I75,2)</f>
      </c>
      <c r="O75" s="29">
        <f>ROUND(O74+E75-J75,2)</f>
      </c>
      <c r="P75" s="29">
        <f>ROUND(P74+F75-K75,2)</f>
      </c>
      <c r="Q75" s="29">
        <f>ROUND(Q74+G75-L75,2)</f>
      </c>
      <c r="R75" s="29">
        <f>SUM(H75:L75)</f>
      </c>
      <c r="S75" s="29">
        <f>SUM(C75:G75)</f>
      </c>
      <c r="T75" s="29">
        <f>SUM(M75:Q75)</f>
      </c>
      <c r="U75" s="30">
        <f>Debts!$B$13+SUMPRODUCT(($M74:$Q74&lt;=0)*$C$6:$G$6)</f>
      </c>
      <c r="V75" s="31">
        <f>IF(AND(M74&gt;0,SUMPRODUCT(($C$7:$G$7&lt;$C$7)*($M74:$Q74&gt;0))=0),1,0)</f>
      </c>
      <c r="W75" s="31">
        <f>IF(AND(N74&gt;0,SUMPRODUCT(($C$7:$G$7&lt;$D$7)*($M74:$Q74&gt;0))=0),1,0)</f>
      </c>
      <c r="X75" s="31">
        <f>IF(AND(O74&gt;0,SUMPRODUCT(($C$7:$G$7&lt;$E$7)*($M74:$Q74&gt;0))=0),1,0)</f>
      </c>
      <c r="Y75" s="31">
        <f>IF(AND(P74&gt;0,SUMPRODUCT(($C$7:$G$7&lt;$F$7)*($M74:$Q74&gt;0))=0),1,0)</f>
      </c>
      <c r="Z75" s="31">
        <f>IF(AND(Q74&gt;0,SUMPRODUCT(($C$7:$G$7&lt;$G$7)*($M74:$Q74&gt;0))=0),1,0)</f>
      </c>
    </row>
    <row r="76" spans="1:26" x14ac:dyDescent="0.25">
      <c r="A76" s="11">
        <f>A75+1</f>
      </c>
      <c r="B76" s="24">
        <f>EDATE(Debts!$B$14,A76)</f>
      </c>
      <c r="C76" s="25">
        <f>IF(M75&lt;=0,0,ROUND(M75*$C$5/12,2))</f>
      </c>
      <c r="D76" s="25">
        <f>IF(N75&lt;=0,0,ROUND(N75*$D$5/12,2))</f>
      </c>
      <c r="E76" s="25">
        <f>IF(O75&lt;=0,0,ROUND(O75*$E$5/12,2))</f>
      </c>
      <c r="F76" s="25">
        <f>IF(P75&lt;=0,0,ROUND(P75*$F$5/12,2))</f>
      </c>
      <c r="G76" s="25">
        <f>IF(Q75&lt;=0,0,ROUND(Q75*$G$5/12,2))</f>
      </c>
      <c r="H76" s="25">
        <f>IF(M75&lt;=0,0,MIN(M75+C76,$C$6+V76*$U76))</f>
      </c>
      <c r="I76" s="25">
        <f>IF(N75&lt;=0,0,MIN(N75+D76,$D$6+W76*$U76))</f>
      </c>
      <c r="J76" s="25">
        <f>IF(O75&lt;=0,0,MIN(O75+E76,$E$6+X76*$U76))</f>
      </c>
      <c r="K76" s="25">
        <f>IF(P75&lt;=0,0,MIN(P75+F76,$F$6+Y76*$U76))</f>
      </c>
      <c r="L76" s="25">
        <f>IF(Q75&lt;=0,0,MIN(Q75+G76,$G$6+Z76*$U76))</f>
      </c>
      <c r="M76" s="25">
        <f>ROUND(M75+C76-H76,2)</f>
      </c>
      <c r="N76" s="25">
        <f>ROUND(N75+D76-I76,2)</f>
      </c>
      <c r="O76" s="25">
        <f>ROUND(O75+E76-J76,2)</f>
      </c>
      <c r="P76" s="25">
        <f>ROUND(P75+F76-K76,2)</f>
      </c>
      <c r="Q76" s="25">
        <f>ROUND(Q75+G76-L76,2)</f>
      </c>
      <c r="R76" s="25">
        <f>SUM(H76:L76)</f>
      </c>
      <c r="S76" s="25">
        <f>SUM(C76:G76)</f>
      </c>
      <c r="T76" s="25">
        <f>SUM(M76:Q76)</f>
      </c>
      <c r="U76" s="26">
        <f>Debts!$B$13+SUMPRODUCT(($M75:$Q75&lt;=0)*$C$6:$G$6)</f>
      </c>
      <c r="V76" s="27">
        <f>IF(AND(M75&gt;0,SUMPRODUCT(($C$7:$G$7&lt;$C$7)*($M75:$Q75&gt;0))=0),1,0)</f>
      </c>
      <c r="W76" s="27">
        <f>IF(AND(N75&gt;0,SUMPRODUCT(($C$7:$G$7&lt;$D$7)*($M75:$Q75&gt;0))=0),1,0)</f>
      </c>
      <c r="X76" s="27">
        <f>IF(AND(O75&gt;0,SUMPRODUCT(($C$7:$G$7&lt;$E$7)*($M75:$Q75&gt;0))=0),1,0)</f>
      </c>
      <c r="Y76" s="27">
        <f>IF(AND(P75&gt;0,SUMPRODUCT(($C$7:$G$7&lt;$F$7)*($M75:$Q75&gt;0))=0),1,0)</f>
      </c>
      <c r="Z76" s="27">
        <f>IF(AND(Q75&gt;0,SUMPRODUCT(($C$7:$G$7&lt;$G$7)*($M75:$Q75&gt;0))=0),1,0)</f>
      </c>
    </row>
    <row r="77" spans="1:26" x14ac:dyDescent="0.25">
      <c r="A77" s="12">
        <f>A76+1</f>
      </c>
      <c r="B77" s="28">
        <f>EDATE(Debts!$B$14,A77)</f>
      </c>
      <c r="C77" s="29">
        <f>IF(M76&lt;=0,0,ROUND(M76*$C$5/12,2))</f>
      </c>
      <c r="D77" s="29">
        <f>IF(N76&lt;=0,0,ROUND(N76*$D$5/12,2))</f>
      </c>
      <c r="E77" s="29">
        <f>IF(O76&lt;=0,0,ROUND(O76*$E$5/12,2))</f>
      </c>
      <c r="F77" s="29">
        <f>IF(P76&lt;=0,0,ROUND(P76*$F$5/12,2))</f>
      </c>
      <c r="G77" s="29">
        <f>IF(Q76&lt;=0,0,ROUND(Q76*$G$5/12,2))</f>
      </c>
      <c r="H77" s="29">
        <f>IF(M76&lt;=0,0,MIN(M76+C77,$C$6+V77*$U77))</f>
      </c>
      <c r="I77" s="29">
        <f>IF(N76&lt;=0,0,MIN(N76+D77,$D$6+W77*$U77))</f>
      </c>
      <c r="J77" s="29">
        <f>IF(O76&lt;=0,0,MIN(O76+E77,$E$6+X77*$U77))</f>
      </c>
      <c r="K77" s="29">
        <f>IF(P76&lt;=0,0,MIN(P76+F77,$F$6+Y77*$U77))</f>
      </c>
      <c r="L77" s="29">
        <f>IF(Q76&lt;=0,0,MIN(Q76+G77,$G$6+Z77*$U77))</f>
      </c>
      <c r="M77" s="29">
        <f>ROUND(M76+C77-H77,2)</f>
      </c>
      <c r="N77" s="29">
        <f>ROUND(N76+D77-I77,2)</f>
      </c>
      <c r="O77" s="29">
        <f>ROUND(O76+E77-J77,2)</f>
      </c>
      <c r="P77" s="29">
        <f>ROUND(P76+F77-K77,2)</f>
      </c>
      <c r="Q77" s="29">
        <f>ROUND(Q76+G77-L77,2)</f>
      </c>
      <c r="R77" s="29">
        <f>SUM(H77:L77)</f>
      </c>
      <c r="S77" s="29">
        <f>SUM(C77:G77)</f>
      </c>
      <c r="T77" s="29">
        <f>SUM(M77:Q77)</f>
      </c>
      <c r="U77" s="30">
        <f>Debts!$B$13+SUMPRODUCT(($M76:$Q76&lt;=0)*$C$6:$G$6)</f>
      </c>
      <c r="V77" s="31">
        <f>IF(AND(M76&gt;0,SUMPRODUCT(($C$7:$G$7&lt;$C$7)*($M76:$Q76&gt;0))=0),1,0)</f>
      </c>
      <c r="W77" s="31">
        <f>IF(AND(N76&gt;0,SUMPRODUCT(($C$7:$G$7&lt;$D$7)*($M76:$Q76&gt;0))=0),1,0)</f>
      </c>
      <c r="X77" s="31">
        <f>IF(AND(O76&gt;0,SUMPRODUCT(($C$7:$G$7&lt;$E$7)*($M76:$Q76&gt;0))=0),1,0)</f>
      </c>
      <c r="Y77" s="31">
        <f>IF(AND(P76&gt;0,SUMPRODUCT(($C$7:$G$7&lt;$F$7)*($M76:$Q76&gt;0))=0),1,0)</f>
      </c>
      <c r="Z77" s="31">
        <f>IF(AND(Q76&gt;0,SUMPRODUCT(($C$7:$G$7&lt;$G$7)*($M76:$Q76&gt;0))=0),1,0)</f>
      </c>
    </row>
    <row r="78" spans="1:26" x14ac:dyDescent="0.25">
      <c r="A78" s="11">
        <f>A77+1</f>
      </c>
      <c r="B78" s="24">
        <f>EDATE(Debts!$B$14,A78)</f>
      </c>
      <c r="C78" s="25">
        <f>IF(M77&lt;=0,0,ROUND(M77*$C$5/12,2))</f>
      </c>
      <c r="D78" s="25">
        <f>IF(N77&lt;=0,0,ROUND(N77*$D$5/12,2))</f>
      </c>
      <c r="E78" s="25">
        <f>IF(O77&lt;=0,0,ROUND(O77*$E$5/12,2))</f>
      </c>
      <c r="F78" s="25">
        <f>IF(P77&lt;=0,0,ROUND(P77*$F$5/12,2))</f>
      </c>
      <c r="G78" s="25">
        <f>IF(Q77&lt;=0,0,ROUND(Q77*$G$5/12,2))</f>
      </c>
      <c r="H78" s="25">
        <f>IF(M77&lt;=0,0,MIN(M77+C78,$C$6+V78*$U78))</f>
      </c>
      <c r="I78" s="25">
        <f>IF(N77&lt;=0,0,MIN(N77+D78,$D$6+W78*$U78))</f>
      </c>
      <c r="J78" s="25">
        <f>IF(O77&lt;=0,0,MIN(O77+E78,$E$6+X78*$U78))</f>
      </c>
      <c r="K78" s="25">
        <f>IF(P77&lt;=0,0,MIN(P77+F78,$F$6+Y78*$U78))</f>
      </c>
      <c r="L78" s="25">
        <f>IF(Q77&lt;=0,0,MIN(Q77+G78,$G$6+Z78*$U78))</f>
      </c>
      <c r="M78" s="25">
        <f>ROUND(M77+C78-H78,2)</f>
      </c>
      <c r="N78" s="25">
        <f>ROUND(N77+D78-I78,2)</f>
      </c>
      <c r="O78" s="25">
        <f>ROUND(O77+E78-J78,2)</f>
      </c>
      <c r="P78" s="25">
        <f>ROUND(P77+F78-K78,2)</f>
      </c>
      <c r="Q78" s="25">
        <f>ROUND(Q77+G78-L78,2)</f>
      </c>
      <c r="R78" s="25">
        <f>SUM(H78:L78)</f>
      </c>
      <c r="S78" s="25">
        <f>SUM(C78:G78)</f>
      </c>
      <c r="T78" s="25">
        <f>SUM(M78:Q78)</f>
      </c>
      <c r="U78" s="26">
        <f>Debts!$B$13+SUMPRODUCT(($M77:$Q77&lt;=0)*$C$6:$G$6)</f>
      </c>
      <c r="V78" s="27">
        <f>IF(AND(M77&gt;0,SUMPRODUCT(($C$7:$G$7&lt;$C$7)*($M77:$Q77&gt;0))=0),1,0)</f>
      </c>
      <c r="W78" s="27">
        <f>IF(AND(N77&gt;0,SUMPRODUCT(($C$7:$G$7&lt;$D$7)*($M77:$Q77&gt;0))=0),1,0)</f>
      </c>
      <c r="X78" s="27">
        <f>IF(AND(O77&gt;0,SUMPRODUCT(($C$7:$G$7&lt;$E$7)*($M77:$Q77&gt;0))=0),1,0)</f>
      </c>
      <c r="Y78" s="27">
        <f>IF(AND(P77&gt;0,SUMPRODUCT(($C$7:$G$7&lt;$F$7)*($M77:$Q77&gt;0))=0),1,0)</f>
      </c>
      <c r="Z78" s="27">
        <f>IF(AND(Q77&gt;0,SUMPRODUCT(($C$7:$G$7&lt;$G$7)*($M77:$Q77&gt;0))=0),1,0)</f>
      </c>
    </row>
    <row r="79" spans="1:26" x14ac:dyDescent="0.25">
      <c r="A79" s="12">
        <f>A78+1</f>
      </c>
      <c r="B79" s="28">
        <f>EDATE(Debts!$B$14,A79)</f>
      </c>
      <c r="C79" s="29">
        <f>IF(M78&lt;=0,0,ROUND(M78*$C$5/12,2))</f>
      </c>
      <c r="D79" s="29">
        <f>IF(N78&lt;=0,0,ROUND(N78*$D$5/12,2))</f>
      </c>
      <c r="E79" s="29">
        <f>IF(O78&lt;=0,0,ROUND(O78*$E$5/12,2))</f>
      </c>
      <c r="F79" s="29">
        <f>IF(P78&lt;=0,0,ROUND(P78*$F$5/12,2))</f>
      </c>
      <c r="G79" s="29">
        <f>IF(Q78&lt;=0,0,ROUND(Q78*$G$5/12,2))</f>
      </c>
      <c r="H79" s="29">
        <f>IF(M78&lt;=0,0,MIN(M78+C79,$C$6+V79*$U79))</f>
      </c>
      <c r="I79" s="29">
        <f>IF(N78&lt;=0,0,MIN(N78+D79,$D$6+W79*$U79))</f>
      </c>
      <c r="J79" s="29">
        <f>IF(O78&lt;=0,0,MIN(O78+E79,$E$6+X79*$U79))</f>
      </c>
      <c r="K79" s="29">
        <f>IF(P78&lt;=0,0,MIN(P78+F79,$F$6+Y79*$U79))</f>
      </c>
      <c r="L79" s="29">
        <f>IF(Q78&lt;=0,0,MIN(Q78+G79,$G$6+Z79*$U79))</f>
      </c>
      <c r="M79" s="29">
        <f>ROUND(M78+C79-H79,2)</f>
      </c>
      <c r="N79" s="29">
        <f>ROUND(N78+D79-I79,2)</f>
      </c>
      <c r="O79" s="29">
        <f>ROUND(O78+E79-J79,2)</f>
      </c>
      <c r="P79" s="29">
        <f>ROUND(P78+F79-K79,2)</f>
      </c>
      <c r="Q79" s="29">
        <f>ROUND(Q78+G79-L79,2)</f>
      </c>
      <c r="R79" s="29">
        <f>SUM(H79:L79)</f>
      </c>
      <c r="S79" s="29">
        <f>SUM(C79:G79)</f>
      </c>
      <c r="T79" s="29">
        <f>SUM(M79:Q79)</f>
      </c>
      <c r="U79" s="30">
        <f>Debts!$B$13+SUMPRODUCT(($M78:$Q78&lt;=0)*$C$6:$G$6)</f>
      </c>
      <c r="V79" s="31">
        <f>IF(AND(M78&gt;0,SUMPRODUCT(($C$7:$G$7&lt;$C$7)*($M78:$Q78&gt;0))=0),1,0)</f>
      </c>
      <c r="W79" s="31">
        <f>IF(AND(N78&gt;0,SUMPRODUCT(($C$7:$G$7&lt;$D$7)*($M78:$Q78&gt;0))=0),1,0)</f>
      </c>
      <c r="X79" s="31">
        <f>IF(AND(O78&gt;0,SUMPRODUCT(($C$7:$G$7&lt;$E$7)*($M78:$Q78&gt;0))=0),1,0)</f>
      </c>
      <c r="Y79" s="31">
        <f>IF(AND(P78&gt;0,SUMPRODUCT(($C$7:$G$7&lt;$F$7)*($M78:$Q78&gt;0))=0),1,0)</f>
      </c>
      <c r="Z79" s="31">
        <f>IF(AND(Q78&gt;0,SUMPRODUCT(($C$7:$G$7&lt;$G$7)*($M78:$Q78&gt;0))=0),1,0)</f>
      </c>
    </row>
    <row r="80" spans="1:26" x14ac:dyDescent="0.25">
      <c r="A80" s="11">
        <f>A79+1</f>
      </c>
      <c r="B80" s="24">
        <f>EDATE(Debts!$B$14,A80)</f>
      </c>
      <c r="C80" s="25">
        <f>IF(M79&lt;=0,0,ROUND(M79*$C$5/12,2))</f>
      </c>
      <c r="D80" s="25">
        <f>IF(N79&lt;=0,0,ROUND(N79*$D$5/12,2))</f>
      </c>
      <c r="E80" s="25">
        <f>IF(O79&lt;=0,0,ROUND(O79*$E$5/12,2))</f>
      </c>
      <c r="F80" s="25">
        <f>IF(P79&lt;=0,0,ROUND(P79*$F$5/12,2))</f>
      </c>
      <c r="G80" s="25">
        <f>IF(Q79&lt;=0,0,ROUND(Q79*$G$5/12,2))</f>
      </c>
      <c r="H80" s="25">
        <f>IF(M79&lt;=0,0,MIN(M79+C80,$C$6+V80*$U80))</f>
      </c>
      <c r="I80" s="25">
        <f>IF(N79&lt;=0,0,MIN(N79+D80,$D$6+W80*$U80))</f>
      </c>
      <c r="J80" s="25">
        <f>IF(O79&lt;=0,0,MIN(O79+E80,$E$6+X80*$U80))</f>
      </c>
      <c r="K80" s="25">
        <f>IF(P79&lt;=0,0,MIN(P79+F80,$F$6+Y80*$U80))</f>
      </c>
      <c r="L80" s="25">
        <f>IF(Q79&lt;=0,0,MIN(Q79+G80,$G$6+Z80*$U80))</f>
      </c>
      <c r="M80" s="25">
        <f>ROUND(M79+C80-H80,2)</f>
      </c>
      <c r="N80" s="25">
        <f>ROUND(N79+D80-I80,2)</f>
      </c>
      <c r="O80" s="25">
        <f>ROUND(O79+E80-J80,2)</f>
      </c>
      <c r="P80" s="25">
        <f>ROUND(P79+F80-K80,2)</f>
      </c>
      <c r="Q80" s="25">
        <f>ROUND(Q79+G80-L80,2)</f>
      </c>
      <c r="R80" s="25">
        <f>SUM(H80:L80)</f>
      </c>
      <c r="S80" s="25">
        <f>SUM(C80:G80)</f>
      </c>
      <c r="T80" s="25">
        <f>SUM(M80:Q80)</f>
      </c>
      <c r="U80" s="26">
        <f>Debts!$B$13+SUMPRODUCT(($M79:$Q79&lt;=0)*$C$6:$G$6)</f>
      </c>
      <c r="V80" s="27">
        <f>IF(AND(M79&gt;0,SUMPRODUCT(($C$7:$G$7&lt;$C$7)*($M79:$Q79&gt;0))=0),1,0)</f>
      </c>
      <c r="W80" s="27">
        <f>IF(AND(N79&gt;0,SUMPRODUCT(($C$7:$G$7&lt;$D$7)*($M79:$Q79&gt;0))=0),1,0)</f>
      </c>
      <c r="X80" s="27">
        <f>IF(AND(O79&gt;0,SUMPRODUCT(($C$7:$G$7&lt;$E$7)*($M79:$Q79&gt;0))=0),1,0)</f>
      </c>
      <c r="Y80" s="27">
        <f>IF(AND(P79&gt;0,SUMPRODUCT(($C$7:$G$7&lt;$F$7)*($M79:$Q79&gt;0))=0),1,0)</f>
      </c>
      <c r="Z80" s="27">
        <f>IF(AND(Q79&gt;0,SUMPRODUCT(($C$7:$G$7&lt;$G$7)*($M79:$Q79&gt;0))=0),1,0)</f>
      </c>
    </row>
    <row r="81" spans="1:26" x14ac:dyDescent="0.25">
      <c r="A81" s="12">
        <f>A80+1</f>
      </c>
      <c r="B81" s="28">
        <f>EDATE(Debts!$B$14,A81)</f>
      </c>
      <c r="C81" s="29">
        <f>IF(M80&lt;=0,0,ROUND(M80*$C$5/12,2))</f>
      </c>
      <c r="D81" s="29">
        <f>IF(N80&lt;=0,0,ROUND(N80*$D$5/12,2))</f>
      </c>
      <c r="E81" s="29">
        <f>IF(O80&lt;=0,0,ROUND(O80*$E$5/12,2))</f>
      </c>
      <c r="F81" s="29">
        <f>IF(P80&lt;=0,0,ROUND(P80*$F$5/12,2))</f>
      </c>
      <c r="G81" s="29">
        <f>IF(Q80&lt;=0,0,ROUND(Q80*$G$5/12,2))</f>
      </c>
      <c r="H81" s="29">
        <f>IF(M80&lt;=0,0,MIN(M80+C81,$C$6+V81*$U81))</f>
      </c>
      <c r="I81" s="29">
        <f>IF(N80&lt;=0,0,MIN(N80+D81,$D$6+W81*$U81))</f>
      </c>
      <c r="J81" s="29">
        <f>IF(O80&lt;=0,0,MIN(O80+E81,$E$6+X81*$U81))</f>
      </c>
      <c r="K81" s="29">
        <f>IF(P80&lt;=0,0,MIN(P80+F81,$F$6+Y81*$U81))</f>
      </c>
      <c r="L81" s="29">
        <f>IF(Q80&lt;=0,0,MIN(Q80+G81,$G$6+Z81*$U81))</f>
      </c>
      <c r="M81" s="29">
        <f>ROUND(M80+C81-H81,2)</f>
      </c>
      <c r="N81" s="29">
        <f>ROUND(N80+D81-I81,2)</f>
      </c>
      <c r="O81" s="29">
        <f>ROUND(O80+E81-J81,2)</f>
      </c>
      <c r="P81" s="29">
        <f>ROUND(P80+F81-K81,2)</f>
      </c>
      <c r="Q81" s="29">
        <f>ROUND(Q80+G81-L81,2)</f>
      </c>
      <c r="R81" s="29">
        <f>SUM(H81:L81)</f>
      </c>
      <c r="S81" s="29">
        <f>SUM(C81:G81)</f>
      </c>
      <c r="T81" s="29">
        <f>SUM(M81:Q81)</f>
      </c>
      <c r="U81" s="30">
        <f>Debts!$B$13+SUMPRODUCT(($M80:$Q80&lt;=0)*$C$6:$G$6)</f>
      </c>
      <c r="V81" s="31">
        <f>IF(AND(M80&gt;0,SUMPRODUCT(($C$7:$G$7&lt;$C$7)*($M80:$Q80&gt;0))=0),1,0)</f>
      </c>
      <c r="W81" s="31">
        <f>IF(AND(N80&gt;0,SUMPRODUCT(($C$7:$G$7&lt;$D$7)*($M80:$Q80&gt;0))=0),1,0)</f>
      </c>
      <c r="X81" s="31">
        <f>IF(AND(O80&gt;0,SUMPRODUCT(($C$7:$G$7&lt;$E$7)*($M80:$Q80&gt;0))=0),1,0)</f>
      </c>
      <c r="Y81" s="31">
        <f>IF(AND(P80&gt;0,SUMPRODUCT(($C$7:$G$7&lt;$F$7)*($M80:$Q80&gt;0))=0),1,0)</f>
      </c>
      <c r="Z81" s="31">
        <f>IF(AND(Q80&gt;0,SUMPRODUCT(($C$7:$G$7&lt;$G$7)*($M80:$Q80&gt;0))=0),1,0)</f>
      </c>
    </row>
    <row r="82" spans="1:26" x14ac:dyDescent="0.25">
      <c r="A82" s="11">
        <f>A81+1</f>
      </c>
      <c r="B82" s="24">
        <f>EDATE(Debts!$B$14,A82)</f>
      </c>
      <c r="C82" s="25">
        <f>IF(M81&lt;=0,0,ROUND(M81*$C$5/12,2))</f>
      </c>
      <c r="D82" s="25">
        <f>IF(N81&lt;=0,0,ROUND(N81*$D$5/12,2))</f>
      </c>
      <c r="E82" s="25">
        <f>IF(O81&lt;=0,0,ROUND(O81*$E$5/12,2))</f>
      </c>
      <c r="F82" s="25">
        <f>IF(P81&lt;=0,0,ROUND(P81*$F$5/12,2))</f>
      </c>
      <c r="G82" s="25">
        <f>IF(Q81&lt;=0,0,ROUND(Q81*$G$5/12,2))</f>
      </c>
      <c r="H82" s="25">
        <f>IF(M81&lt;=0,0,MIN(M81+C82,$C$6+V82*$U82))</f>
      </c>
      <c r="I82" s="25">
        <f>IF(N81&lt;=0,0,MIN(N81+D82,$D$6+W82*$U82))</f>
      </c>
      <c r="J82" s="25">
        <f>IF(O81&lt;=0,0,MIN(O81+E82,$E$6+X82*$U82))</f>
      </c>
      <c r="K82" s="25">
        <f>IF(P81&lt;=0,0,MIN(P81+F82,$F$6+Y82*$U82))</f>
      </c>
      <c r="L82" s="25">
        <f>IF(Q81&lt;=0,0,MIN(Q81+G82,$G$6+Z82*$U82))</f>
      </c>
      <c r="M82" s="25">
        <f>ROUND(M81+C82-H82,2)</f>
      </c>
      <c r="N82" s="25">
        <f>ROUND(N81+D82-I82,2)</f>
      </c>
      <c r="O82" s="25">
        <f>ROUND(O81+E82-J82,2)</f>
      </c>
      <c r="P82" s="25">
        <f>ROUND(P81+F82-K82,2)</f>
      </c>
      <c r="Q82" s="25">
        <f>ROUND(Q81+G82-L82,2)</f>
      </c>
      <c r="R82" s="25">
        <f>SUM(H82:L82)</f>
      </c>
      <c r="S82" s="25">
        <f>SUM(C82:G82)</f>
      </c>
      <c r="T82" s="25">
        <f>SUM(M82:Q82)</f>
      </c>
      <c r="U82" s="26">
        <f>Debts!$B$13+SUMPRODUCT(($M81:$Q81&lt;=0)*$C$6:$G$6)</f>
      </c>
      <c r="V82" s="27">
        <f>IF(AND(M81&gt;0,SUMPRODUCT(($C$7:$G$7&lt;$C$7)*($M81:$Q81&gt;0))=0),1,0)</f>
      </c>
      <c r="W82" s="27">
        <f>IF(AND(N81&gt;0,SUMPRODUCT(($C$7:$G$7&lt;$D$7)*($M81:$Q81&gt;0))=0),1,0)</f>
      </c>
      <c r="X82" s="27">
        <f>IF(AND(O81&gt;0,SUMPRODUCT(($C$7:$G$7&lt;$E$7)*($M81:$Q81&gt;0))=0),1,0)</f>
      </c>
      <c r="Y82" s="27">
        <f>IF(AND(P81&gt;0,SUMPRODUCT(($C$7:$G$7&lt;$F$7)*($M81:$Q81&gt;0))=0),1,0)</f>
      </c>
      <c r="Z82" s="27">
        <f>IF(AND(Q81&gt;0,SUMPRODUCT(($C$7:$G$7&lt;$G$7)*($M81:$Q81&gt;0))=0),1,0)</f>
      </c>
    </row>
    <row r="83" spans="1:26" x14ac:dyDescent="0.25">
      <c r="A83" s="12">
        <f>A82+1</f>
      </c>
      <c r="B83" s="28">
        <f>EDATE(Debts!$B$14,A83)</f>
      </c>
      <c r="C83" s="29">
        <f>IF(M82&lt;=0,0,ROUND(M82*$C$5/12,2))</f>
      </c>
      <c r="D83" s="29">
        <f>IF(N82&lt;=0,0,ROUND(N82*$D$5/12,2))</f>
      </c>
      <c r="E83" s="29">
        <f>IF(O82&lt;=0,0,ROUND(O82*$E$5/12,2))</f>
      </c>
      <c r="F83" s="29">
        <f>IF(P82&lt;=0,0,ROUND(P82*$F$5/12,2))</f>
      </c>
      <c r="G83" s="29">
        <f>IF(Q82&lt;=0,0,ROUND(Q82*$G$5/12,2))</f>
      </c>
      <c r="H83" s="29">
        <f>IF(M82&lt;=0,0,MIN(M82+C83,$C$6+V83*$U83))</f>
      </c>
      <c r="I83" s="29">
        <f>IF(N82&lt;=0,0,MIN(N82+D83,$D$6+W83*$U83))</f>
      </c>
      <c r="J83" s="29">
        <f>IF(O82&lt;=0,0,MIN(O82+E83,$E$6+X83*$U83))</f>
      </c>
      <c r="K83" s="29">
        <f>IF(P82&lt;=0,0,MIN(P82+F83,$F$6+Y83*$U83))</f>
      </c>
      <c r="L83" s="29">
        <f>IF(Q82&lt;=0,0,MIN(Q82+G83,$G$6+Z83*$U83))</f>
      </c>
      <c r="M83" s="29">
        <f>ROUND(M82+C83-H83,2)</f>
      </c>
      <c r="N83" s="29">
        <f>ROUND(N82+D83-I83,2)</f>
      </c>
      <c r="O83" s="29">
        <f>ROUND(O82+E83-J83,2)</f>
      </c>
      <c r="P83" s="29">
        <f>ROUND(P82+F83-K83,2)</f>
      </c>
      <c r="Q83" s="29">
        <f>ROUND(Q82+G83-L83,2)</f>
      </c>
      <c r="R83" s="29">
        <f>SUM(H83:L83)</f>
      </c>
      <c r="S83" s="29">
        <f>SUM(C83:G83)</f>
      </c>
      <c r="T83" s="29">
        <f>SUM(M83:Q83)</f>
      </c>
      <c r="U83" s="30">
        <f>Debts!$B$13+SUMPRODUCT(($M82:$Q82&lt;=0)*$C$6:$G$6)</f>
      </c>
      <c r="V83" s="31">
        <f>IF(AND(M82&gt;0,SUMPRODUCT(($C$7:$G$7&lt;$C$7)*($M82:$Q82&gt;0))=0),1,0)</f>
      </c>
      <c r="W83" s="31">
        <f>IF(AND(N82&gt;0,SUMPRODUCT(($C$7:$G$7&lt;$D$7)*($M82:$Q82&gt;0))=0),1,0)</f>
      </c>
      <c r="X83" s="31">
        <f>IF(AND(O82&gt;0,SUMPRODUCT(($C$7:$G$7&lt;$E$7)*($M82:$Q82&gt;0))=0),1,0)</f>
      </c>
      <c r="Y83" s="31">
        <f>IF(AND(P82&gt;0,SUMPRODUCT(($C$7:$G$7&lt;$F$7)*($M82:$Q82&gt;0))=0),1,0)</f>
      </c>
      <c r="Z83" s="31">
        <f>IF(AND(Q82&gt;0,SUMPRODUCT(($C$7:$G$7&lt;$G$7)*($M82:$Q82&gt;0))=0),1,0)</f>
      </c>
    </row>
    <row r="84" spans="1:26" x14ac:dyDescent="0.25">
      <c r="A84" s="11">
        <f>A83+1</f>
      </c>
      <c r="B84" s="24">
        <f>EDATE(Debts!$B$14,A84)</f>
      </c>
      <c r="C84" s="25">
        <f>IF(M83&lt;=0,0,ROUND(M83*$C$5/12,2))</f>
      </c>
      <c r="D84" s="25">
        <f>IF(N83&lt;=0,0,ROUND(N83*$D$5/12,2))</f>
      </c>
      <c r="E84" s="25">
        <f>IF(O83&lt;=0,0,ROUND(O83*$E$5/12,2))</f>
      </c>
      <c r="F84" s="25">
        <f>IF(P83&lt;=0,0,ROUND(P83*$F$5/12,2))</f>
      </c>
      <c r="G84" s="25">
        <f>IF(Q83&lt;=0,0,ROUND(Q83*$G$5/12,2))</f>
      </c>
      <c r="H84" s="25">
        <f>IF(M83&lt;=0,0,MIN(M83+C84,$C$6+V84*$U84))</f>
      </c>
      <c r="I84" s="25">
        <f>IF(N83&lt;=0,0,MIN(N83+D84,$D$6+W84*$U84))</f>
      </c>
      <c r="J84" s="25">
        <f>IF(O83&lt;=0,0,MIN(O83+E84,$E$6+X84*$U84))</f>
      </c>
      <c r="K84" s="25">
        <f>IF(P83&lt;=0,0,MIN(P83+F84,$F$6+Y84*$U84))</f>
      </c>
      <c r="L84" s="25">
        <f>IF(Q83&lt;=0,0,MIN(Q83+G84,$G$6+Z84*$U84))</f>
      </c>
      <c r="M84" s="25">
        <f>ROUND(M83+C84-H84,2)</f>
      </c>
      <c r="N84" s="25">
        <f>ROUND(N83+D84-I84,2)</f>
      </c>
      <c r="O84" s="25">
        <f>ROUND(O83+E84-J84,2)</f>
      </c>
      <c r="P84" s="25">
        <f>ROUND(P83+F84-K84,2)</f>
      </c>
      <c r="Q84" s="25">
        <f>ROUND(Q83+G84-L84,2)</f>
      </c>
      <c r="R84" s="25">
        <f>SUM(H84:L84)</f>
      </c>
      <c r="S84" s="25">
        <f>SUM(C84:G84)</f>
      </c>
      <c r="T84" s="25">
        <f>SUM(M84:Q84)</f>
      </c>
      <c r="U84" s="26">
        <f>Debts!$B$13+SUMPRODUCT(($M83:$Q83&lt;=0)*$C$6:$G$6)</f>
      </c>
      <c r="V84" s="27">
        <f>IF(AND(M83&gt;0,SUMPRODUCT(($C$7:$G$7&lt;$C$7)*($M83:$Q83&gt;0))=0),1,0)</f>
      </c>
      <c r="W84" s="27">
        <f>IF(AND(N83&gt;0,SUMPRODUCT(($C$7:$G$7&lt;$D$7)*($M83:$Q83&gt;0))=0),1,0)</f>
      </c>
      <c r="X84" s="27">
        <f>IF(AND(O83&gt;0,SUMPRODUCT(($C$7:$G$7&lt;$E$7)*($M83:$Q83&gt;0))=0),1,0)</f>
      </c>
      <c r="Y84" s="27">
        <f>IF(AND(P83&gt;0,SUMPRODUCT(($C$7:$G$7&lt;$F$7)*($M83:$Q83&gt;0))=0),1,0)</f>
      </c>
      <c r="Z84" s="27">
        <f>IF(AND(Q83&gt;0,SUMPRODUCT(($C$7:$G$7&lt;$G$7)*($M83:$Q83&gt;0))=0),1,0)</f>
      </c>
    </row>
    <row r="85" spans="1:26" x14ac:dyDescent="0.25">
      <c r="A85" s="12">
        <f>A84+1</f>
      </c>
      <c r="B85" s="28">
        <f>EDATE(Debts!$B$14,A85)</f>
      </c>
      <c r="C85" s="29">
        <f>IF(M84&lt;=0,0,ROUND(M84*$C$5/12,2))</f>
      </c>
      <c r="D85" s="29">
        <f>IF(N84&lt;=0,0,ROUND(N84*$D$5/12,2))</f>
      </c>
      <c r="E85" s="29">
        <f>IF(O84&lt;=0,0,ROUND(O84*$E$5/12,2))</f>
      </c>
      <c r="F85" s="29">
        <f>IF(P84&lt;=0,0,ROUND(P84*$F$5/12,2))</f>
      </c>
      <c r="G85" s="29">
        <f>IF(Q84&lt;=0,0,ROUND(Q84*$G$5/12,2))</f>
      </c>
      <c r="H85" s="29">
        <f>IF(M84&lt;=0,0,MIN(M84+C85,$C$6+V85*$U85))</f>
      </c>
      <c r="I85" s="29">
        <f>IF(N84&lt;=0,0,MIN(N84+D85,$D$6+W85*$U85))</f>
      </c>
      <c r="J85" s="29">
        <f>IF(O84&lt;=0,0,MIN(O84+E85,$E$6+X85*$U85))</f>
      </c>
      <c r="K85" s="29">
        <f>IF(P84&lt;=0,0,MIN(P84+F85,$F$6+Y85*$U85))</f>
      </c>
      <c r="L85" s="29">
        <f>IF(Q84&lt;=0,0,MIN(Q84+G85,$G$6+Z85*$U85))</f>
      </c>
      <c r="M85" s="29">
        <f>ROUND(M84+C85-H85,2)</f>
      </c>
      <c r="N85" s="29">
        <f>ROUND(N84+D85-I85,2)</f>
      </c>
      <c r="O85" s="29">
        <f>ROUND(O84+E85-J85,2)</f>
      </c>
      <c r="P85" s="29">
        <f>ROUND(P84+F85-K85,2)</f>
      </c>
      <c r="Q85" s="29">
        <f>ROUND(Q84+G85-L85,2)</f>
      </c>
      <c r="R85" s="29">
        <f>SUM(H85:L85)</f>
      </c>
      <c r="S85" s="29">
        <f>SUM(C85:G85)</f>
      </c>
      <c r="T85" s="29">
        <f>SUM(M85:Q85)</f>
      </c>
      <c r="U85" s="30">
        <f>Debts!$B$13+SUMPRODUCT(($M84:$Q84&lt;=0)*$C$6:$G$6)</f>
      </c>
      <c r="V85" s="31">
        <f>IF(AND(M84&gt;0,SUMPRODUCT(($C$7:$G$7&lt;$C$7)*($M84:$Q84&gt;0))=0),1,0)</f>
      </c>
      <c r="W85" s="31">
        <f>IF(AND(N84&gt;0,SUMPRODUCT(($C$7:$G$7&lt;$D$7)*($M84:$Q84&gt;0))=0),1,0)</f>
      </c>
      <c r="X85" s="31">
        <f>IF(AND(O84&gt;0,SUMPRODUCT(($C$7:$G$7&lt;$E$7)*($M84:$Q84&gt;0))=0),1,0)</f>
      </c>
      <c r="Y85" s="31">
        <f>IF(AND(P84&gt;0,SUMPRODUCT(($C$7:$G$7&lt;$F$7)*($M84:$Q84&gt;0))=0),1,0)</f>
      </c>
      <c r="Z85" s="31">
        <f>IF(AND(Q84&gt;0,SUMPRODUCT(($C$7:$G$7&lt;$G$7)*($M84:$Q84&gt;0))=0),1,0)</f>
      </c>
    </row>
    <row r="86" spans="1:26" x14ac:dyDescent="0.25">
      <c r="A86" s="11">
        <f>A85+1</f>
      </c>
      <c r="B86" s="24">
        <f>EDATE(Debts!$B$14,A86)</f>
      </c>
      <c r="C86" s="25">
        <f>IF(M85&lt;=0,0,ROUND(M85*$C$5/12,2))</f>
      </c>
      <c r="D86" s="25">
        <f>IF(N85&lt;=0,0,ROUND(N85*$D$5/12,2))</f>
      </c>
      <c r="E86" s="25">
        <f>IF(O85&lt;=0,0,ROUND(O85*$E$5/12,2))</f>
      </c>
      <c r="F86" s="25">
        <f>IF(P85&lt;=0,0,ROUND(P85*$F$5/12,2))</f>
      </c>
      <c r="G86" s="25">
        <f>IF(Q85&lt;=0,0,ROUND(Q85*$G$5/12,2))</f>
      </c>
      <c r="H86" s="25">
        <f>IF(M85&lt;=0,0,MIN(M85+C86,$C$6+V86*$U86))</f>
      </c>
      <c r="I86" s="25">
        <f>IF(N85&lt;=0,0,MIN(N85+D86,$D$6+W86*$U86))</f>
      </c>
      <c r="J86" s="25">
        <f>IF(O85&lt;=0,0,MIN(O85+E86,$E$6+X86*$U86))</f>
      </c>
      <c r="K86" s="25">
        <f>IF(P85&lt;=0,0,MIN(P85+F86,$F$6+Y86*$U86))</f>
      </c>
      <c r="L86" s="25">
        <f>IF(Q85&lt;=0,0,MIN(Q85+G86,$G$6+Z86*$U86))</f>
      </c>
      <c r="M86" s="25">
        <f>ROUND(M85+C86-H86,2)</f>
      </c>
      <c r="N86" s="25">
        <f>ROUND(N85+D86-I86,2)</f>
      </c>
      <c r="O86" s="25">
        <f>ROUND(O85+E86-J86,2)</f>
      </c>
      <c r="P86" s="25">
        <f>ROUND(P85+F86-K86,2)</f>
      </c>
      <c r="Q86" s="25">
        <f>ROUND(Q85+G86-L86,2)</f>
      </c>
      <c r="R86" s="25">
        <f>SUM(H86:L86)</f>
      </c>
      <c r="S86" s="25">
        <f>SUM(C86:G86)</f>
      </c>
      <c r="T86" s="25">
        <f>SUM(M86:Q86)</f>
      </c>
      <c r="U86" s="26">
        <f>Debts!$B$13+SUMPRODUCT(($M85:$Q85&lt;=0)*$C$6:$G$6)</f>
      </c>
      <c r="V86" s="27">
        <f>IF(AND(M85&gt;0,SUMPRODUCT(($C$7:$G$7&lt;$C$7)*($M85:$Q85&gt;0))=0),1,0)</f>
      </c>
      <c r="W86" s="27">
        <f>IF(AND(N85&gt;0,SUMPRODUCT(($C$7:$G$7&lt;$D$7)*($M85:$Q85&gt;0))=0),1,0)</f>
      </c>
      <c r="X86" s="27">
        <f>IF(AND(O85&gt;0,SUMPRODUCT(($C$7:$G$7&lt;$E$7)*($M85:$Q85&gt;0))=0),1,0)</f>
      </c>
      <c r="Y86" s="27">
        <f>IF(AND(P85&gt;0,SUMPRODUCT(($C$7:$G$7&lt;$F$7)*($M85:$Q85&gt;0))=0),1,0)</f>
      </c>
      <c r="Z86" s="27">
        <f>IF(AND(Q85&gt;0,SUMPRODUCT(($C$7:$G$7&lt;$G$7)*($M85:$Q85&gt;0))=0),1,0)</f>
      </c>
    </row>
    <row r="87" spans="1:26" x14ac:dyDescent="0.25">
      <c r="A87" s="12">
        <f>A86+1</f>
      </c>
      <c r="B87" s="28">
        <f>EDATE(Debts!$B$14,A87)</f>
      </c>
      <c r="C87" s="29">
        <f>IF(M86&lt;=0,0,ROUND(M86*$C$5/12,2))</f>
      </c>
      <c r="D87" s="29">
        <f>IF(N86&lt;=0,0,ROUND(N86*$D$5/12,2))</f>
      </c>
      <c r="E87" s="29">
        <f>IF(O86&lt;=0,0,ROUND(O86*$E$5/12,2))</f>
      </c>
      <c r="F87" s="29">
        <f>IF(P86&lt;=0,0,ROUND(P86*$F$5/12,2))</f>
      </c>
      <c r="G87" s="29">
        <f>IF(Q86&lt;=0,0,ROUND(Q86*$G$5/12,2))</f>
      </c>
      <c r="H87" s="29">
        <f>IF(M86&lt;=0,0,MIN(M86+C87,$C$6+V87*$U87))</f>
      </c>
      <c r="I87" s="29">
        <f>IF(N86&lt;=0,0,MIN(N86+D87,$D$6+W87*$U87))</f>
      </c>
      <c r="J87" s="29">
        <f>IF(O86&lt;=0,0,MIN(O86+E87,$E$6+X87*$U87))</f>
      </c>
      <c r="K87" s="29">
        <f>IF(P86&lt;=0,0,MIN(P86+F87,$F$6+Y87*$U87))</f>
      </c>
      <c r="L87" s="29">
        <f>IF(Q86&lt;=0,0,MIN(Q86+G87,$G$6+Z87*$U87))</f>
      </c>
      <c r="M87" s="29">
        <f>ROUND(M86+C87-H87,2)</f>
      </c>
      <c r="N87" s="29">
        <f>ROUND(N86+D87-I87,2)</f>
      </c>
      <c r="O87" s="29">
        <f>ROUND(O86+E87-J87,2)</f>
      </c>
      <c r="P87" s="29">
        <f>ROUND(P86+F87-K87,2)</f>
      </c>
      <c r="Q87" s="29">
        <f>ROUND(Q86+G87-L87,2)</f>
      </c>
      <c r="R87" s="29">
        <f>SUM(H87:L87)</f>
      </c>
      <c r="S87" s="29">
        <f>SUM(C87:G87)</f>
      </c>
      <c r="T87" s="29">
        <f>SUM(M87:Q87)</f>
      </c>
      <c r="U87" s="30">
        <f>Debts!$B$13+SUMPRODUCT(($M86:$Q86&lt;=0)*$C$6:$G$6)</f>
      </c>
      <c r="V87" s="31">
        <f>IF(AND(M86&gt;0,SUMPRODUCT(($C$7:$G$7&lt;$C$7)*($M86:$Q86&gt;0))=0),1,0)</f>
      </c>
      <c r="W87" s="31">
        <f>IF(AND(N86&gt;0,SUMPRODUCT(($C$7:$G$7&lt;$D$7)*($M86:$Q86&gt;0))=0),1,0)</f>
      </c>
      <c r="X87" s="31">
        <f>IF(AND(O86&gt;0,SUMPRODUCT(($C$7:$G$7&lt;$E$7)*($M86:$Q86&gt;0))=0),1,0)</f>
      </c>
      <c r="Y87" s="31">
        <f>IF(AND(P86&gt;0,SUMPRODUCT(($C$7:$G$7&lt;$F$7)*($M86:$Q86&gt;0))=0),1,0)</f>
      </c>
      <c r="Z87" s="31">
        <f>IF(AND(Q86&gt;0,SUMPRODUCT(($C$7:$G$7&lt;$G$7)*($M86:$Q86&gt;0))=0),1,0)</f>
      </c>
    </row>
    <row r="88" spans="1:26" x14ac:dyDescent="0.25">
      <c r="A88" s="11">
        <f>A87+1</f>
      </c>
      <c r="B88" s="24">
        <f>EDATE(Debts!$B$14,A88)</f>
      </c>
      <c r="C88" s="25">
        <f>IF(M87&lt;=0,0,ROUND(M87*$C$5/12,2))</f>
      </c>
      <c r="D88" s="25">
        <f>IF(N87&lt;=0,0,ROUND(N87*$D$5/12,2))</f>
      </c>
      <c r="E88" s="25">
        <f>IF(O87&lt;=0,0,ROUND(O87*$E$5/12,2))</f>
      </c>
      <c r="F88" s="25">
        <f>IF(P87&lt;=0,0,ROUND(P87*$F$5/12,2))</f>
      </c>
      <c r="G88" s="25">
        <f>IF(Q87&lt;=0,0,ROUND(Q87*$G$5/12,2))</f>
      </c>
      <c r="H88" s="25">
        <f>IF(M87&lt;=0,0,MIN(M87+C88,$C$6+V88*$U88))</f>
      </c>
      <c r="I88" s="25">
        <f>IF(N87&lt;=0,0,MIN(N87+D88,$D$6+W88*$U88))</f>
      </c>
      <c r="J88" s="25">
        <f>IF(O87&lt;=0,0,MIN(O87+E88,$E$6+X88*$U88))</f>
      </c>
      <c r="K88" s="25">
        <f>IF(P87&lt;=0,0,MIN(P87+F88,$F$6+Y88*$U88))</f>
      </c>
      <c r="L88" s="25">
        <f>IF(Q87&lt;=0,0,MIN(Q87+G88,$G$6+Z88*$U88))</f>
      </c>
      <c r="M88" s="25">
        <f>ROUND(M87+C88-H88,2)</f>
      </c>
      <c r="N88" s="25">
        <f>ROUND(N87+D88-I88,2)</f>
      </c>
      <c r="O88" s="25">
        <f>ROUND(O87+E88-J88,2)</f>
      </c>
      <c r="P88" s="25">
        <f>ROUND(P87+F88-K88,2)</f>
      </c>
      <c r="Q88" s="25">
        <f>ROUND(Q87+G88-L88,2)</f>
      </c>
      <c r="R88" s="25">
        <f>SUM(H88:L88)</f>
      </c>
      <c r="S88" s="25">
        <f>SUM(C88:G88)</f>
      </c>
      <c r="T88" s="25">
        <f>SUM(M88:Q88)</f>
      </c>
      <c r="U88" s="26">
        <f>Debts!$B$13+SUMPRODUCT(($M87:$Q87&lt;=0)*$C$6:$G$6)</f>
      </c>
      <c r="V88" s="27">
        <f>IF(AND(M87&gt;0,SUMPRODUCT(($C$7:$G$7&lt;$C$7)*($M87:$Q87&gt;0))=0),1,0)</f>
      </c>
      <c r="W88" s="27">
        <f>IF(AND(N87&gt;0,SUMPRODUCT(($C$7:$G$7&lt;$D$7)*($M87:$Q87&gt;0))=0),1,0)</f>
      </c>
      <c r="X88" s="27">
        <f>IF(AND(O87&gt;0,SUMPRODUCT(($C$7:$G$7&lt;$E$7)*($M87:$Q87&gt;0))=0),1,0)</f>
      </c>
      <c r="Y88" s="27">
        <f>IF(AND(P87&gt;0,SUMPRODUCT(($C$7:$G$7&lt;$F$7)*($M87:$Q87&gt;0))=0),1,0)</f>
      </c>
      <c r="Z88" s="27">
        <f>IF(AND(Q87&gt;0,SUMPRODUCT(($C$7:$G$7&lt;$G$7)*($M87:$Q87&gt;0))=0),1,0)</f>
      </c>
    </row>
    <row r="89" spans="1:26" x14ac:dyDescent="0.25">
      <c r="A89" s="12">
        <f>A88+1</f>
      </c>
      <c r="B89" s="28">
        <f>EDATE(Debts!$B$14,A89)</f>
      </c>
      <c r="C89" s="29">
        <f>IF(M88&lt;=0,0,ROUND(M88*$C$5/12,2))</f>
      </c>
      <c r="D89" s="29">
        <f>IF(N88&lt;=0,0,ROUND(N88*$D$5/12,2))</f>
      </c>
      <c r="E89" s="29">
        <f>IF(O88&lt;=0,0,ROUND(O88*$E$5/12,2))</f>
      </c>
      <c r="F89" s="29">
        <f>IF(P88&lt;=0,0,ROUND(P88*$F$5/12,2))</f>
      </c>
      <c r="G89" s="29">
        <f>IF(Q88&lt;=0,0,ROUND(Q88*$G$5/12,2))</f>
      </c>
      <c r="H89" s="29">
        <f>IF(M88&lt;=0,0,MIN(M88+C89,$C$6+V89*$U89))</f>
      </c>
      <c r="I89" s="29">
        <f>IF(N88&lt;=0,0,MIN(N88+D89,$D$6+W89*$U89))</f>
      </c>
      <c r="J89" s="29">
        <f>IF(O88&lt;=0,0,MIN(O88+E89,$E$6+X89*$U89))</f>
      </c>
      <c r="K89" s="29">
        <f>IF(P88&lt;=0,0,MIN(P88+F89,$F$6+Y89*$U89))</f>
      </c>
      <c r="L89" s="29">
        <f>IF(Q88&lt;=0,0,MIN(Q88+G89,$G$6+Z89*$U89))</f>
      </c>
      <c r="M89" s="29">
        <f>ROUND(M88+C89-H89,2)</f>
      </c>
      <c r="N89" s="29">
        <f>ROUND(N88+D89-I89,2)</f>
      </c>
      <c r="O89" s="29">
        <f>ROUND(O88+E89-J89,2)</f>
      </c>
      <c r="P89" s="29">
        <f>ROUND(P88+F89-K89,2)</f>
      </c>
      <c r="Q89" s="29">
        <f>ROUND(Q88+G89-L89,2)</f>
      </c>
      <c r="R89" s="29">
        <f>SUM(H89:L89)</f>
      </c>
      <c r="S89" s="29">
        <f>SUM(C89:G89)</f>
      </c>
      <c r="T89" s="29">
        <f>SUM(M89:Q89)</f>
      </c>
      <c r="U89" s="30">
        <f>Debts!$B$13+SUMPRODUCT(($M88:$Q88&lt;=0)*$C$6:$G$6)</f>
      </c>
      <c r="V89" s="31">
        <f>IF(AND(M88&gt;0,SUMPRODUCT(($C$7:$G$7&lt;$C$7)*($M88:$Q88&gt;0))=0),1,0)</f>
      </c>
      <c r="W89" s="31">
        <f>IF(AND(N88&gt;0,SUMPRODUCT(($C$7:$G$7&lt;$D$7)*($M88:$Q88&gt;0))=0),1,0)</f>
      </c>
      <c r="X89" s="31">
        <f>IF(AND(O88&gt;0,SUMPRODUCT(($C$7:$G$7&lt;$E$7)*($M88:$Q88&gt;0))=0),1,0)</f>
      </c>
      <c r="Y89" s="31">
        <f>IF(AND(P88&gt;0,SUMPRODUCT(($C$7:$G$7&lt;$F$7)*($M88:$Q88&gt;0))=0),1,0)</f>
      </c>
      <c r="Z89" s="31">
        <f>IF(AND(Q88&gt;0,SUMPRODUCT(($C$7:$G$7&lt;$G$7)*($M88:$Q88&gt;0))=0),1,0)</f>
      </c>
    </row>
    <row r="90" spans="1:26" x14ac:dyDescent="0.25">
      <c r="A90" s="11">
        <f>A89+1</f>
      </c>
      <c r="B90" s="24">
        <f>EDATE(Debts!$B$14,A90)</f>
      </c>
      <c r="C90" s="25">
        <f>IF(M89&lt;=0,0,ROUND(M89*$C$5/12,2))</f>
      </c>
      <c r="D90" s="25">
        <f>IF(N89&lt;=0,0,ROUND(N89*$D$5/12,2))</f>
      </c>
      <c r="E90" s="25">
        <f>IF(O89&lt;=0,0,ROUND(O89*$E$5/12,2))</f>
      </c>
      <c r="F90" s="25">
        <f>IF(P89&lt;=0,0,ROUND(P89*$F$5/12,2))</f>
      </c>
      <c r="G90" s="25">
        <f>IF(Q89&lt;=0,0,ROUND(Q89*$G$5/12,2))</f>
      </c>
      <c r="H90" s="25">
        <f>IF(M89&lt;=0,0,MIN(M89+C90,$C$6+V90*$U90))</f>
      </c>
      <c r="I90" s="25">
        <f>IF(N89&lt;=0,0,MIN(N89+D90,$D$6+W90*$U90))</f>
      </c>
      <c r="J90" s="25">
        <f>IF(O89&lt;=0,0,MIN(O89+E90,$E$6+X90*$U90))</f>
      </c>
      <c r="K90" s="25">
        <f>IF(P89&lt;=0,0,MIN(P89+F90,$F$6+Y90*$U90))</f>
      </c>
      <c r="L90" s="25">
        <f>IF(Q89&lt;=0,0,MIN(Q89+G90,$G$6+Z90*$U90))</f>
      </c>
      <c r="M90" s="25">
        <f>ROUND(M89+C90-H90,2)</f>
      </c>
      <c r="N90" s="25">
        <f>ROUND(N89+D90-I90,2)</f>
      </c>
      <c r="O90" s="25">
        <f>ROUND(O89+E90-J90,2)</f>
      </c>
      <c r="P90" s="25">
        <f>ROUND(P89+F90-K90,2)</f>
      </c>
      <c r="Q90" s="25">
        <f>ROUND(Q89+G90-L90,2)</f>
      </c>
      <c r="R90" s="25">
        <f>SUM(H90:L90)</f>
      </c>
      <c r="S90" s="25">
        <f>SUM(C90:G90)</f>
      </c>
      <c r="T90" s="25">
        <f>SUM(M90:Q90)</f>
      </c>
      <c r="U90" s="26">
        <f>Debts!$B$13+SUMPRODUCT(($M89:$Q89&lt;=0)*$C$6:$G$6)</f>
      </c>
      <c r="V90" s="27">
        <f>IF(AND(M89&gt;0,SUMPRODUCT(($C$7:$G$7&lt;$C$7)*($M89:$Q89&gt;0))=0),1,0)</f>
      </c>
      <c r="W90" s="27">
        <f>IF(AND(N89&gt;0,SUMPRODUCT(($C$7:$G$7&lt;$D$7)*($M89:$Q89&gt;0))=0),1,0)</f>
      </c>
      <c r="X90" s="27">
        <f>IF(AND(O89&gt;0,SUMPRODUCT(($C$7:$G$7&lt;$E$7)*($M89:$Q89&gt;0))=0),1,0)</f>
      </c>
      <c r="Y90" s="27">
        <f>IF(AND(P89&gt;0,SUMPRODUCT(($C$7:$G$7&lt;$F$7)*($M89:$Q89&gt;0))=0),1,0)</f>
      </c>
      <c r="Z90" s="27">
        <f>IF(AND(Q89&gt;0,SUMPRODUCT(($C$7:$G$7&lt;$G$7)*($M89:$Q89&gt;0))=0),1,0)</f>
      </c>
    </row>
    <row r="91" spans="1:26" x14ac:dyDescent="0.25">
      <c r="A91" s="12">
        <f>A90+1</f>
      </c>
      <c r="B91" s="28">
        <f>EDATE(Debts!$B$14,A91)</f>
      </c>
      <c r="C91" s="29">
        <f>IF(M90&lt;=0,0,ROUND(M90*$C$5/12,2))</f>
      </c>
      <c r="D91" s="29">
        <f>IF(N90&lt;=0,0,ROUND(N90*$D$5/12,2))</f>
      </c>
      <c r="E91" s="29">
        <f>IF(O90&lt;=0,0,ROUND(O90*$E$5/12,2))</f>
      </c>
      <c r="F91" s="29">
        <f>IF(P90&lt;=0,0,ROUND(P90*$F$5/12,2))</f>
      </c>
      <c r="G91" s="29">
        <f>IF(Q90&lt;=0,0,ROUND(Q90*$G$5/12,2))</f>
      </c>
      <c r="H91" s="29">
        <f>IF(M90&lt;=0,0,MIN(M90+C91,$C$6+V91*$U91))</f>
      </c>
      <c r="I91" s="29">
        <f>IF(N90&lt;=0,0,MIN(N90+D91,$D$6+W91*$U91))</f>
      </c>
      <c r="J91" s="29">
        <f>IF(O90&lt;=0,0,MIN(O90+E91,$E$6+X91*$U91))</f>
      </c>
      <c r="K91" s="29">
        <f>IF(P90&lt;=0,0,MIN(P90+F91,$F$6+Y91*$U91))</f>
      </c>
      <c r="L91" s="29">
        <f>IF(Q90&lt;=0,0,MIN(Q90+G91,$G$6+Z91*$U91))</f>
      </c>
      <c r="M91" s="29">
        <f>ROUND(M90+C91-H91,2)</f>
      </c>
      <c r="N91" s="29">
        <f>ROUND(N90+D91-I91,2)</f>
      </c>
      <c r="O91" s="29">
        <f>ROUND(O90+E91-J91,2)</f>
      </c>
      <c r="P91" s="29">
        <f>ROUND(P90+F91-K91,2)</f>
      </c>
      <c r="Q91" s="29">
        <f>ROUND(Q90+G91-L91,2)</f>
      </c>
      <c r="R91" s="29">
        <f>SUM(H91:L91)</f>
      </c>
      <c r="S91" s="29">
        <f>SUM(C91:G91)</f>
      </c>
      <c r="T91" s="29">
        <f>SUM(M91:Q91)</f>
      </c>
      <c r="U91" s="30">
        <f>Debts!$B$13+SUMPRODUCT(($M90:$Q90&lt;=0)*$C$6:$G$6)</f>
      </c>
      <c r="V91" s="31">
        <f>IF(AND(M90&gt;0,SUMPRODUCT(($C$7:$G$7&lt;$C$7)*($M90:$Q90&gt;0))=0),1,0)</f>
      </c>
      <c r="W91" s="31">
        <f>IF(AND(N90&gt;0,SUMPRODUCT(($C$7:$G$7&lt;$D$7)*($M90:$Q90&gt;0))=0),1,0)</f>
      </c>
      <c r="X91" s="31">
        <f>IF(AND(O90&gt;0,SUMPRODUCT(($C$7:$G$7&lt;$E$7)*($M90:$Q90&gt;0))=0),1,0)</f>
      </c>
      <c r="Y91" s="31">
        <f>IF(AND(P90&gt;0,SUMPRODUCT(($C$7:$G$7&lt;$F$7)*($M90:$Q90&gt;0))=0),1,0)</f>
      </c>
      <c r="Z91" s="31">
        <f>IF(AND(Q90&gt;0,SUMPRODUCT(($C$7:$G$7&lt;$G$7)*($M90:$Q90&gt;0))=0),1,0)</f>
      </c>
    </row>
    <row r="92" spans="1:26" x14ac:dyDescent="0.25">
      <c r="A92" s="11">
        <f>A91+1</f>
      </c>
      <c r="B92" s="24">
        <f>EDATE(Debts!$B$14,A92)</f>
      </c>
      <c r="C92" s="25">
        <f>IF(M91&lt;=0,0,ROUND(M91*$C$5/12,2))</f>
      </c>
      <c r="D92" s="25">
        <f>IF(N91&lt;=0,0,ROUND(N91*$D$5/12,2))</f>
      </c>
      <c r="E92" s="25">
        <f>IF(O91&lt;=0,0,ROUND(O91*$E$5/12,2))</f>
      </c>
      <c r="F92" s="25">
        <f>IF(P91&lt;=0,0,ROUND(P91*$F$5/12,2))</f>
      </c>
      <c r="G92" s="25">
        <f>IF(Q91&lt;=0,0,ROUND(Q91*$G$5/12,2))</f>
      </c>
      <c r="H92" s="25">
        <f>IF(M91&lt;=0,0,MIN(M91+C92,$C$6+V92*$U92))</f>
      </c>
      <c r="I92" s="25">
        <f>IF(N91&lt;=0,0,MIN(N91+D92,$D$6+W92*$U92))</f>
      </c>
      <c r="J92" s="25">
        <f>IF(O91&lt;=0,0,MIN(O91+E92,$E$6+X92*$U92))</f>
      </c>
      <c r="K92" s="25">
        <f>IF(P91&lt;=0,0,MIN(P91+F92,$F$6+Y92*$U92))</f>
      </c>
      <c r="L92" s="25">
        <f>IF(Q91&lt;=0,0,MIN(Q91+G92,$G$6+Z92*$U92))</f>
      </c>
      <c r="M92" s="25">
        <f>ROUND(M91+C92-H92,2)</f>
      </c>
      <c r="N92" s="25">
        <f>ROUND(N91+D92-I92,2)</f>
      </c>
      <c r="O92" s="25">
        <f>ROUND(O91+E92-J92,2)</f>
      </c>
      <c r="P92" s="25">
        <f>ROUND(P91+F92-K92,2)</f>
      </c>
      <c r="Q92" s="25">
        <f>ROUND(Q91+G92-L92,2)</f>
      </c>
      <c r="R92" s="25">
        <f>SUM(H92:L92)</f>
      </c>
      <c r="S92" s="25">
        <f>SUM(C92:G92)</f>
      </c>
      <c r="T92" s="25">
        <f>SUM(M92:Q92)</f>
      </c>
      <c r="U92" s="26">
        <f>Debts!$B$13+SUMPRODUCT(($M91:$Q91&lt;=0)*$C$6:$G$6)</f>
      </c>
      <c r="V92" s="27">
        <f>IF(AND(M91&gt;0,SUMPRODUCT(($C$7:$G$7&lt;$C$7)*($M91:$Q91&gt;0))=0),1,0)</f>
      </c>
      <c r="W92" s="27">
        <f>IF(AND(N91&gt;0,SUMPRODUCT(($C$7:$G$7&lt;$D$7)*($M91:$Q91&gt;0))=0),1,0)</f>
      </c>
      <c r="X92" s="27">
        <f>IF(AND(O91&gt;0,SUMPRODUCT(($C$7:$G$7&lt;$E$7)*($M91:$Q91&gt;0))=0),1,0)</f>
      </c>
      <c r="Y92" s="27">
        <f>IF(AND(P91&gt;0,SUMPRODUCT(($C$7:$G$7&lt;$F$7)*($M91:$Q91&gt;0))=0),1,0)</f>
      </c>
      <c r="Z92" s="27">
        <f>IF(AND(Q91&gt;0,SUMPRODUCT(($C$7:$G$7&lt;$G$7)*($M91:$Q91&gt;0))=0),1,0)</f>
      </c>
    </row>
    <row r="93" spans="1:26" x14ac:dyDescent="0.25">
      <c r="A93" s="12">
        <f>A92+1</f>
      </c>
      <c r="B93" s="28">
        <f>EDATE(Debts!$B$14,A93)</f>
      </c>
      <c r="C93" s="29">
        <f>IF(M92&lt;=0,0,ROUND(M92*$C$5/12,2))</f>
      </c>
      <c r="D93" s="29">
        <f>IF(N92&lt;=0,0,ROUND(N92*$D$5/12,2))</f>
      </c>
      <c r="E93" s="29">
        <f>IF(O92&lt;=0,0,ROUND(O92*$E$5/12,2))</f>
      </c>
      <c r="F93" s="29">
        <f>IF(P92&lt;=0,0,ROUND(P92*$F$5/12,2))</f>
      </c>
      <c r="G93" s="29">
        <f>IF(Q92&lt;=0,0,ROUND(Q92*$G$5/12,2))</f>
      </c>
      <c r="H93" s="29">
        <f>IF(M92&lt;=0,0,MIN(M92+C93,$C$6+V93*$U93))</f>
      </c>
      <c r="I93" s="29">
        <f>IF(N92&lt;=0,0,MIN(N92+D93,$D$6+W93*$U93))</f>
      </c>
      <c r="J93" s="29">
        <f>IF(O92&lt;=0,0,MIN(O92+E93,$E$6+X93*$U93))</f>
      </c>
      <c r="K93" s="29">
        <f>IF(P92&lt;=0,0,MIN(P92+F93,$F$6+Y93*$U93))</f>
      </c>
      <c r="L93" s="29">
        <f>IF(Q92&lt;=0,0,MIN(Q92+G93,$G$6+Z93*$U93))</f>
      </c>
      <c r="M93" s="29">
        <f>ROUND(M92+C93-H93,2)</f>
      </c>
      <c r="N93" s="29">
        <f>ROUND(N92+D93-I93,2)</f>
      </c>
      <c r="O93" s="29">
        <f>ROUND(O92+E93-J93,2)</f>
      </c>
      <c r="P93" s="29">
        <f>ROUND(P92+F93-K93,2)</f>
      </c>
      <c r="Q93" s="29">
        <f>ROUND(Q92+G93-L93,2)</f>
      </c>
      <c r="R93" s="29">
        <f>SUM(H93:L93)</f>
      </c>
      <c r="S93" s="29">
        <f>SUM(C93:G93)</f>
      </c>
      <c r="T93" s="29">
        <f>SUM(M93:Q93)</f>
      </c>
      <c r="U93" s="30">
        <f>Debts!$B$13+SUMPRODUCT(($M92:$Q92&lt;=0)*$C$6:$G$6)</f>
      </c>
      <c r="V93" s="31">
        <f>IF(AND(M92&gt;0,SUMPRODUCT(($C$7:$G$7&lt;$C$7)*($M92:$Q92&gt;0))=0),1,0)</f>
      </c>
      <c r="W93" s="31">
        <f>IF(AND(N92&gt;0,SUMPRODUCT(($C$7:$G$7&lt;$D$7)*($M92:$Q92&gt;0))=0),1,0)</f>
      </c>
      <c r="X93" s="31">
        <f>IF(AND(O92&gt;0,SUMPRODUCT(($C$7:$G$7&lt;$E$7)*($M92:$Q92&gt;0))=0),1,0)</f>
      </c>
      <c r="Y93" s="31">
        <f>IF(AND(P92&gt;0,SUMPRODUCT(($C$7:$G$7&lt;$F$7)*($M92:$Q92&gt;0))=0),1,0)</f>
      </c>
      <c r="Z93" s="31">
        <f>IF(AND(Q92&gt;0,SUMPRODUCT(($C$7:$G$7&lt;$G$7)*($M92:$Q92&gt;0))=0),1,0)</f>
      </c>
    </row>
    <row r="94" spans="1:26" x14ac:dyDescent="0.25">
      <c r="A94" s="11">
        <f>A93+1</f>
      </c>
      <c r="B94" s="24">
        <f>EDATE(Debts!$B$14,A94)</f>
      </c>
      <c r="C94" s="25">
        <f>IF(M93&lt;=0,0,ROUND(M93*$C$5/12,2))</f>
      </c>
      <c r="D94" s="25">
        <f>IF(N93&lt;=0,0,ROUND(N93*$D$5/12,2))</f>
      </c>
      <c r="E94" s="25">
        <f>IF(O93&lt;=0,0,ROUND(O93*$E$5/12,2))</f>
      </c>
      <c r="F94" s="25">
        <f>IF(P93&lt;=0,0,ROUND(P93*$F$5/12,2))</f>
      </c>
      <c r="G94" s="25">
        <f>IF(Q93&lt;=0,0,ROUND(Q93*$G$5/12,2))</f>
      </c>
      <c r="H94" s="25">
        <f>IF(M93&lt;=0,0,MIN(M93+C94,$C$6+V94*$U94))</f>
      </c>
      <c r="I94" s="25">
        <f>IF(N93&lt;=0,0,MIN(N93+D94,$D$6+W94*$U94))</f>
      </c>
      <c r="J94" s="25">
        <f>IF(O93&lt;=0,0,MIN(O93+E94,$E$6+X94*$U94))</f>
      </c>
      <c r="K94" s="25">
        <f>IF(P93&lt;=0,0,MIN(P93+F94,$F$6+Y94*$U94))</f>
      </c>
      <c r="L94" s="25">
        <f>IF(Q93&lt;=0,0,MIN(Q93+G94,$G$6+Z94*$U94))</f>
      </c>
      <c r="M94" s="25">
        <f>ROUND(M93+C94-H94,2)</f>
      </c>
      <c r="N94" s="25">
        <f>ROUND(N93+D94-I94,2)</f>
      </c>
      <c r="O94" s="25">
        <f>ROUND(O93+E94-J94,2)</f>
      </c>
      <c r="P94" s="25">
        <f>ROUND(P93+F94-K94,2)</f>
      </c>
      <c r="Q94" s="25">
        <f>ROUND(Q93+G94-L94,2)</f>
      </c>
      <c r="R94" s="25">
        <f>SUM(H94:L94)</f>
      </c>
      <c r="S94" s="25">
        <f>SUM(C94:G94)</f>
      </c>
      <c r="T94" s="25">
        <f>SUM(M94:Q94)</f>
      </c>
      <c r="U94" s="26">
        <f>Debts!$B$13+SUMPRODUCT(($M93:$Q93&lt;=0)*$C$6:$G$6)</f>
      </c>
      <c r="V94" s="27">
        <f>IF(AND(M93&gt;0,SUMPRODUCT(($C$7:$G$7&lt;$C$7)*($M93:$Q93&gt;0))=0),1,0)</f>
      </c>
      <c r="W94" s="27">
        <f>IF(AND(N93&gt;0,SUMPRODUCT(($C$7:$G$7&lt;$D$7)*($M93:$Q93&gt;0))=0),1,0)</f>
      </c>
      <c r="X94" s="27">
        <f>IF(AND(O93&gt;0,SUMPRODUCT(($C$7:$G$7&lt;$E$7)*($M93:$Q93&gt;0))=0),1,0)</f>
      </c>
      <c r="Y94" s="27">
        <f>IF(AND(P93&gt;0,SUMPRODUCT(($C$7:$G$7&lt;$F$7)*($M93:$Q93&gt;0))=0),1,0)</f>
      </c>
      <c r="Z94" s="27">
        <f>IF(AND(Q93&gt;0,SUMPRODUCT(($C$7:$G$7&lt;$G$7)*($M93:$Q93&gt;0))=0),1,0)</f>
      </c>
    </row>
    <row r="95" spans="1:26" x14ac:dyDescent="0.25">
      <c r="A95" s="12">
        <f>A94+1</f>
      </c>
      <c r="B95" s="28">
        <f>EDATE(Debts!$B$14,A95)</f>
      </c>
      <c r="C95" s="29">
        <f>IF(M94&lt;=0,0,ROUND(M94*$C$5/12,2))</f>
      </c>
      <c r="D95" s="29">
        <f>IF(N94&lt;=0,0,ROUND(N94*$D$5/12,2))</f>
      </c>
      <c r="E95" s="29">
        <f>IF(O94&lt;=0,0,ROUND(O94*$E$5/12,2))</f>
      </c>
      <c r="F95" s="29">
        <f>IF(P94&lt;=0,0,ROUND(P94*$F$5/12,2))</f>
      </c>
      <c r="G95" s="29">
        <f>IF(Q94&lt;=0,0,ROUND(Q94*$G$5/12,2))</f>
      </c>
      <c r="H95" s="29">
        <f>IF(M94&lt;=0,0,MIN(M94+C95,$C$6+V95*$U95))</f>
      </c>
      <c r="I95" s="29">
        <f>IF(N94&lt;=0,0,MIN(N94+D95,$D$6+W95*$U95))</f>
      </c>
      <c r="J95" s="29">
        <f>IF(O94&lt;=0,0,MIN(O94+E95,$E$6+X95*$U95))</f>
      </c>
      <c r="K95" s="29">
        <f>IF(P94&lt;=0,0,MIN(P94+F95,$F$6+Y95*$U95))</f>
      </c>
      <c r="L95" s="29">
        <f>IF(Q94&lt;=0,0,MIN(Q94+G95,$G$6+Z95*$U95))</f>
      </c>
      <c r="M95" s="29">
        <f>ROUND(M94+C95-H95,2)</f>
      </c>
      <c r="N95" s="29">
        <f>ROUND(N94+D95-I95,2)</f>
      </c>
      <c r="O95" s="29">
        <f>ROUND(O94+E95-J95,2)</f>
      </c>
      <c r="P95" s="29">
        <f>ROUND(P94+F95-K95,2)</f>
      </c>
      <c r="Q95" s="29">
        <f>ROUND(Q94+G95-L95,2)</f>
      </c>
      <c r="R95" s="29">
        <f>SUM(H95:L95)</f>
      </c>
      <c r="S95" s="29">
        <f>SUM(C95:G95)</f>
      </c>
      <c r="T95" s="29">
        <f>SUM(M95:Q95)</f>
      </c>
      <c r="U95" s="30">
        <f>Debts!$B$13+SUMPRODUCT(($M94:$Q94&lt;=0)*$C$6:$G$6)</f>
      </c>
      <c r="V95" s="31">
        <f>IF(AND(M94&gt;0,SUMPRODUCT(($C$7:$G$7&lt;$C$7)*($M94:$Q94&gt;0))=0),1,0)</f>
      </c>
      <c r="W95" s="31">
        <f>IF(AND(N94&gt;0,SUMPRODUCT(($C$7:$G$7&lt;$D$7)*($M94:$Q94&gt;0))=0),1,0)</f>
      </c>
      <c r="X95" s="31">
        <f>IF(AND(O94&gt;0,SUMPRODUCT(($C$7:$G$7&lt;$E$7)*($M94:$Q94&gt;0))=0),1,0)</f>
      </c>
      <c r="Y95" s="31">
        <f>IF(AND(P94&gt;0,SUMPRODUCT(($C$7:$G$7&lt;$F$7)*($M94:$Q94&gt;0))=0),1,0)</f>
      </c>
      <c r="Z95" s="31">
        <f>IF(AND(Q94&gt;0,SUMPRODUCT(($C$7:$G$7&lt;$G$7)*($M94:$Q94&gt;0))=0),1,0)</f>
      </c>
    </row>
    <row r="96" spans="1:26" x14ac:dyDescent="0.25">
      <c r="A96" s="11">
        <f>A95+1</f>
      </c>
      <c r="B96" s="24">
        <f>EDATE(Debts!$B$14,A96)</f>
      </c>
      <c r="C96" s="25">
        <f>IF(M95&lt;=0,0,ROUND(M95*$C$5/12,2))</f>
      </c>
      <c r="D96" s="25">
        <f>IF(N95&lt;=0,0,ROUND(N95*$D$5/12,2))</f>
      </c>
      <c r="E96" s="25">
        <f>IF(O95&lt;=0,0,ROUND(O95*$E$5/12,2))</f>
      </c>
      <c r="F96" s="25">
        <f>IF(P95&lt;=0,0,ROUND(P95*$F$5/12,2))</f>
      </c>
      <c r="G96" s="25">
        <f>IF(Q95&lt;=0,0,ROUND(Q95*$G$5/12,2))</f>
      </c>
      <c r="H96" s="25">
        <f>IF(M95&lt;=0,0,MIN(M95+C96,$C$6+V96*$U96))</f>
      </c>
      <c r="I96" s="25">
        <f>IF(N95&lt;=0,0,MIN(N95+D96,$D$6+W96*$U96))</f>
      </c>
      <c r="J96" s="25">
        <f>IF(O95&lt;=0,0,MIN(O95+E96,$E$6+X96*$U96))</f>
      </c>
      <c r="K96" s="25">
        <f>IF(P95&lt;=0,0,MIN(P95+F96,$F$6+Y96*$U96))</f>
      </c>
      <c r="L96" s="25">
        <f>IF(Q95&lt;=0,0,MIN(Q95+G96,$G$6+Z96*$U96))</f>
      </c>
      <c r="M96" s="25">
        <f>ROUND(M95+C96-H96,2)</f>
      </c>
      <c r="N96" s="25">
        <f>ROUND(N95+D96-I96,2)</f>
      </c>
      <c r="O96" s="25">
        <f>ROUND(O95+E96-J96,2)</f>
      </c>
      <c r="P96" s="25">
        <f>ROUND(P95+F96-K96,2)</f>
      </c>
      <c r="Q96" s="25">
        <f>ROUND(Q95+G96-L96,2)</f>
      </c>
      <c r="R96" s="25">
        <f>SUM(H96:L96)</f>
      </c>
      <c r="S96" s="25">
        <f>SUM(C96:G96)</f>
      </c>
      <c r="T96" s="25">
        <f>SUM(M96:Q96)</f>
      </c>
      <c r="U96" s="26">
        <f>Debts!$B$13+SUMPRODUCT(($M95:$Q95&lt;=0)*$C$6:$G$6)</f>
      </c>
      <c r="V96" s="27">
        <f>IF(AND(M95&gt;0,SUMPRODUCT(($C$7:$G$7&lt;$C$7)*($M95:$Q95&gt;0))=0),1,0)</f>
      </c>
      <c r="W96" s="27">
        <f>IF(AND(N95&gt;0,SUMPRODUCT(($C$7:$G$7&lt;$D$7)*($M95:$Q95&gt;0))=0),1,0)</f>
      </c>
      <c r="X96" s="27">
        <f>IF(AND(O95&gt;0,SUMPRODUCT(($C$7:$G$7&lt;$E$7)*($M95:$Q95&gt;0))=0),1,0)</f>
      </c>
      <c r="Y96" s="27">
        <f>IF(AND(P95&gt;0,SUMPRODUCT(($C$7:$G$7&lt;$F$7)*($M95:$Q95&gt;0))=0),1,0)</f>
      </c>
      <c r="Z96" s="27">
        <f>IF(AND(Q95&gt;0,SUMPRODUCT(($C$7:$G$7&lt;$G$7)*($M95:$Q95&gt;0))=0),1,0)</f>
      </c>
    </row>
    <row r="97" spans="1:26" x14ac:dyDescent="0.25">
      <c r="A97" s="12">
        <f>A96+1</f>
      </c>
      <c r="B97" s="28">
        <f>EDATE(Debts!$B$14,A97)</f>
      </c>
      <c r="C97" s="29">
        <f>IF(M96&lt;=0,0,ROUND(M96*$C$5/12,2))</f>
      </c>
      <c r="D97" s="29">
        <f>IF(N96&lt;=0,0,ROUND(N96*$D$5/12,2))</f>
      </c>
      <c r="E97" s="29">
        <f>IF(O96&lt;=0,0,ROUND(O96*$E$5/12,2))</f>
      </c>
      <c r="F97" s="29">
        <f>IF(P96&lt;=0,0,ROUND(P96*$F$5/12,2))</f>
      </c>
      <c r="G97" s="29">
        <f>IF(Q96&lt;=0,0,ROUND(Q96*$G$5/12,2))</f>
      </c>
      <c r="H97" s="29">
        <f>IF(M96&lt;=0,0,MIN(M96+C97,$C$6+V97*$U97))</f>
      </c>
      <c r="I97" s="29">
        <f>IF(N96&lt;=0,0,MIN(N96+D97,$D$6+W97*$U97))</f>
      </c>
      <c r="J97" s="29">
        <f>IF(O96&lt;=0,0,MIN(O96+E97,$E$6+X97*$U97))</f>
      </c>
      <c r="K97" s="29">
        <f>IF(P96&lt;=0,0,MIN(P96+F97,$F$6+Y97*$U97))</f>
      </c>
      <c r="L97" s="29">
        <f>IF(Q96&lt;=0,0,MIN(Q96+G97,$G$6+Z97*$U97))</f>
      </c>
      <c r="M97" s="29">
        <f>ROUND(M96+C97-H97,2)</f>
      </c>
      <c r="N97" s="29">
        <f>ROUND(N96+D97-I97,2)</f>
      </c>
      <c r="O97" s="29">
        <f>ROUND(O96+E97-J97,2)</f>
      </c>
      <c r="P97" s="29">
        <f>ROUND(P96+F97-K97,2)</f>
      </c>
      <c r="Q97" s="29">
        <f>ROUND(Q96+G97-L97,2)</f>
      </c>
      <c r="R97" s="29">
        <f>SUM(H97:L97)</f>
      </c>
      <c r="S97" s="29">
        <f>SUM(C97:G97)</f>
      </c>
      <c r="T97" s="29">
        <f>SUM(M97:Q97)</f>
      </c>
      <c r="U97" s="30">
        <f>Debts!$B$13+SUMPRODUCT(($M96:$Q96&lt;=0)*$C$6:$G$6)</f>
      </c>
      <c r="V97" s="31">
        <f>IF(AND(M96&gt;0,SUMPRODUCT(($C$7:$G$7&lt;$C$7)*($M96:$Q96&gt;0))=0),1,0)</f>
      </c>
      <c r="W97" s="31">
        <f>IF(AND(N96&gt;0,SUMPRODUCT(($C$7:$G$7&lt;$D$7)*($M96:$Q96&gt;0))=0),1,0)</f>
      </c>
      <c r="X97" s="31">
        <f>IF(AND(O96&gt;0,SUMPRODUCT(($C$7:$G$7&lt;$E$7)*($M96:$Q96&gt;0))=0),1,0)</f>
      </c>
      <c r="Y97" s="31">
        <f>IF(AND(P96&gt;0,SUMPRODUCT(($C$7:$G$7&lt;$F$7)*($M96:$Q96&gt;0))=0),1,0)</f>
      </c>
      <c r="Z97" s="31">
        <f>IF(AND(Q96&gt;0,SUMPRODUCT(($C$7:$G$7&lt;$G$7)*($M96:$Q96&gt;0))=0),1,0)</f>
      </c>
    </row>
    <row r="98" spans="1:26" x14ac:dyDescent="0.25">
      <c r="A98" s="11">
        <f>A97+1</f>
      </c>
      <c r="B98" s="24">
        <f>EDATE(Debts!$B$14,A98)</f>
      </c>
      <c r="C98" s="25">
        <f>IF(M97&lt;=0,0,ROUND(M97*$C$5/12,2))</f>
      </c>
      <c r="D98" s="25">
        <f>IF(N97&lt;=0,0,ROUND(N97*$D$5/12,2))</f>
      </c>
      <c r="E98" s="25">
        <f>IF(O97&lt;=0,0,ROUND(O97*$E$5/12,2))</f>
      </c>
      <c r="F98" s="25">
        <f>IF(P97&lt;=0,0,ROUND(P97*$F$5/12,2))</f>
      </c>
      <c r="G98" s="25">
        <f>IF(Q97&lt;=0,0,ROUND(Q97*$G$5/12,2))</f>
      </c>
      <c r="H98" s="25">
        <f>IF(M97&lt;=0,0,MIN(M97+C98,$C$6+V98*$U98))</f>
      </c>
      <c r="I98" s="25">
        <f>IF(N97&lt;=0,0,MIN(N97+D98,$D$6+W98*$U98))</f>
      </c>
      <c r="J98" s="25">
        <f>IF(O97&lt;=0,0,MIN(O97+E98,$E$6+X98*$U98))</f>
      </c>
      <c r="K98" s="25">
        <f>IF(P97&lt;=0,0,MIN(P97+F98,$F$6+Y98*$U98))</f>
      </c>
      <c r="L98" s="25">
        <f>IF(Q97&lt;=0,0,MIN(Q97+G98,$G$6+Z98*$U98))</f>
      </c>
      <c r="M98" s="25">
        <f>ROUND(M97+C98-H98,2)</f>
      </c>
      <c r="N98" s="25">
        <f>ROUND(N97+D98-I98,2)</f>
      </c>
      <c r="O98" s="25">
        <f>ROUND(O97+E98-J98,2)</f>
      </c>
      <c r="P98" s="25">
        <f>ROUND(P97+F98-K98,2)</f>
      </c>
      <c r="Q98" s="25">
        <f>ROUND(Q97+G98-L98,2)</f>
      </c>
      <c r="R98" s="25">
        <f>SUM(H98:L98)</f>
      </c>
      <c r="S98" s="25">
        <f>SUM(C98:G98)</f>
      </c>
      <c r="T98" s="25">
        <f>SUM(M98:Q98)</f>
      </c>
      <c r="U98" s="26">
        <f>Debts!$B$13+SUMPRODUCT(($M97:$Q97&lt;=0)*$C$6:$G$6)</f>
      </c>
      <c r="V98" s="27">
        <f>IF(AND(M97&gt;0,SUMPRODUCT(($C$7:$G$7&lt;$C$7)*($M97:$Q97&gt;0))=0),1,0)</f>
      </c>
      <c r="W98" s="27">
        <f>IF(AND(N97&gt;0,SUMPRODUCT(($C$7:$G$7&lt;$D$7)*($M97:$Q97&gt;0))=0),1,0)</f>
      </c>
      <c r="X98" s="27">
        <f>IF(AND(O97&gt;0,SUMPRODUCT(($C$7:$G$7&lt;$E$7)*($M97:$Q97&gt;0))=0),1,0)</f>
      </c>
      <c r="Y98" s="27">
        <f>IF(AND(P97&gt;0,SUMPRODUCT(($C$7:$G$7&lt;$F$7)*($M97:$Q97&gt;0))=0),1,0)</f>
      </c>
      <c r="Z98" s="27">
        <f>IF(AND(Q97&gt;0,SUMPRODUCT(($C$7:$G$7&lt;$G$7)*($M97:$Q97&gt;0))=0),1,0)</f>
      </c>
    </row>
    <row r="99" spans="1:26" x14ac:dyDescent="0.25">
      <c r="A99" s="12">
        <f>A98+1</f>
      </c>
      <c r="B99" s="28">
        <f>EDATE(Debts!$B$14,A99)</f>
      </c>
      <c r="C99" s="29">
        <f>IF(M98&lt;=0,0,ROUND(M98*$C$5/12,2))</f>
      </c>
      <c r="D99" s="29">
        <f>IF(N98&lt;=0,0,ROUND(N98*$D$5/12,2))</f>
      </c>
      <c r="E99" s="29">
        <f>IF(O98&lt;=0,0,ROUND(O98*$E$5/12,2))</f>
      </c>
      <c r="F99" s="29">
        <f>IF(P98&lt;=0,0,ROUND(P98*$F$5/12,2))</f>
      </c>
      <c r="G99" s="29">
        <f>IF(Q98&lt;=0,0,ROUND(Q98*$G$5/12,2))</f>
      </c>
      <c r="H99" s="29">
        <f>IF(M98&lt;=0,0,MIN(M98+C99,$C$6+V99*$U99))</f>
      </c>
      <c r="I99" s="29">
        <f>IF(N98&lt;=0,0,MIN(N98+D99,$D$6+W99*$U99))</f>
      </c>
      <c r="J99" s="29">
        <f>IF(O98&lt;=0,0,MIN(O98+E99,$E$6+X99*$U99))</f>
      </c>
      <c r="K99" s="29">
        <f>IF(P98&lt;=0,0,MIN(P98+F99,$F$6+Y99*$U99))</f>
      </c>
      <c r="L99" s="29">
        <f>IF(Q98&lt;=0,0,MIN(Q98+G99,$G$6+Z99*$U99))</f>
      </c>
      <c r="M99" s="29">
        <f>ROUND(M98+C99-H99,2)</f>
      </c>
      <c r="N99" s="29">
        <f>ROUND(N98+D99-I99,2)</f>
      </c>
      <c r="O99" s="29">
        <f>ROUND(O98+E99-J99,2)</f>
      </c>
      <c r="P99" s="29">
        <f>ROUND(P98+F99-K99,2)</f>
      </c>
      <c r="Q99" s="29">
        <f>ROUND(Q98+G99-L99,2)</f>
      </c>
      <c r="R99" s="29">
        <f>SUM(H99:L99)</f>
      </c>
      <c r="S99" s="29">
        <f>SUM(C99:G99)</f>
      </c>
      <c r="T99" s="29">
        <f>SUM(M99:Q99)</f>
      </c>
      <c r="U99" s="30">
        <f>Debts!$B$13+SUMPRODUCT(($M98:$Q98&lt;=0)*$C$6:$G$6)</f>
      </c>
      <c r="V99" s="31">
        <f>IF(AND(M98&gt;0,SUMPRODUCT(($C$7:$G$7&lt;$C$7)*($M98:$Q98&gt;0))=0),1,0)</f>
      </c>
      <c r="W99" s="31">
        <f>IF(AND(N98&gt;0,SUMPRODUCT(($C$7:$G$7&lt;$D$7)*($M98:$Q98&gt;0))=0),1,0)</f>
      </c>
      <c r="X99" s="31">
        <f>IF(AND(O98&gt;0,SUMPRODUCT(($C$7:$G$7&lt;$E$7)*($M98:$Q98&gt;0))=0),1,0)</f>
      </c>
      <c r="Y99" s="31">
        <f>IF(AND(P98&gt;0,SUMPRODUCT(($C$7:$G$7&lt;$F$7)*($M98:$Q98&gt;0))=0),1,0)</f>
      </c>
      <c r="Z99" s="31">
        <f>IF(AND(Q98&gt;0,SUMPRODUCT(($C$7:$G$7&lt;$G$7)*($M98:$Q98&gt;0))=0),1,0)</f>
      </c>
    </row>
    <row r="100" spans="1:26" x14ac:dyDescent="0.25">
      <c r="A100" s="11">
        <f>A99+1</f>
      </c>
      <c r="B100" s="24">
        <f>EDATE(Debts!$B$14,A100)</f>
      </c>
      <c r="C100" s="25">
        <f>IF(M99&lt;=0,0,ROUND(M99*$C$5/12,2))</f>
      </c>
      <c r="D100" s="25">
        <f>IF(N99&lt;=0,0,ROUND(N99*$D$5/12,2))</f>
      </c>
      <c r="E100" s="25">
        <f>IF(O99&lt;=0,0,ROUND(O99*$E$5/12,2))</f>
      </c>
      <c r="F100" s="25">
        <f>IF(P99&lt;=0,0,ROUND(P99*$F$5/12,2))</f>
      </c>
      <c r="G100" s="25">
        <f>IF(Q99&lt;=0,0,ROUND(Q99*$G$5/12,2))</f>
      </c>
      <c r="H100" s="25">
        <f>IF(M99&lt;=0,0,MIN(M99+C100,$C$6+V100*$U100))</f>
      </c>
      <c r="I100" s="25">
        <f>IF(N99&lt;=0,0,MIN(N99+D100,$D$6+W100*$U100))</f>
      </c>
      <c r="J100" s="25">
        <f>IF(O99&lt;=0,0,MIN(O99+E100,$E$6+X100*$U100))</f>
      </c>
      <c r="K100" s="25">
        <f>IF(P99&lt;=0,0,MIN(P99+F100,$F$6+Y100*$U100))</f>
      </c>
      <c r="L100" s="25">
        <f>IF(Q99&lt;=0,0,MIN(Q99+G100,$G$6+Z100*$U100))</f>
      </c>
      <c r="M100" s="25">
        <f>ROUND(M99+C100-H100,2)</f>
      </c>
      <c r="N100" s="25">
        <f>ROUND(N99+D100-I100,2)</f>
      </c>
      <c r="O100" s="25">
        <f>ROUND(O99+E100-J100,2)</f>
      </c>
      <c r="P100" s="25">
        <f>ROUND(P99+F100-K100,2)</f>
      </c>
      <c r="Q100" s="25">
        <f>ROUND(Q99+G100-L100,2)</f>
      </c>
      <c r="R100" s="25">
        <f>SUM(H100:L100)</f>
      </c>
      <c r="S100" s="25">
        <f>SUM(C100:G100)</f>
      </c>
      <c r="T100" s="25">
        <f>SUM(M100:Q100)</f>
      </c>
      <c r="U100" s="26">
        <f>Debts!$B$13+SUMPRODUCT(($M99:$Q99&lt;=0)*$C$6:$G$6)</f>
      </c>
      <c r="V100" s="27">
        <f>IF(AND(M99&gt;0,SUMPRODUCT(($C$7:$G$7&lt;$C$7)*($M99:$Q99&gt;0))=0),1,0)</f>
      </c>
      <c r="W100" s="27">
        <f>IF(AND(N99&gt;0,SUMPRODUCT(($C$7:$G$7&lt;$D$7)*($M99:$Q99&gt;0))=0),1,0)</f>
      </c>
      <c r="X100" s="27">
        <f>IF(AND(O99&gt;0,SUMPRODUCT(($C$7:$G$7&lt;$E$7)*($M99:$Q99&gt;0))=0),1,0)</f>
      </c>
      <c r="Y100" s="27">
        <f>IF(AND(P99&gt;0,SUMPRODUCT(($C$7:$G$7&lt;$F$7)*($M99:$Q99&gt;0))=0),1,0)</f>
      </c>
      <c r="Z100" s="27">
        <f>IF(AND(Q99&gt;0,SUMPRODUCT(($C$7:$G$7&lt;$G$7)*($M99:$Q99&gt;0))=0),1,0)</f>
      </c>
    </row>
    <row r="101" spans="1:26" x14ac:dyDescent="0.25">
      <c r="A101" s="12">
        <f>A100+1</f>
      </c>
      <c r="B101" s="28">
        <f>EDATE(Debts!$B$14,A101)</f>
      </c>
      <c r="C101" s="29">
        <f>IF(M100&lt;=0,0,ROUND(M100*$C$5/12,2))</f>
      </c>
      <c r="D101" s="29">
        <f>IF(N100&lt;=0,0,ROUND(N100*$D$5/12,2))</f>
      </c>
      <c r="E101" s="29">
        <f>IF(O100&lt;=0,0,ROUND(O100*$E$5/12,2))</f>
      </c>
      <c r="F101" s="29">
        <f>IF(P100&lt;=0,0,ROUND(P100*$F$5/12,2))</f>
      </c>
      <c r="G101" s="29">
        <f>IF(Q100&lt;=0,0,ROUND(Q100*$G$5/12,2))</f>
      </c>
      <c r="H101" s="29">
        <f>IF(M100&lt;=0,0,MIN(M100+C101,$C$6+V101*$U101))</f>
      </c>
      <c r="I101" s="29">
        <f>IF(N100&lt;=0,0,MIN(N100+D101,$D$6+W101*$U101))</f>
      </c>
      <c r="J101" s="29">
        <f>IF(O100&lt;=0,0,MIN(O100+E101,$E$6+X101*$U101))</f>
      </c>
      <c r="K101" s="29">
        <f>IF(P100&lt;=0,0,MIN(P100+F101,$F$6+Y101*$U101))</f>
      </c>
      <c r="L101" s="29">
        <f>IF(Q100&lt;=0,0,MIN(Q100+G101,$G$6+Z101*$U101))</f>
      </c>
      <c r="M101" s="29">
        <f>ROUND(M100+C101-H101,2)</f>
      </c>
      <c r="N101" s="29">
        <f>ROUND(N100+D101-I101,2)</f>
      </c>
      <c r="O101" s="29">
        <f>ROUND(O100+E101-J101,2)</f>
      </c>
      <c r="P101" s="29">
        <f>ROUND(P100+F101-K101,2)</f>
      </c>
      <c r="Q101" s="29">
        <f>ROUND(Q100+G101-L101,2)</f>
      </c>
      <c r="R101" s="29">
        <f>SUM(H101:L101)</f>
      </c>
      <c r="S101" s="29">
        <f>SUM(C101:G101)</f>
      </c>
      <c r="T101" s="29">
        <f>SUM(M101:Q101)</f>
      </c>
      <c r="U101" s="30">
        <f>Debts!$B$13+SUMPRODUCT(($M100:$Q100&lt;=0)*$C$6:$G$6)</f>
      </c>
      <c r="V101" s="31">
        <f>IF(AND(M100&gt;0,SUMPRODUCT(($C$7:$G$7&lt;$C$7)*($M100:$Q100&gt;0))=0),1,0)</f>
      </c>
      <c r="W101" s="31">
        <f>IF(AND(N100&gt;0,SUMPRODUCT(($C$7:$G$7&lt;$D$7)*($M100:$Q100&gt;0))=0),1,0)</f>
      </c>
      <c r="X101" s="31">
        <f>IF(AND(O100&gt;0,SUMPRODUCT(($C$7:$G$7&lt;$E$7)*($M100:$Q100&gt;0))=0),1,0)</f>
      </c>
      <c r="Y101" s="31">
        <f>IF(AND(P100&gt;0,SUMPRODUCT(($C$7:$G$7&lt;$F$7)*($M100:$Q100&gt;0))=0),1,0)</f>
      </c>
      <c r="Z101" s="31">
        <f>IF(AND(Q100&gt;0,SUMPRODUCT(($C$7:$G$7&lt;$G$7)*($M100:$Q100&gt;0))=0),1,0)</f>
      </c>
    </row>
    <row r="102" spans="1:26" x14ac:dyDescent="0.25">
      <c r="A102" s="11">
        <f>A101+1</f>
      </c>
      <c r="B102" s="24">
        <f>EDATE(Debts!$B$14,A102)</f>
      </c>
      <c r="C102" s="25">
        <f>IF(M101&lt;=0,0,ROUND(M101*$C$5/12,2))</f>
      </c>
      <c r="D102" s="25">
        <f>IF(N101&lt;=0,0,ROUND(N101*$D$5/12,2))</f>
      </c>
      <c r="E102" s="25">
        <f>IF(O101&lt;=0,0,ROUND(O101*$E$5/12,2))</f>
      </c>
      <c r="F102" s="25">
        <f>IF(P101&lt;=0,0,ROUND(P101*$F$5/12,2))</f>
      </c>
      <c r="G102" s="25">
        <f>IF(Q101&lt;=0,0,ROUND(Q101*$G$5/12,2))</f>
      </c>
      <c r="H102" s="25">
        <f>IF(M101&lt;=0,0,MIN(M101+C102,$C$6+V102*$U102))</f>
      </c>
      <c r="I102" s="25">
        <f>IF(N101&lt;=0,0,MIN(N101+D102,$D$6+W102*$U102))</f>
      </c>
      <c r="J102" s="25">
        <f>IF(O101&lt;=0,0,MIN(O101+E102,$E$6+X102*$U102))</f>
      </c>
      <c r="K102" s="25">
        <f>IF(P101&lt;=0,0,MIN(P101+F102,$F$6+Y102*$U102))</f>
      </c>
      <c r="L102" s="25">
        <f>IF(Q101&lt;=0,0,MIN(Q101+G102,$G$6+Z102*$U102))</f>
      </c>
      <c r="M102" s="25">
        <f>ROUND(M101+C102-H102,2)</f>
      </c>
      <c r="N102" s="25">
        <f>ROUND(N101+D102-I102,2)</f>
      </c>
      <c r="O102" s="25">
        <f>ROUND(O101+E102-J102,2)</f>
      </c>
      <c r="P102" s="25">
        <f>ROUND(P101+F102-K102,2)</f>
      </c>
      <c r="Q102" s="25">
        <f>ROUND(Q101+G102-L102,2)</f>
      </c>
      <c r="R102" s="25">
        <f>SUM(H102:L102)</f>
      </c>
      <c r="S102" s="25">
        <f>SUM(C102:G102)</f>
      </c>
      <c r="T102" s="25">
        <f>SUM(M102:Q102)</f>
      </c>
      <c r="U102" s="26">
        <f>Debts!$B$13+SUMPRODUCT(($M101:$Q101&lt;=0)*$C$6:$G$6)</f>
      </c>
      <c r="V102" s="27">
        <f>IF(AND(M101&gt;0,SUMPRODUCT(($C$7:$G$7&lt;$C$7)*($M101:$Q101&gt;0))=0),1,0)</f>
      </c>
      <c r="W102" s="27">
        <f>IF(AND(N101&gt;0,SUMPRODUCT(($C$7:$G$7&lt;$D$7)*($M101:$Q101&gt;0))=0),1,0)</f>
      </c>
      <c r="X102" s="27">
        <f>IF(AND(O101&gt;0,SUMPRODUCT(($C$7:$G$7&lt;$E$7)*($M101:$Q101&gt;0))=0),1,0)</f>
      </c>
      <c r="Y102" s="27">
        <f>IF(AND(P101&gt;0,SUMPRODUCT(($C$7:$G$7&lt;$F$7)*($M101:$Q101&gt;0))=0),1,0)</f>
      </c>
      <c r="Z102" s="27">
        <f>IF(AND(Q101&gt;0,SUMPRODUCT(($C$7:$G$7&lt;$G$7)*($M101:$Q101&gt;0))=0),1,0)</f>
      </c>
    </row>
    <row r="103" spans="1:26" x14ac:dyDescent="0.25">
      <c r="A103" s="12">
        <f>A102+1</f>
      </c>
      <c r="B103" s="28">
        <f>EDATE(Debts!$B$14,A103)</f>
      </c>
      <c r="C103" s="29">
        <f>IF(M102&lt;=0,0,ROUND(M102*$C$5/12,2))</f>
      </c>
      <c r="D103" s="29">
        <f>IF(N102&lt;=0,0,ROUND(N102*$D$5/12,2))</f>
      </c>
      <c r="E103" s="29">
        <f>IF(O102&lt;=0,0,ROUND(O102*$E$5/12,2))</f>
      </c>
      <c r="F103" s="29">
        <f>IF(P102&lt;=0,0,ROUND(P102*$F$5/12,2))</f>
      </c>
      <c r="G103" s="29">
        <f>IF(Q102&lt;=0,0,ROUND(Q102*$G$5/12,2))</f>
      </c>
      <c r="H103" s="29">
        <f>IF(M102&lt;=0,0,MIN(M102+C103,$C$6+V103*$U103))</f>
      </c>
      <c r="I103" s="29">
        <f>IF(N102&lt;=0,0,MIN(N102+D103,$D$6+W103*$U103))</f>
      </c>
      <c r="J103" s="29">
        <f>IF(O102&lt;=0,0,MIN(O102+E103,$E$6+X103*$U103))</f>
      </c>
      <c r="K103" s="29">
        <f>IF(P102&lt;=0,0,MIN(P102+F103,$F$6+Y103*$U103))</f>
      </c>
      <c r="L103" s="29">
        <f>IF(Q102&lt;=0,0,MIN(Q102+G103,$G$6+Z103*$U103))</f>
      </c>
      <c r="M103" s="29">
        <f>ROUND(M102+C103-H103,2)</f>
      </c>
      <c r="N103" s="29">
        <f>ROUND(N102+D103-I103,2)</f>
      </c>
      <c r="O103" s="29">
        <f>ROUND(O102+E103-J103,2)</f>
      </c>
      <c r="P103" s="29">
        <f>ROUND(P102+F103-K103,2)</f>
      </c>
      <c r="Q103" s="29">
        <f>ROUND(Q102+G103-L103,2)</f>
      </c>
      <c r="R103" s="29">
        <f>SUM(H103:L103)</f>
      </c>
      <c r="S103" s="29">
        <f>SUM(C103:G103)</f>
      </c>
      <c r="T103" s="29">
        <f>SUM(M103:Q103)</f>
      </c>
      <c r="U103" s="30">
        <f>Debts!$B$13+SUMPRODUCT(($M102:$Q102&lt;=0)*$C$6:$G$6)</f>
      </c>
      <c r="V103" s="31">
        <f>IF(AND(M102&gt;0,SUMPRODUCT(($C$7:$G$7&lt;$C$7)*($M102:$Q102&gt;0))=0),1,0)</f>
      </c>
      <c r="W103" s="31">
        <f>IF(AND(N102&gt;0,SUMPRODUCT(($C$7:$G$7&lt;$D$7)*($M102:$Q102&gt;0))=0),1,0)</f>
      </c>
      <c r="X103" s="31">
        <f>IF(AND(O102&gt;0,SUMPRODUCT(($C$7:$G$7&lt;$E$7)*($M102:$Q102&gt;0))=0),1,0)</f>
      </c>
      <c r="Y103" s="31">
        <f>IF(AND(P102&gt;0,SUMPRODUCT(($C$7:$G$7&lt;$F$7)*($M102:$Q102&gt;0))=0),1,0)</f>
      </c>
      <c r="Z103" s="31">
        <f>IF(AND(Q102&gt;0,SUMPRODUCT(($C$7:$G$7&lt;$G$7)*($M102:$Q102&gt;0))=0),1,0)</f>
      </c>
    </row>
    <row r="104" spans="1:26" x14ac:dyDescent="0.25">
      <c r="A104" s="11">
        <f>A103+1</f>
      </c>
      <c r="B104" s="24">
        <f>EDATE(Debts!$B$14,A104)</f>
      </c>
      <c r="C104" s="25">
        <f>IF(M103&lt;=0,0,ROUND(M103*$C$5/12,2))</f>
      </c>
      <c r="D104" s="25">
        <f>IF(N103&lt;=0,0,ROUND(N103*$D$5/12,2))</f>
      </c>
      <c r="E104" s="25">
        <f>IF(O103&lt;=0,0,ROUND(O103*$E$5/12,2))</f>
      </c>
      <c r="F104" s="25">
        <f>IF(P103&lt;=0,0,ROUND(P103*$F$5/12,2))</f>
      </c>
      <c r="G104" s="25">
        <f>IF(Q103&lt;=0,0,ROUND(Q103*$G$5/12,2))</f>
      </c>
      <c r="H104" s="25">
        <f>IF(M103&lt;=0,0,MIN(M103+C104,$C$6+V104*$U104))</f>
      </c>
      <c r="I104" s="25">
        <f>IF(N103&lt;=0,0,MIN(N103+D104,$D$6+W104*$U104))</f>
      </c>
      <c r="J104" s="25">
        <f>IF(O103&lt;=0,0,MIN(O103+E104,$E$6+X104*$U104))</f>
      </c>
      <c r="K104" s="25">
        <f>IF(P103&lt;=0,0,MIN(P103+F104,$F$6+Y104*$U104))</f>
      </c>
      <c r="L104" s="25">
        <f>IF(Q103&lt;=0,0,MIN(Q103+G104,$G$6+Z104*$U104))</f>
      </c>
      <c r="M104" s="25">
        <f>ROUND(M103+C104-H104,2)</f>
      </c>
      <c r="N104" s="25">
        <f>ROUND(N103+D104-I104,2)</f>
      </c>
      <c r="O104" s="25">
        <f>ROUND(O103+E104-J104,2)</f>
      </c>
      <c r="P104" s="25">
        <f>ROUND(P103+F104-K104,2)</f>
      </c>
      <c r="Q104" s="25">
        <f>ROUND(Q103+G104-L104,2)</f>
      </c>
      <c r="R104" s="25">
        <f>SUM(H104:L104)</f>
      </c>
      <c r="S104" s="25">
        <f>SUM(C104:G104)</f>
      </c>
      <c r="T104" s="25">
        <f>SUM(M104:Q104)</f>
      </c>
      <c r="U104" s="26">
        <f>Debts!$B$13+SUMPRODUCT(($M103:$Q103&lt;=0)*$C$6:$G$6)</f>
      </c>
      <c r="V104" s="27">
        <f>IF(AND(M103&gt;0,SUMPRODUCT(($C$7:$G$7&lt;$C$7)*($M103:$Q103&gt;0))=0),1,0)</f>
      </c>
      <c r="W104" s="27">
        <f>IF(AND(N103&gt;0,SUMPRODUCT(($C$7:$G$7&lt;$D$7)*($M103:$Q103&gt;0))=0),1,0)</f>
      </c>
      <c r="X104" s="27">
        <f>IF(AND(O103&gt;0,SUMPRODUCT(($C$7:$G$7&lt;$E$7)*($M103:$Q103&gt;0))=0),1,0)</f>
      </c>
      <c r="Y104" s="27">
        <f>IF(AND(P103&gt;0,SUMPRODUCT(($C$7:$G$7&lt;$F$7)*($M103:$Q103&gt;0))=0),1,0)</f>
      </c>
      <c r="Z104" s="27">
        <f>IF(AND(Q103&gt;0,SUMPRODUCT(($C$7:$G$7&lt;$G$7)*($M103:$Q103&gt;0))=0),1,0)</f>
      </c>
    </row>
    <row r="105" spans="1:26" x14ac:dyDescent="0.25">
      <c r="A105" s="12">
        <f>A104+1</f>
      </c>
      <c r="B105" s="28">
        <f>EDATE(Debts!$B$14,A105)</f>
      </c>
      <c r="C105" s="29">
        <f>IF(M104&lt;=0,0,ROUND(M104*$C$5/12,2))</f>
      </c>
      <c r="D105" s="29">
        <f>IF(N104&lt;=0,0,ROUND(N104*$D$5/12,2))</f>
      </c>
      <c r="E105" s="29">
        <f>IF(O104&lt;=0,0,ROUND(O104*$E$5/12,2))</f>
      </c>
      <c r="F105" s="29">
        <f>IF(P104&lt;=0,0,ROUND(P104*$F$5/12,2))</f>
      </c>
      <c r="G105" s="29">
        <f>IF(Q104&lt;=0,0,ROUND(Q104*$G$5/12,2))</f>
      </c>
      <c r="H105" s="29">
        <f>IF(M104&lt;=0,0,MIN(M104+C105,$C$6+V105*$U105))</f>
      </c>
      <c r="I105" s="29">
        <f>IF(N104&lt;=0,0,MIN(N104+D105,$D$6+W105*$U105))</f>
      </c>
      <c r="J105" s="29">
        <f>IF(O104&lt;=0,0,MIN(O104+E105,$E$6+X105*$U105))</f>
      </c>
      <c r="K105" s="29">
        <f>IF(P104&lt;=0,0,MIN(P104+F105,$F$6+Y105*$U105))</f>
      </c>
      <c r="L105" s="29">
        <f>IF(Q104&lt;=0,0,MIN(Q104+G105,$G$6+Z105*$U105))</f>
      </c>
      <c r="M105" s="29">
        <f>ROUND(M104+C105-H105,2)</f>
      </c>
      <c r="N105" s="29">
        <f>ROUND(N104+D105-I105,2)</f>
      </c>
      <c r="O105" s="29">
        <f>ROUND(O104+E105-J105,2)</f>
      </c>
      <c r="P105" s="29">
        <f>ROUND(P104+F105-K105,2)</f>
      </c>
      <c r="Q105" s="29">
        <f>ROUND(Q104+G105-L105,2)</f>
      </c>
      <c r="R105" s="29">
        <f>SUM(H105:L105)</f>
      </c>
      <c r="S105" s="29">
        <f>SUM(C105:G105)</f>
      </c>
      <c r="T105" s="29">
        <f>SUM(M105:Q105)</f>
      </c>
      <c r="U105" s="30">
        <f>Debts!$B$13+SUMPRODUCT(($M104:$Q104&lt;=0)*$C$6:$G$6)</f>
      </c>
      <c r="V105" s="31">
        <f>IF(AND(M104&gt;0,SUMPRODUCT(($C$7:$G$7&lt;$C$7)*($M104:$Q104&gt;0))=0),1,0)</f>
      </c>
      <c r="W105" s="31">
        <f>IF(AND(N104&gt;0,SUMPRODUCT(($C$7:$G$7&lt;$D$7)*($M104:$Q104&gt;0))=0),1,0)</f>
      </c>
      <c r="X105" s="31">
        <f>IF(AND(O104&gt;0,SUMPRODUCT(($C$7:$G$7&lt;$E$7)*($M104:$Q104&gt;0))=0),1,0)</f>
      </c>
      <c r="Y105" s="31">
        <f>IF(AND(P104&gt;0,SUMPRODUCT(($C$7:$G$7&lt;$F$7)*($M104:$Q104&gt;0))=0),1,0)</f>
      </c>
      <c r="Z105" s="31">
        <f>IF(AND(Q104&gt;0,SUMPRODUCT(($C$7:$G$7&lt;$G$7)*($M104:$Q104&gt;0))=0),1,0)</f>
      </c>
    </row>
    <row r="106" spans="1:26" x14ac:dyDescent="0.25">
      <c r="A106" s="11">
        <f>A105+1</f>
      </c>
      <c r="B106" s="24">
        <f>EDATE(Debts!$B$14,A106)</f>
      </c>
      <c r="C106" s="25">
        <f>IF(M105&lt;=0,0,ROUND(M105*$C$5/12,2))</f>
      </c>
      <c r="D106" s="25">
        <f>IF(N105&lt;=0,0,ROUND(N105*$D$5/12,2))</f>
      </c>
      <c r="E106" s="25">
        <f>IF(O105&lt;=0,0,ROUND(O105*$E$5/12,2))</f>
      </c>
      <c r="F106" s="25">
        <f>IF(P105&lt;=0,0,ROUND(P105*$F$5/12,2))</f>
      </c>
      <c r="G106" s="25">
        <f>IF(Q105&lt;=0,0,ROUND(Q105*$G$5/12,2))</f>
      </c>
      <c r="H106" s="25">
        <f>IF(M105&lt;=0,0,MIN(M105+C106,$C$6+V106*$U106))</f>
      </c>
      <c r="I106" s="25">
        <f>IF(N105&lt;=0,0,MIN(N105+D106,$D$6+W106*$U106))</f>
      </c>
      <c r="J106" s="25">
        <f>IF(O105&lt;=0,0,MIN(O105+E106,$E$6+X106*$U106))</f>
      </c>
      <c r="K106" s="25">
        <f>IF(P105&lt;=0,0,MIN(P105+F106,$F$6+Y106*$U106))</f>
      </c>
      <c r="L106" s="25">
        <f>IF(Q105&lt;=0,0,MIN(Q105+G106,$G$6+Z106*$U106))</f>
      </c>
      <c r="M106" s="25">
        <f>ROUND(M105+C106-H106,2)</f>
      </c>
      <c r="N106" s="25">
        <f>ROUND(N105+D106-I106,2)</f>
      </c>
      <c r="O106" s="25">
        <f>ROUND(O105+E106-J106,2)</f>
      </c>
      <c r="P106" s="25">
        <f>ROUND(P105+F106-K106,2)</f>
      </c>
      <c r="Q106" s="25">
        <f>ROUND(Q105+G106-L106,2)</f>
      </c>
      <c r="R106" s="25">
        <f>SUM(H106:L106)</f>
      </c>
      <c r="S106" s="25">
        <f>SUM(C106:G106)</f>
      </c>
      <c r="T106" s="25">
        <f>SUM(M106:Q106)</f>
      </c>
      <c r="U106" s="26">
        <f>Debts!$B$13+SUMPRODUCT(($M105:$Q105&lt;=0)*$C$6:$G$6)</f>
      </c>
      <c r="V106" s="27">
        <f>IF(AND(M105&gt;0,SUMPRODUCT(($C$7:$G$7&lt;$C$7)*($M105:$Q105&gt;0))=0),1,0)</f>
      </c>
      <c r="W106" s="27">
        <f>IF(AND(N105&gt;0,SUMPRODUCT(($C$7:$G$7&lt;$D$7)*($M105:$Q105&gt;0))=0),1,0)</f>
      </c>
      <c r="X106" s="27">
        <f>IF(AND(O105&gt;0,SUMPRODUCT(($C$7:$G$7&lt;$E$7)*($M105:$Q105&gt;0))=0),1,0)</f>
      </c>
      <c r="Y106" s="27">
        <f>IF(AND(P105&gt;0,SUMPRODUCT(($C$7:$G$7&lt;$F$7)*($M105:$Q105&gt;0))=0),1,0)</f>
      </c>
      <c r="Z106" s="27">
        <f>IF(AND(Q105&gt;0,SUMPRODUCT(($C$7:$G$7&lt;$G$7)*($M105:$Q105&gt;0))=0),1,0)</f>
      </c>
    </row>
    <row r="107" spans="1:26" x14ac:dyDescent="0.25">
      <c r="A107" s="12">
        <f>A106+1</f>
      </c>
      <c r="B107" s="28">
        <f>EDATE(Debts!$B$14,A107)</f>
      </c>
      <c r="C107" s="29">
        <f>IF(M106&lt;=0,0,ROUND(M106*$C$5/12,2))</f>
      </c>
      <c r="D107" s="29">
        <f>IF(N106&lt;=0,0,ROUND(N106*$D$5/12,2))</f>
      </c>
      <c r="E107" s="29">
        <f>IF(O106&lt;=0,0,ROUND(O106*$E$5/12,2))</f>
      </c>
      <c r="F107" s="29">
        <f>IF(P106&lt;=0,0,ROUND(P106*$F$5/12,2))</f>
      </c>
      <c r="G107" s="29">
        <f>IF(Q106&lt;=0,0,ROUND(Q106*$G$5/12,2))</f>
      </c>
      <c r="H107" s="29">
        <f>IF(M106&lt;=0,0,MIN(M106+C107,$C$6+V107*$U107))</f>
      </c>
      <c r="I107" s="29">
        <f>IF(N106&lt;=0,0,MIN(N106+D107,$D$6+W107*$U107))</f>
      </c>
      <c r="J107" s="29">
        <f>IF(O106&lt;=0,0,MIN(O106+E107,$E$6+X107*$U107))</f>
      </c>
      <c r="K107" s="29">
        <f>IF(P106&lt;=0,0,MIN(P106+F107,$F$6+Y107*$U107))</f>
      </c>
      <c r="L107" s="29">
        <f>IF(Q106&lt;=0,0,MIN(Q106+G107,$G$6+Z107*$U107))</f>
      </c>
      <c r="M107" s="29">
        <f>ROUND(M106+C107-H107,2)</f>
      </c>
      <c r="N107" s="29">
        <f>ROUND(N106+D107-I107,2)</f>
      </c>
      <c r="O107" s="29">
        <f>ROUND(O106+E107-J107,2)</f>
      </c>
      <c r="P107" s="29">
        <f>ROUND(P106+F107-K107,2)</f>
      </c>
      <c r="Q107" s="29">
        <f>ROUND(Q106+G107-L107,2)</f>
      </c>
      <c r="R107" s="29">
        <f>SUM(H107:L107)</f>
      </c>
      <c r="S107" s="29">
        <f>SUM(C107:G107)</f>
      </c>
      <c r="T107" s="29">
        <f>SUM(M107:Q107)</f>
      </c>
      <c r="U107" s="30">
        <f>Debts!$B$13+SUMPRODUCT(($M106:$Q106&lt;=0)*$C$6:$G$6)</f>
      </c>
      <c r="V107" s="31">
        <f>IF(AND(M106&gt;0,SUMPRODUCT(($C$7:$G$7&lt;$C$7)*($M106:$Q106&gt;0))=0),1,0)</f>
      </c>
      <c r="W107" s="31">
        <f>IF(AND(N106&gt;0,SUMPRODUCT(($C$7:$G$7&lt;$D$7)*($M106:$Q106&gt;0))=0),1,0)</f>
      </c>
      <c r="X107" s="31">
        <f>IF(AND(O106&gt;0,SUMPRODUCT(($C$7:$G$7&lt;$E$7)*($M106:$Q106&gt;0))=0),1,0)</f>
      </c>
      <c r="Y107" s="31">
        <f>IF(AND(P106&gt;0,SUMPRODUCT(($C$7:$G$7&lt;$F$7)*($M106:$Q106&gt;0))=0),1,0)</f>
      </c>
      <c r="Z107" s="31">
        <f>IF(AND(Q106&gt;0,SUMPRODUCT(($C$7:$G$7&lt;$G$7)*($M106:$Q106&gt;0))=0),1,0)</f>
      </c>
    </row>
    <row r="108" spans="1:26" x14ac:dyDescent="0.25">
      <c r="A108" s="11">
        <f>A107+1</f>
      </c>
      <c r="B108" s="24">
        <f>EDATE(Debts!$B$14,A108)</f>
      </c>
      <c r="C108" s="25">
        <f>IF(M107&lt;=0,0,ROUND(M107*$C$5/12,2))</f>
      </c>
      <c r="D108" s="25">
        <f>IF(N107&lt;=0,0,ROUND(N107*$D$5/12,2))</f>
      </c>
      <c r="E108" s="25">
        <f>IF(O107&lt;=0,0,ROUND(O107*$E$5/12,2))</f>
      </c>
      <c r="F108" s="25">
        <f>IF(P107&lt;=0,0,ROUND(P107*$F$5/12,2))</f>
      </c>
      <c r="G108" s="25">
        <f>IF(Q107&lt;=0,0,ROUND(Q107*$G$5/12,2))</f>
      </c>
      <c r="H108" s="25">
        <f>IF(M107&lt;=0,0,MIN(M107+C108,$C$6+V108*$U108))</f>
      </c>
      <c r="I108" s="25">
        <f>IF(N107&lt;=0,0,MIN(N107+D108,$D$6+W108*$U108))</f>
      </c>
      <c r="J108" s="25">
        <f>IF(O107&lt;=0,0,MIN(O107+E108,$E$6+X108*$U108))</f>
      </c>
      <c r="K108" s="25">
        <f>IF(P107&lt;=0,0,MIN(P107+F108,$F$6+Y108*$U108))</f>
      </c>
      <c r="L108" s="25">
        <f>IF(Q107&lt;=0,0,MIN(Q107+G108,$G$6+Z108*$U108))</f>
      </c>
      <c r="M108" s="25">
        <f>ROUND(M107+C108-H108,2)</f>
      </c>
      <c r="N108" s="25">
        <f>ROUND(N107+D108-I108,2)</f>
      </c>
      <c r="O108" s="25">
        <f>ROUND(O107+E108-J108,2)</f>
      </c>
      <c r="P108" s="25">
        <f>ROUND(P107+F108-K108,2)</f>
      </c>
      <c r="Q108" s="25">
        <f>ROUND(Q107+G108-L108,2)</f>
      </c>
      <c r="R108" s="25">
        <f>SUM(H108:L108)</f>
      </c>
      <c r="S108" s="25">
        <f>SUM(C108:G108)</f>
      </c>
      <c r="T108" s="25">
        <f>SUM(M108:Q108)</f>
      </c>
      <c r="U108" s="26">
        <f>Debts!$B$13+SUMPRODUCT(($M107:$Q107&lt;=0)*$C$6:$G$6)</f>
      </c>
      <c r="V108" s="27">
        <f>IF(AND(M107&gt;0,SUMPRODUCT(($C$7:$G$7&lt;$C$7)*($M107:$Q107&gt;0))=0),1,0)</f>
      </c>
      <c r="W108" s="27">
        <f>IF(AND(N107&gt;0,SUMPRODUCT(($C$7:$G$7&lt;$D$7)*($M107:$Q107&gt;0))=0),1,0)</f>
      </c>
      <c r="X108" s="27">
        <f>IF(AND(O107&gt;0,SUMPRODUCT(($C$7:$G$7&lt;$E$7)*($M107:$Q107&gt;0))=0),1,0)</f>
      </c>
      <c r="Y108" s="27">
        <f>IF(AND(P107&gt;0,SUMPRODUCT(($C$7:$G$7&lt;$F$7)*($M107:$Q107&gt;0))=0),1,0)</f>
      </c>
      <c r="Z108" s="27">
        <f>IF(AND(Q107&gt;0,SUMPRODUCT(($C$7:$G$7&lt;$G$7)*($M107:$Q107&gt;0))=0),1,0)</f>
      </c>
    </row>
    <row r="109" spans="1:26" x14ac:dyDescent="0.25">
      <c r="A109" s="12">
        <f>A108+1</f>
      </c>
      <c r="B109" s="28">
        <f>EDATE(Debts!$B$14,A109)</f>
      </c>
      <c r="C109" s="29">
        <f>IF(M108&lt;=0,0,ROUND(M108*$C$5/12,2))</f>
      </c>
      <c r="D109" s="29">
        <f>IF(N108&lt;=0,0,ROUND(N108*$D$5/12,2))</f>
      </c>
      <c r="E109" s="29">
        <f>IF(O108&lt;=0,0,ROUND(O108*$E$5/12,2))</f>
      </c>
      <c r="F109" s="29">
        <f>IF(P108&lt;=0,0,ROUND(P108*$F$5/12,2))</f>
      </c>
      <c r="G109" s="29">
        <f>IF(Q108&lt;=0,0,ROUND(Q108*$G$5/12,2))</f>
      </c>
      <c r="H109" s="29">
        <f>IF(M108&lt;=0,0,MIN(M108+C109,$C$6+V109*$U109))</f>
      </c>
      <c r="I109" s="29">
        <f>IF(N108&lt;=0,0,MIN(N108+D109,$D$6+W109*$U109))</f>
      </c>
      <c r="J109" s="29">
        <f>IF(O108&lt;=0,0,MIN(O108+E109,$E$6+X109*$U109))</f>
      </c>
      <c r="K109" s="29">
        <f>IF(P108&lt;=0,0,MIN(P108+F109,$F$6+Y109*$U109))</f>
      </c>
      <c r="L109" s="29">
        <f>IF(Q108&lt;=0,0,MIN(Q108+G109,$G$6+Z109*$U109))</f>
      </c>
      <c r="M109" s="29">
        <f>ROUND(M108+C109-H109,2)</f>
      </c>
      <c r="N109" s="29">
        <f>ROUND(N108+D109-I109,2)</f>
      </c>
      <c r="O109" s="29">
        <f>ROUND(O108+E109-J109,2)</f>
      </c>
      <c r="P109" s="29">
        <f>ROUND(P108+F109-K109,2)</f>
      </c>
      <c r="Q109" s="29">
        <f>ROUND(Q108+G109-L109,2)</f>
      </c>
      <c r="R109" s="29">
        <f>SUM(H109:L109)</f>
      </c>
      <c r="S109" s="29">
        <f>SUM(C109:G109)</f>
      </c>
      <c r="T109" s="29">
        <f>SUM(M109:Q109)</f>
      </c>
      <c r="U109" s="30">
        <f>Debts!$B$13+SUMPRODUCT(($M108:$Q108&lt;=0)*$C$6:$G$6)</f>
      </c>
      <c r="V109" s="31">
        <f>IF(AND(M108&gt;0,SUMPRODUCT(($C$7:$G$7&lt;$C$7)*($M108:$Q108&gt;0))=0),1,0)</f>
      </c>
      <c r="W109" s="31">
        <f>IF(AND(N108&gt;0,SUMPRODUCT(($C$7:$G$7&lt;$D$7)*($M108:$Q108&gt;0))=0),1,0)</f>
      </c>
      <c r="X109" s="31">
        <f>IF(AND(O108&gt;0,SUMPRODUCT(($C$7:$G$7&lt;$E$7)*($M108:$Q108&gt;0))=0),1,0)</f>
      </c>
      <c r="Y109" s="31">
        <f>IF(AND(P108&gt;0,SUMPRODUCT(($C$7:$G$7&lt;$F$7)*($M108:$Q108&gt;0))=0),1,0)</f>
      </c>
      <c r="Z109" s="31">
        <f>IF(AND(Q108&gt;0,SUMPRODUCT(($C$7:$G$7&lt;$G$7)*($M108:$Q108&gt;0))=0),1,0)</f>
      </c>
    </row>
    <row r="110" spans="1:26" x14ac:dyDescent="0.25">
      <c r="A110" s="11">
        <f>A109+1</f>
      </c>
      <c r="B110" s="24">
        <f>EDATE(Debts!$B$14,A110)</f>
      </c>
      <c r="C110" s="25">
        <f>IF(M109&lt;=0,0,ROUND(M109*$C$5/12,2))</f>
      </c>
      <c r="D110" s="25">
        <f>IF(N109&lt;=0,0,ROUND(N109*$D$5/12,2))</f>
      </c>
      <c r="E110" s="25">
        <f>IF(O109&lt;=0,0,ROUND(O109*$E$5/12,2))</f>
      </c>
      <c r="F110" s="25">
        <f>IF(P109&lt;=0,0,ROUND(P109*$F$5/12,2))</f>
      </c>
      <c r="G110" s="25">
        <f>IF(Q109&lt;=0,0,ROUND(Q109*$G$5/12,2))</f>
      </c>
      <c r="H110" s="25">
        <f>IF(M109&lt;=0,0,MIN(M109+C110,$C$6+V110*$U110))</f>
      </c>
      <c r="I110" s="25">
        <f>IF(N109&lt;=0,0,MIN(N109+D110,$D$6+W110*$U110))</f>
      </c>
      <c r="J110" s="25">
        <f>IF(O109&lt;=0,0,MIN(O109+E110,$E$6+X110*$U110))</f>
      </c>
      <c r="K110" s="25">
        <f>IF(P109&lt;=0,0,MIN(P109+F110,$F$6+Y110*$U110))</f>
      </c>
      <c r="L110" s="25">
        <f>IF(Q109&lt;=0,0,MIN(Q109+G110,$G$6+Z110*$U110))</f>
      </c>
      <c r="M110" s="25">
        <f>ROUND(M109+C110-H110,2)</f>
      </c>
      <c r="N110" s="25">
        <f>ROUND(N109+D110-I110,2)</f>
      </c>
      <c r="O110" s="25">
        <f>ROUND(O109+E110-J110,2)</f>
      </c>
      <c r="P110" s="25">
        <f>ROUND(P109+F110-K110,2)</f>
      </c>
      <c r="Q110" s="25">
        <f>ROUND(Q109+G110-L110,2)</f>
      </c>
      <c r="R110" s="25">
        <f>SUM(H110:L110)</f>
      </c>
      <c r="S110" s="25">
        <f>SUM(C110:G110)</f>
      </c>
      <c r="T110" s="25">
        <f>SUM(M110:Q110)</f>
      </c>
      <c r="U110" s="26">
        <f>Debts!$B$13+SUMPRODUCT(($M109:$Q109&lt;=0)*$C$6:$G$6)</f>
      </c>
      <c r="V110" s="27">
        <f>IF(AND(M109&gt;0,SUMPRODUCT(($C$7:$G$7&lt;$C$7)*($M109:$Q109&gt;0))=0),1,0)</f>
      </c>
      <c r="W110" s="27">
        <f>IF(AND(N109&gt;0,SUMPRODUCT(($C$7:$G$7&lt;$D$7)*($M109:$Q109&gt;0))=0),1,0)</f>
      </c>
      <c r="X110" s="27">
        <f>IF(AND(O109&gt;0,SUMPRODUCT(($C$7:$G$7&lt;$E$7)*($M109:$Q109&gt;0))=0),1,0)</f>
      </c>
      <c r="Y110" s="27">
        <f>IF(AND(P109&gt;0,SUMPRODUCT(($C$7:$G$7&lt;$F$7)*($M109:$Q109&gt;0))=0),1,0)</f>
      </c>
      <c r="Z110" s="27">
        <f>IF(AND(Q109&gt;0,SUMPRODUCT(($C$7:$G$7&lt;$G$7)*($M109:$Q109&gt;0))=0),1,0)</f>
      </c>
    </row>
    <row r="111" spans="1:26" x14ac:dyDescent="0.25">
      <c r="A111" s="12">
        <f>A110+1</f>
      </c>
      <c r="B111" s="28">
        <f>EDATE(Debts!$B$14,A111)</f>
      </c>
      <c r="C111" s="29">
        <f>IF(M110&lt;=0,0,ROUND(M110*$C$5/12,2))</f>
      </c>
      <c r="D111" s="29">
        <f>IF(N110&lt;=0,0,ROUND(N110*$D$5/12,2))</f>
      </c>
      <c r="E111" s="29">
        <f>IF(O110&lt;=0,0,ROUND(O110*$E$5/12,2))</f>
      </c>
      <c r="F111" s="29">
        <f>IF(P110&lt;=0,0,ROUND(P110*$F$5/12,2))</f>
      </c>
      <c r="G111" s="29">
        <f>IF(Q110&lt;=0,0,ROUND(Q110*$G$5/12,2))</f>
      </c>
      <c r="H111" s="29">
        <f>IF(M110&lt;=0,0,MIN(M110+C111,$C$6+V111*$U111))</f>
      </c>
      <c r="I111" s="29">
        <f>IF(N110&lt;=0,0,MIN(N110+D111,$D$6+W111*$U111))</f>
      </c>
      <c r="J111" s="29">
        <f>IF(O110&lt;=0,0,MIN(O110+E111,$E$6+X111*$U111))</f>
      </c>
      <c r="K111" s="29">
        <f>IF(P110&lt;=0,0,MIN(P110+F111,$F$6+Y111*$U111))</f>
      </c>
      <c r="L111" s="29">
        <f>IF(Q110&lt;=0,0,MIN(Q110+G111,$G$6+Z111*$U111))</f>
      </c>
      <c r="M111" s="29">
        <f>ROUND(M110+C111-H111,2)</f>
      </c>
      <c r="N111" s="29">
        <f>ROUND(N110+D111-I111,2)</f>
      </c>
      <c r="O111" s="29">
        <f>ROUND(O110+E111-J111,2)</f>
      </c>
      <c r="P111" s="29">
        <f>ROUND(P110+F111-K111,2)</f>
      </c>
      <c r="Q111" s="29">
        <f>ROUND(Q110+G111-L111,2)</f>
      </c>
      <c r="R111" s="29">
        <f>SUM(H111:L111)</f>
      </c>
      <c r="S111" s="29">
        <f>SUM(C111:G111)</f>
      </c>
      <c r="T111" s="29">
        <f>SUM(M111:Q111)</f>
      </c>
      <c r="U111" s="30">
        <f>Debts!$B$13+SUMPRODUCT(($M110:$Q110&lt;=0)*$C$6:$G$6)</f>
      </c>
      <c r="V111" s="31">
        <f>IF(AND(M110&gt;0,SUMPRODUCT(($C$7:$G$7&lt;$C$7)*($M110:$Q110&gt;0))=0),1,0)</f>
      </c>
      <c r="W111" s="31">
        <f>IF(AND(N110&gt;0,SUMPRODUCT(($C$7:$G$7&lt;$D$7)*($M110:$Q110&gt;0))=0),1,0)</f>
      </c>
      <c r="X111" s="31">
        <f>IF(AND(O110&gt;0,SUMPRODUCT(($C$7:$G$7&lt;$E$7)*($M110:$Q110&gt;0))=0),1,0)</f>
      </c>
      <c r="Y111" s="31">
        <f>IF(AND(P110&gt;0,SUMPRODUCT(($C$7:$G$7&lt;$F$7)*($M110:$Q110&gt;0))=0),1,0)</f>
      </c>
      <c r="Z111" s="31">
        <f>IF(AND(Q110&gt;0,SUMPRODUCT(($C$7:$G$7&lt;$G$7)*($M110:$Q110&gt;0))=0),1,0)</f>
      </c>
    </row>
    <row r="112" spans="1:26" x14ac:dyDescent="0.25">
      <c r="A112" s="11">
        <f>A111+1</f>
      </c>
      <c r="B112" s="24">
        <f>EDATE(Debts!$B$14,A112)</f>
      </c>
      <c r="C112" s="25">
        <f>IF(M111&lt;=0,0,ROUND(M111*$C$5/12,2))</f>
      </c>
      <c r="D112" s="25">
        <f>IF(N111&lt;=0,0,ROUND(N111*$D$5/12,2))</f>
      </c>
      <c r="E112" s="25">
        <f>IF(O111&lt;=0,0,ROUND(O111*$E$5/12,2))</f>
      </c>
      <c r="F112" s="25">
        <f>IF(P111&lt;=0,0,ROUND(P111*$F$5/12,2))</f>
      </c>
      <c r="G112" s="25">
        <f>IF(Q111&lt;=0,0,ROUND(Q111*$G$5/12,2))</f>
      </c>
      <c r="H112" s="25">
        <f>IF(M111&lt;=0,0,MIN(M111+C112,$C$6+V112*$U112))</f>
      </c>
      <c r="I112" s="25">
        <f>IF(N111&lt;=0,0,MIN(N111+D112,$D$6+W112*$U112))</f>
      </c>
      <c r="J112" s="25">
        <f>IF(O111&lt;=0,0,MIN(O111+E112,$E$6+X112*$U112))</f>
      </c>
      <c r="K112" s="25">
        <f>IF(P111&lt;=0,0,MIN(P111+F112,$F$6+Y112*$U112))</f>
      </c>
      <c r="L112" s="25">
        <f>IF(Q111&lt;=0,0,MIN(Q111+G112,$G$6+Z112*$U112))</f>
      </c>
      <c r="M112" s="25">
        <f>ROUND(M111+C112-H112,2)</f>
      </c>
      <c r="N112" s="25">
        <f>ROUND(N111+D112-I112,2)</f>
      </c>
      <c r="O112" s="25">
        <f>ROUND(O111+E112-J112,2)</f>
      </c>
      <c r="P112" s="25">
        <f>ROUND(P111+F112-K112,2)</f>
      </c>
      <c r="Q112" s="25">
        <f>ROUND(Q111+G112-L112,2)</f>
      </c>
      <c r="R112" s="25">
        <f>SUM(H112:L112)</f>
      </c>
      <c r="S112" s="25">
        <f>SUM(C112:G112)</f>
      </c>
      <c r="T112" s="25">
        <f>SUM(M112:Q112)</f>
      </c>
      <c r="U112" s="26">
        <f>Debts!$B$13+SUMPRODUCT(($M111:$Q111&lt;=0)*$C$6:$G$6)</f>
      </c>
      <c r="V112" s="27">
        <f>IF(AND(M111&gt;0,SUMPRODUCT(($C$7:$G$7&lt;$C$7)*($M111:$Q111&gt;0))=0),1,0)</f>
      </c>
      <c r="W112" s="27">
        <f>IF(AND(N111&gt;0,SUMPRODUCT(($C$7:$G$7&lt;$D$7)*($M111:$Q111&gt;0))=0),1,0)</f>
      </c>
      <c r="X112" s="27">
        <f>IF(AND(O111&gt;0,SUMPRODUCT(($C$7:$G$7&lt;$E$7)*($M111:$Q111&gt;0))=0),1,0)</f>
      </c>
      <c r="Y112" s="27">
        <f>IF(AND(P111&gt;0,SUMPRODUCT(($C$7:$G$7&lt;$F$7)*($M111:$Q111&gt;0))=0),1,0)</f>
      </c>
      <c r="Z112" s="27">
        <f>IF(AND(Q111&gt;0,SUMPRODUCT(($C$7:$G$7&lt;$G$7)*($M111:$Q111&gt;0))=0),1,0)</f>
      </c>
    </row>
    <row r="113" spans="1:26" x14ac:dyDescent="0.25">
      <c r="A113" s="12">
        <f>A112+1</f>
      </c>
      <c r="B113" s="28">
        <f>EDATE(Debts!$B$14,A113)</f>
      </c>
      <c r="C113" s="29">
        <f>IF(M112&lt;=0,0,ROUND(M112*$C$5/12,2))</f>
      </c>
      <c r="D113" s="29">
        <f>IF(N112&lt;=0,0,ROUND(N112*$D$5/12,2))</f>
      </c>
      <c r="E113" s="29">
        <f>IF(O112&lt;=0,0,ROUND(O112*$E$5/12,2))</f>
      </c>
      <c r="F113" s="29">
        <f>IF(P112&lt;=0,0,ROUND(P112*$F$5/12,2))</f>
      </c>
      <c r="G113" s="29">
        <f>IF(Q112&lt;=0,0,ROUND(Q112*$G$5/12,2))</f>
      </c>
      <c r="H113" s="29">
        <f>IF(M112&lt;=0,0,MIN(M112+C113,$C$6+V113*$U113))</f>
      </c>
      <c r="I113" s="29">
        <f>IF(N112&lt;=0,0,MIN(N112+D113,$D$6+W113*$U113))</f>
      </c>
      <c r="J113" s="29">
        <f>IF(O112&lt;=0,0,MIN(O112+E113,$E$6+X113*$U113))</f>
      </c>
      <c r="K113" s="29">
        <f>IF(P112&lt;=0,0,MIN(P112+F113,$F$6+Y113*$U113))</f>
      </c>
      <c r="L113" s="29">
        <f>IF(Q112&lt;=0,0,MIN(Q112+G113,$G$6+Z113*$U113))</f>
      </c>
      <c r="M113" s="29">
        <f>ROUND(M112+C113-H113,2)</f>
      </c>
      <c r="N113" s="29">
        <f>ROUND(N112+D113-I113,2)</f>
      </c>
      <c r="O113" s="29">
        <f>ROUND(O112+E113-J113,2)</f>
      </c>
      <c r="P113" s="29">
        <f>ROUND(P112+F113-K113,2)</f>
      </c>
      <c r="Q113" s="29">
        <f>ROUND(Q112+G113-L113,2)</f>
      </c>
      <c r="R113" s="29">
        <f>SUM(H113:L113)</f>
      </c>
      <c r="S113" s="29">
        <f>SUM(C113:G113)</f>
      </c>
      <c r="T113" s="29">
        <f>SUM(M113:Q113)</f>
      </c>
      <c r="U113" s="30">
        <f>Debts!$B$13+SUMPRODUCT(($M112:$Q112&lt;=0)*$C$6:$G$6)</f>
      </c>
      <c r="V113" s="31">
        <f>IF(AND(M112&gt;0,SUMPRODUCT(($C$7:$G$7&lt;$C$7)*($M112:$Q112&gt;0))=0),1,0)</f>
      </c>
      <c r="W113" s="31">
        <f>IF(AND(N112&gt;0,SUMPRODUCT(($C$7:$G$7&lt;$D$7)*($M112:$Q112&gt;0))=0),1,0)</f>
      </c>
      <c r="X113" s="31">
        <f>IF(AND(O112&gt;0,SUMPRODUCT(($C$7:$G$7&lt;$E$7)*($M112:$Q112&gt;0))=0),1,0)</f>
      </c>
      <c r="Y113" s="31">
        <f>IF(AND(P112&gt;0,SUMPRODUCT(($C$7:$G$7&lt;$F$7)*($M112:$Q112&gt;0))=0),1,0)</f>
      </c>
      <c r="Z113" s="31">
        <f>IF(AND(Q112&gt;0,SUMPRODUCT(($C$7:$G$7&lt;$G$7)*($M112:$Q112&gt;0))=0),1,0)</f>
      </c>
    </row>
    <row r="114" spans="1:26" x14ac:dyDescent="0.25">
      <c r="A114" s="11">
        <f>A113+1</f>
      </c>
      <c r="B114" s="24">
        <f>EDATE(Debts!$B$14,A114)</f>
      </c>
      <c r="C114" s="25">
        <f>IF(M113&lt;=0,0,ROUND(M113*$C$5/12,2))</f>
      </c>
      <c r="D114" s="25">
        <f>IF(N113&lt;=0,0,ROUND(N113*$D$5/12,2))</f>
      </c>
      <c r="E114" s="25">
        <f>IF(O113&lt;=0,0,ROUND(O113*$E$5/12,2))</f>
      </c>
      <c r="F114" s="25">
        <f>IF(P113&lt;=0,0,ROUND(P113*$F$5/12,2))</f>
      </c>
      <c r="G114" s="25">
        <f>IF(Q113&lt;=0,0,ROUND(Q113*$G$5/12,2))</f>
      </c>
      <c r="H114" s="25">
        <f>IF(M113&lt;=0,0,MIN(M113+C114,$C$6+V114*$U114))</f>
      </c>
      <c r="I114" s="25">
        <f>IF(N113&lt;=0,0,MIN(N113+D114,$D$6+W114*$U114))</f>
      </c>
      <c r="J114" s="25">
        <f>IF(O113&lt;=0,0,MIN(O113+E114,$E$6+X114*$U114))</f>
      </c>
      <c r="K114" s="25">
        <f>IF(P113&lt;=0,0,MIN(P113+F114,$F$6+Y114*$U114))</f>
      </c>
      <c r="L114" s="25">
        <f>IF(Q113&lt;=0,0,MIN(Q113+G114,$G$6+Z114*$U114))</f>
      </c>
      <c r="M114" s="25">
        <f>ROUND(M113+C114-H114,2)</f>
      </c>
      <c r="N114" s="25">
        <f>ROUND(N113+D114-I114,2)</f>
      </c>
      <c r="O114" s="25">
        <f>ROUND(O113+E114-J114,2)</f>
      </c>
      <c r="P114" s="25">
        <f>ROUND(P113+F114-K114,2)</f>
      </c>
      <c r="Q114" s="25">
        <f>ROUND(Q113+G114-L114,2)</f>
      </c>
      <c r="R114" s="25">
        <f>SUM(H114:L114)</f>
      </c>
      <c r="S114" s="25">
        <f>SUM(C114:G114)</f>
      </c>
      <c r="T114" s="25">
        <f>SUM(M114:Q114)</f>
      </c>
      <c r="U114" s="26">
        <f>Debts!$B$13+SUMPRODUCT(($M113:$Q113&lt;=0)*$C$6:$G$6)</f>
      </c>
      <c r="V114" s="27">
        <f>IF(AND(M113&gt;0,SUMPRODUCT(($C$7:$G$7&lt;$C$7)*($M113:$Q113&gt;0))=0),1,0)</f>
      </c>
      <c r="W114" s="27">
        <f>IF(AND(N113&gt;0,SUMPRODUCT(($C$7:$G$7&lt;$D$7)*($M113:$Q113&gt;0))=0),1,0)</f>
      </c>
      <c r="X114" s="27">
        <f>IF(AND(O113&gt;0,SUMPRODUCT(($C$7:$G$7&lt;$E$7)*($M113:$Q113&gt;0))=0),1,0)</f>
      </c>
      <c r="Y114" s="27">
        <f>IF(AND(P113&gt;0,SUMPRODUCT(($C$7:$G$7&lt;$F$7)*($M113:$Q113&gt;0))=0),1,0)</f>
      </c>
      <c r="Z114" s="27">
        <f>IF(AND(Q113&gt;0,SUMPRODUCT(($C$7:$G$7&lt;$G$7)*($M113:$Q113&gt;0))=0),1,0)</f>
      </c>
    </row>
    <row r="115" spans="1:26" x14ac:dyDescent="0.25">
      <c r="A115" s="12">
        <f>A114+1</f>
      </c>
      <c r="B115" s="28">
        <f>EDATE(Debts!$B$14,A115)</f>
      </c>
      <c r="C115" s="29">
        <f>IF(M114&lt;=0,0,ROUND(M114*$C$5/12,2))</f>
      </c>
      <c r="D115" s="29">
        <f>IF(N114&lt;=0,0,ROUND(N114*$D$5/12,2))</f>
      </c>
      <c r="E115" s="29">
        <f>IF(O114&lt;=0,0,ROUND(O114*$E$5/12,2))</f>
      </c>
      <c r="F115" s="29">
        <f>IF(P114&lt;=0,0,ROUND(P114*$F$5/12,2))</f>
      </c>
      <c r="G115" s="29">
        <f>IF(Q114&lt;=0,0,ROUND(Q114*$G$5/12,2))</f>
      </c>
      <c r="H115" s="29">
        <f>IF(M114&lt;=0,0,MIN(M114+C115,$C$6+V115*$U115))</f>
      </c>
      <c r="I115" s="29">
        <f>IF(N114&lt;=0,0,MIN(N114+D115,$D$6+W115*$U115))</f>
      </c>
      <c r="J115" s="29">
        <f>IF(O114&lt;=0,0,MIN(O114+E115,$E$6+X115*$U115))</f>
      </c>
      <c r="K115" s="29">
        <f>IF(P114&lt;=0,0,MIN(P114+F115,$F$6+Y115*$U115))</f>
      </c>
      <c r="L115" s="29">
        <f>IF(Q114&lt;=0,0,MIN(Q114+G115,$G$6+Z115*$U115))</f>
      </c>
      <c r="M115" s="29">
        <f>ROUND(M114+C115-H115,2)</f>
      </c>
      <c r="N115" s="29">
        <f>ROUND(N114+D115-I115,2)</f>
      </c>
      <c r="O115" s="29">
        <f>ROUND(O114+E115-J115,2)</f>
      </c>
      <c r="P115" s="29">
        <f>ROUND(P114+F115-K115,2)</f>
      </c>
      <c r="Q115" s="29">
        <f>ROUND(Q114+G115-L115,2)</f>
      </c>
      <c r="R115" s="29">
        <f>SUM(H115:L115)</f>
      </c>
      <c r="S115" s="29">
        <f>SUM(C115:G115)</f>
      </c>
      <c r="T115" s="29">
        <f>SUM(M115:Q115)</f>
      </c>
      <c r="U115" s="30">
        <f>Debts!$B$13+SUMPRODUCT(($M114:$Q114&lt;=0)*$C$6:$G$6)</f>
      </c>
      <c r="V115" s="31">
        <f>IF(AND(M114&gt;0,SUMPRODUCT(($C$7:$G$7&lt;$C$7)*($M114:$Q114&gt;0))=0),1,0)</f>
      </c>
      <c r="W115" s="31">
        <f>IF(AND(N114&gt;0,SUMPRODUCT(($C$7:$G$7&lt;$D$7)*($M114:$Q114&gt;0))=0),1,0)</f>
      </c>
      <c r="X115" s="31">
        <f>IF(AND(O114&gt;0,SUMPRODUCT(($C$7:$G$7&lt;$E$7)*($M114:$Q114&gt;0))=0),1,0)</f>
      </c>
      <c r="Y115" s="31">
        <f>IF(AND(P114&gt;0,SUMPRODUCT(($C$7:$G$7&lt;$F$7)*($M114:$Q114&gt;0))=0),1,0)</f>
      </c>
      <c r="Z115" s="31">
        <f>IF(AND(Q114&gt;0,SUMPRODUCT(($C$7:$G$7&lt;$G$7)*($M114:$Q114&gt;0))=0),1,0)</f>
      </c>
    </row>
    <row r="116" spans="1:26" x14ac:dyDescent="0.25">
      <c r="A116" s="11">
        <f>A115+1</f>
      </c>
      <c r="B116" s="24">
        <f>EDATE(Debts!$B$14,A116)</f>
      </c>
      <c r="C116" s="25">
        <f>IF(M115&lt;=0,0,ROUND(M115*$C$5/12,2))</f>
      </c>
      <c r="D116" s="25">
        <f>IF(N115&lt;=0,0,ROUND(N115*$D$5/12,2))</f>
      </c>
      <c r="E116" s="25">
        <f>IF(O115&lt;=0,0,ROUND(O115*$E$5/12,2))</f>
      </c>
      <c r="F116" s="25">
        <f>IF(P115&lt;=0,0,ROUND(P115*$F$5/12,2))</f>
      </c>
      <c r="G116" s="25">
        <f>IF(Q115&lt;=0,0,ROUND(Q115*$G$5/12,2))</f>
      </c>
      <c r="H116" s="25">
        <f>IF(M115&lt;=0,0,MIN(M115+C116,$C$6+V116*$U116))</f>
      </c>
      <c r="I116" s="25">
        <f>IF(N115&lt;=0,0,MIN(N115+D116,$D$6+W116*$U116))</f>
      </c>
      <c r="J116" s="25">
        <f>IF(O115&lt;=0,0,MIN(O115+E116,$E$6+X116*$U116))</f>
      </c>
      <c r="K116" s="25">
        <f>IF(P115&lt;=0,0,MIN(P115+F116,$F$6+Y116*$U116))</f>
      </c>
      <c r="L116" s="25">
        <f>IF(Q115&lt;=0,0,MIN(Q115+G116,$G$6+Z116*$U116))</f>
      </c>
      <c r="M116" s="25">
        <f>ROUND(M115+C116-H116,2)</f>
      </c>
      <c r="N116" s="25">
        <f>ROUND(N115+D116-I116,2)</f>
      </c>
      <c r="O116" s="25">
        <f>ROUND(O115+E116-J116,2)</f>
      </c>
      <c r="P116" s="25">
        <f>ROUND(P115+F116-K116,2)</f>
      </c>
      <c r="Q116" s="25">
        <f>ROUND(Q115+G116-L116,2)</f>
      </c>
      <c r="R116" s="25">
        <f>SUM(H116:L116)</f>
      </c>
      <c r="S116" s="25">
        <f>SUM(C116:G116)</f>
      </c>
      <c r="T116" s="25">
        <f>SUM(M116:Q116)</f>
      </c>
      <c r="U116" s="26">
        <f>Debts!$B$13+SUMPRODUCT(($M115:$Q115&lt;=0)*$C$6:$G$6)</f>
      </c>
      <c r="V116" s="27">
        <f>IF(AND(M115&gt;0,SUMPRODUCT(($C$7:$G$7&lt;$C$7)*($M115:$Q115&gt;0))=0),1,0)</f>
      </c>
      <c r="W116" s="27">
        <f>IF(AND(N115&gt;0,SUMPRODUCT(($C$7:$G$7&lt;$D$7)*($M115:$Q115&gt;0))=0),1,0)</f>
      </c>
      <c r="X116" s="27">
        <f>IF(AND(O115&gt;0,SUMPRODUCT(($C$7:$G$7&lt;$E$7)*($M115:$Q115&gt;0))=0),1,0)</f>
      </c>
      <c r="Y116" s="27">
        <f>IF(AND(P115&gt;0,SUMPRODUCT(($C$7:$G$7&lt;$F$7)*($M115:$Q115&gt;0))=0),1,0)</f>
      </c>
      <c r="Z116" s="27">
        <f>IF(AND(Q115&gt;0,SUMPRODUCT(($C$7:$G$7&lt;$G$7)*($M115:$Q115&gt;0))=0),1,0)</f>
      </c>
    </row>
    <row r="117" spans="1:26" x14ac:dyDescent="0.25">
      <c r="A117" s="12">
        <f>A116+1</f>
      </c>
      <c r="B117" s="28">
        <f>EDATE(Debts!$B$14,A117)</f>
      </c>
      <c r="C117" s="29">
        <f>IF(M116&lt;=0,0,ROUND(M116*$C$5/12,2))</f>
      </c>
      <c r="D117" s="29">
        <f>IF(N116&lt;=0,0,ROUND(N116*$D$5/12,2))</f>
      </c>
      <c r="E117" s="29">
        <f>IF(O116&lt;=0,0,ROUND(O116*$E$5/12,2))</f>
      </c>
      <c r="F117" s="29">
        <f>IF(P116&lt;=0,0,ROUND(P116*$F$5/12,2))</f>
      </c>
      <c r="G117" s="29">
        <f>IF(Q116&lt;=0,0,ROUND(Q116*$G$5/12,2))</f>
      </c>
      <c r="H117" s="29">
        <f>IF(M116&lt;=0,0,MIN(M116+C117,$C$6+V117*$U117))</f>
      </c>
      <c r="I117" s="29">
        <f>IF(N116&lt;=0,0,MIN(N116+D117,$D$6+W117*$U117))</f>
      </c>
      <c r="J117" s="29">
        <f>IF(O116&lt;=0,0,MIN(O116+E117,$E$6+X117*$U117))</f>
      </c>
      <c r="K117" s="29">
        <f>IF(P116&lt;=0,0,MIN(P116+F117,$F$6+Y117*$U117))</f>
      </c>
      <c r="L117" s="29">
        <f>IF(Q116&lt;=0,0,MIN(Q116+G117,$G$6+Z117*$U117))</f>
      </c>
      <c r="M117" s="29">
        <f>ROUND(M116+C117-H117,2)</f>
      </c>
      <c r="N117" s="29">
        <f>ROUND(N116+D117-I117,2)</f>
      </c>
      <c r="O117" s="29">
        <f>ROUND(O116+E117-J117,2)</f>
      </c>
      <c r="P117" s="29">
        <f>ROUND(P116+F117-K117,2)</f>
      </c>
      <c r="Q117" s="29">
        <f>ROUND(Q116+G117-L117,2)</f>
      </c>
      <c r="R117" s="29">
        <f>SUM(H117:L117)</f>
      </c>
      <c r="S117" s="29">
        <f>SUM(C117:G117)</f>
      </c>
      <c r="T117" s="29">
        <f>SUM(M117:Q117)</f>
      </c>
      <c r="U117" s="30">
        <f>Debts!$B$13+SUMPRODUCT(($M116:$Q116&lt;=0)*$C$6:$G$6)</f>
      </c>
      <c r="V117" s="31">
        <f>IF(AND(M116&gt;0,SUMPRODUCT(($C$7:$G$7&lt;$C$7)*($M116:$Q116&gt;0))=0),1,0)</f>
      </c>
      <c r="W117" s="31">
        <f>IF(AND(N116&gt;0,SUMPRODUCT(($C$7:$G$7&lt;$D$7)*($M116:$Q116&gt;0))=0),1,0)</f>
      </c>
      <c r="X117" s="31">
        <f>IF(AND(O116&gt;0,SUMPRODUCT(($C$7:$G$7&lt;$E$7)*($M116:$Q116&gt;0))=0),1,0)</f>
      </c>
      <c r="Y117" s="31">
        <f>IF(AND(P116&gt;0,SUMPRODUCT(($C$7:$G$7&lt;$F$7)*($M116:$Q116&gt;0))=0),1,0)</f>
      </c>
      <c r="Z117" s="31">
        <f>IF(AND(Q116&gt;0,SUMPRODUCT(($C$7:$G$7&lt;$G$7)*($M116:$Q116&gt;0))=0),1,0)</f>
      </c>
    </row>
    <row r="118" spans="1:26" x14ac:dyDescent="0.25">
      <c r="A118" s="11">
        <f>A117+1</f>
      </c>
      <c r="B118" s="24">
        <f>EDATE(Debts!$B$14,A118)</f>
      </c>
      <c r="C118" s="25">
        <f>IF(M117&lt;=0,0,ROUND(M117*$C$5/12,2))</f>
      </c>
      <c r="D118" s="25">
        <f>IF(N117&lt;=0,0,ROUND(N117*$D$5/12,2))</f>
      </c>
      <c r="E118" s="25">
        <f>IF(O117&lt;=0,0,ROUND(O117*$E$5/12,2))</f>
      </c>
      <c r="F118" s="25">
        <f>IF(P117&lt;=0,0,ROUND(P117*$F$5/12,2))</f>
      </c>
      <c r="G118" s="25">
        <f>IF(Q117&lt;=0,0,ROUND(Q117*$G$5/12,2))</f>
      </c>
      <c r="H118" s="25">
        <f>IF(M117&lt;=0,0,MIN(M117+C118,$C$6+V118*$U118))</f>
      </c>
      <c r="I118" s="25">
        <f>IF(N117&lt;=0,0,MIN(N117+D118,$D$6+W118*$U118))</f>
      </c>
      <c r="J118" s="25">
        <f>IF(O117&lt;=0,0,MIN(O117+E118,$E$6+X118*$U118))</f>
      </c>
      <c r="K118" s="25">
        <f>IF(P117&lt;=0,0,MIN(P117+F118,$F$6+Y118*$U118))</f>
      </c>
      <c r="L118" s="25">
        <f>IF(Q117&lt;=0,0,MIN(Q117+G118,$G$6+Z118*$U118))</f>
      </c>
      <c r="M118" s="25">
        <f>ROUND(M117+C118-H118,2)</f>
      </c>
      <c r="N118" s="25">
        <f>ROUND(N117+D118-I118,2)</f>
      </c>
      <c r="O118" s="25">
        <f>ROUND(O117+E118-J118,2)</f>
      </c>
      <c r="P118" s="25">
        <f>ROUND(P117+F118-K118,2)</f>
      </c>
      <c r="Q118" s="25">
        <f>ROUND(Q117+G118-L118,2)</f>
      </c>
      <c r="R118" s="25">
        <f>SUM(H118:L118)</f>
      </c>
      <c r="S118" s="25">
        <f>SUM(C118:G118)</f>
      </c>
      <c r="T118" s="25">
        <f>SUM(M118:Q118)</f>
      </c>
      <c r="U118" s="26">
        <f>Debts!$B$13+SUMPRODUCT(($M117:$Q117&lt;=0)*$C$6:$G$6)</f>
      </c>
      <c r="V118" s="27">
        <f>IF(AND(M117&gt;0,SUMPRODUCT(($C$7:$G$7&lt;$C$7)*($M117:$Q117&gt;0))=0),1,0)</f>
      </c>
      <c r="W118" s="27">
        <f>IF(AND(N117&gt;0,SUMPRODUCT(($C$7:$G$7&lt;$D$7)*($M117:$Q117&gt;0))=0),1,0)</f>
      </c>
      <c r="X118" s="27">
        <f>IF(AND(O117&gt;0,SUMPRODUCT(($C$7:$G$7&lt;$E$7)*($M117:$Q117&gt;0))=0),1,0)</f>
      </c>
      <c r="Y118" s="27">
        <f>IF(AND(P117&gt;0,SUMPRODUCT(($C$7:$G$7&lt;$F$7)*($M117:$Q117&gt;0))=0),1,0)</f>
      </c>
      <c r="Z118" s="27">
        <f>IF(AND(Q117&gt;0,SUMPRODUCT(($C$7:$G$7&lt;$G$7)*($M117:$Q117&gt;0))=0),1,0)</f>
      </c>
    </row>
    <row r="119" spans="1:26" x14ac:dyDescent="0.25">
      <c r="A119" s="12">
        <f>A118+1</f>
      </c>
      <c r="B119" s="28">
        <f>EDATE(Debts!$B$14,A119)</f>
      </c>
      <c r="C119" s="29">
        <f>IF(M118&lt;=0,0,ROUND(M118*$C$5/12,2))</f>
      </c>
      <c r="D119" s="29">
        <f>IF(N118&lt;=0,0,ROUND(N118*$D$5/12,2))</f>
      </c>
      <c r="E119" s="29">
        <f>IF(O118&lt;=0,0,ROUND(O118*$E$5/12,2))</f>
      </c>
      <c r="F119" s="29">
        <f>IF(P118&lt;=0,0,ROUND(P118*$F$5/12,2))</f>
      </c>
      <c r="G119" s="29">
        <f>IF(Q118&lt;=0,0,ROUND(Q118*$G$5/12,2))</f>
      </c>
      <c r="H119" s="29">
        <f>IF(M118&lt;=0,0,MIN(M118+C119,$C$6+V119*$U119))</f>
      </c>
      <c r="I119" s="29">
        <f>IF(N118&lt;=0,0,MIN(N118+D119,$D$6+W119*$U119))</f>
      </c>
      <c r="J119" s="29">
        <f>IF(O118&lt;=0,0,MIN(O118+E119,$E$6+X119*$U119))</f>
      </c>
      <c r="K119" s="29">
        <f>IF(P118&lt;=0,0,MIN(P118+F119,$F$6+Y119*$U119))</f>
      </c>
      <c r="L119" s="29">
        <f>IF(Q118&lt;=0,0,MIN(Q118+G119,$G$6+Z119*$U119))</f>
      </c>
      <c r="M119" s="29">
        <f>ROUND(M118+C119-H119,2)</f>
      </c>
      <c r="N119" s="29">
        <f>ROUND(N118+D119-I119,2)</f>
      </c>
      <c r="O119" s="29">
        <f>ROUND(O118+E119-J119,2)</f>
      </c>
      <c r="P119" s="29">
        <f>ROUND(P118+F119-K119,2)</f>
      </c>
      <c r="Q119" s="29">
        <f>ROUND(Q118+G119-L119,2)</f>
      </c>
      <c r="R119" s="29">
        <f>SUM(H119:L119)</f>
      </c>
      <c r="S119" s="29">
        <f>SUM(C119:G119)</f>
      </c>
      <c r="T119" s="29">
        <f>SUM(M119:Q119)</f>
      </c>
      <c r="U119" s="30">
        <f>Debts!$B$13+SUMPRODUCT(($M118:$Q118&lt;=0)*$C$6:$G$6)</f>
      </c>
      <c r="V119" s="31">
        <f>IF(AND(M118&gt;0,SUMPRODUCT(($C$7:$G$7&lt;$C$7)*($M118:$Q118&gt;0))=0),1,0)</f>
      </c>
      <c r="W119" s="31">
        <f>IF(AND(N118&gt;0,SUMPRODUCT(($C$7:$G$7&lt;$D$7)*($M118:$Q118&gt;0))=0),1,0)</f>
      </c>
      <c r="X119" s="31">
        <f>IF(AND(O118&gt;0,SUMPRODUCT(($C$7:$G$7&lt;$E$7)*($M118:$Q118&gt;0))=0),1,0)</f>
      </c>
      <c r="Y119" s="31">
        <f>IF(AND(P118&gt;0,SUMPRODUCT(($C$7:$G$7&lt;$F$7)*($M118:$Q118&gt;0))=0),1,0)</f>
      </c>
      <c r="Z119" s="31">
        <f>IF(AND(Q118&gt;0,SUMPRODUCT(($C$7:$G$7&lt;$G$7)*($M118:$Q118&gt;0))=0),1,0)</f>
      </c>
    </row>
    <row r="120" spans="1:26" x14ac:dyDescent="0.25">
      <c r="A120" s="11">
        <f>A119+1</f>
      </c>
      <c r="B120" s="24">
        <f>EDATE(Debts!$B$14,A120)</f>
      </c>
      <c r="C120" s="25">
        <f>IF(M119&lt;=0,0,ROUND(M119*$C$5/12,2))</f>
      </c>
      <c r="D120" s="25">
        <f>IF(N119&lt;=0,0,ROUND(N119*$D$5/12,2))</f>
      </c>
      <c r="E120" s="25">
        <f>IF(O119&lt;=0,0,ROUND(O119*$E$5/12,2))</f>
      </c>
      <c r="F120" s="25">
        <f>IF(P119&lt;=0,0,ROUND(P119*$F$5/12,2))</f>
      </c>
      <c r="G120" s="25">
        <f>IF(Q119&lt;=0,0,ROUND(Q119*$G$5/12,2))</f>
      </c>
      <c r="H120" s="25">
        <f>IF(M119&lt;=0,0,MIN(M119+C120,$C$6+V120*$U120))</f>
      </c>
      <c r="I120" s="25">
        <f>IF(N119&lt;=0,0,MIN(N119+D120,$D$6+W120*$U120))</f>
      </c>
      <c r="J120" s="25">
        <f>IF(O119&lt;=0,0,MIN(O119+E120,$E$6+X120*$U120))</f>
      </c>
      <c r="K120" s="25">
        <f>IF(P119&lt;=0,0,MIN(P119+F120,$F$6+Y120*$U120))</f>
      </c>
      <c r="L120" s="25">
        <f>IF(Q119&lt;=0,0,MIN(Q119+G120,$G$6+Z120*$U120))</f>
      </c>
      <c r="M120" s="25">
        <f>ROUND(M119+C120-H120,2)</f>
      </c>
      <c r="N120" s="25">
        <f>ROUND(N119+D120-I120,2)</f>
      </c>
      <c r="O120" s="25">
        <f>ROUND(O119+E120-J120,2)</f>
      </c>
      <c r="P120" s="25">
        <f>ROUND(P119+F120-K120,2)</f>
      </c>
      <c r="Q120" s="25">
        <f>ROUND(Q119+G120-L120,2)</f>
      </c>
      <c r="R120" s="25">
        <f>SUM(H120:L120)</f>
      </c>
      <c r="S120" s="25">
        <f>SUM(C120:G120)</f>
      </c>
      <c r="T120" s="25">
        <f>SUM(M120:Q120)</f>
      </c>
      <c r="U120" s="26">
        <f>Debts!$B$13+SUMPRODUCT(($M119:$Q119&lt;=0)*$C$6:$G$6)</f>
      </c>
      <c r="V120" s="27">
        <f>IF(AND(M119&gt;0,SUMPRODUCT(($C$7:$G$7&lt;$C$7)*($M119:$Q119&gt;0))=0),1,0)</f>
      </c>
      <c r="W120" s="27">
        <f>IF(AND(N119&gt;0,SUMPRODUCT(($C$7:$G$7&lt;$D$7)*($M119:$Q119&gt;0))=0),1,0)</f>
      </c>
      <c r="X120" s="27">
        <f>IF(AND(O119&gt;0,SUMPRODUCT(($C$7:$G$7&lt;$E$7)*($M119:$Q119&gt;0))=0),1,0)</f>
      </c>
      <c r="Y120" s="27">
        <f>IF(AND(P119&gt;0,SUMPRODUCT(($C$7:$G$7&lt;$F$7)*($M119:$Q119&gt;0))=0),1,0)</f>
      </c>
      <c r="Z120" s="27">
        <f>IF(AND(Q119&gt;0,SUMPRODUCT(($C$7:$G$7&lt;$G$7)*($M119:$Q119&gt;0))=0),1,0)</f>
      </c>
    </row>
    <row r="121" spans="1:26" x14ac:dyDescent="0.25">
      <c r="A121" s="12">
        <f>A120+1</f>
      </c>
      <c r="B121" s="28">
        <f>EDATE(Debts!$B$14,A121)</f>
      </c>
      <c r="C121" s="29">
        <f>IF(M120&lt;=0,0,ROUND(M120*$C$5/12,2))</f>
      </c>
      <c r="D121" s="29">
        <f>IF(N120&lt;=0,0,ROUND(N120*$D$5/12,2))</f>
      </c>
      <c r="E121" s="29">
        <f>IF(O120&lt;=0,0,ROUND(O120*$E$5/12,2))</f>
      </c>
      <c r="F121" s="29">
        <f>IF(P120&lt;=0,0,ROUND(P120*$F$5/12,2))</f>
      </c>
      <c r="G121" s="29">
        <f>IF(Q120&lt;=0,0,ROUND(Q120*$G$5/12,2))</f>
      </c>
      <c r="H121" s="29">
        <f>IF(M120&lt;=0,0,MIN(M120+C121,$C$6+V121*$U121))</f>
      </c>
      <c r="I121" s="29">
        <f>IF(N120&lt;=0,0,MIN(N120+D121,$D$6+W121*$U121))</f>
      </c>
      <c r="J121" s="29">
        <f>IF(O120&lt;=0,0,MIN(O120+E121,$E$6+X121*$U121))</f>
      </c>
      <c r="K121" s="29">
        <f>IF(P120&lt;=0,0,MIN(P120+F121,$F$6+Y121*$U121))</f>
      </c>
      <c r="L121" s="29">
        <f>IF(Q120&lt;=0,0,MIN(Q120+G121,$G$6+Z121*$U121))</f>
      </c>
      <c r="M121" s="29">
        <f>ROUND(M120+C121-H121,2)</f>
      </c>
      <c r="N121" s="29">
        <f>ROUND(N120+D121-I121,2)</f>
      </c>
      <c r="O121" s="29">
        <f>ROUND(O120+E121-J121,2)</f>
      </c>
      <c r="P121" s="29">
        <f>ROUND(P120+F121-K121,2)</f>
      </c>
      <c r="Q121" s="29">
        <f>ROUND(Q120+G121-L121,2)</f>
      </c>
      <c r="R121" s="29">
        <f>SUM(H121:L121)</f>
      </c>
      <c r="S121" s="29">
        <f>SUM(C121:G121)</f>
      </c>
      <c r="T121" s="29">
        <f>SUM(M121:Q121)</f>
      </c>
      <c r="U121" s="30">
        <f>Debts!$B$13+SUMPRODUCT(($M120:$Q120&lt;=0)*$C$6:$G$6)</f>
      </c>
      <c r="V121" s="31">
        <f>IF(AND(M120&gt;0,SUMPRODUCT(($C$7:$G$7&lt;$C$7)*($M120:$Q120&gt;0))=0),1,0)</f>
      </c>
      <c r="W121" s="31">
        <f>IF(AND(N120&gt;0,SUMPRODUCT(($C$7:$G$7&lt;$D$7)*($M120:$Q120&gt;0))=0),1,0)</f>
      </c>
      <c r="X121" s="31">
        <f>IF(AND(O120&gt;0,SUMPRODUCT(($C$7:$G$7&lt;$E$7)*($M120:$Q120&gt;0))=0),1,0)</f>
      </c>
      <c r="Y121" s="31">
        <f>IF(AND(P120&gt;0,SUMPRODUCT(($C$7:$G$7&lt;$F$7)*($M120:$Q120&gt;0))=0),1,0)</f>
      </c>
      <c r="Z121" s="31">
        <f>IF(AND(Q120&gt;0,SUMPRODUCT(($C$7:$G$7&lt;$G$7)*($M120:$Q120&gt;0))=0),1,0)</f>
      </c>
    </row>
    <row r="122" spans="1:26" x14ac:dyDescent="0.25">
      <c r="A122" s="11">
        <f>A121+1</f>
      </c>
      <c r="B122" s="24">
        <f>EDATE(Debts!$B$14,A122)</f>
      </c>
      <c r="C122" s="25">
        <f>IF(M121&lt;=0,0,ROUND(M121*$C$5/12,2))</f>
      </c>
      <c r="D122" s="25">
        <f>IF(N121&lt;=0,0,ROUND(N121*$D$5/12,2))</f>
      </c>
      <c r="E122" s="25">
        <f>IF(O121&lt;=0,0,ROUND(O121*$E$5/12,2))</f>
      </c>
      <c r="F122" s="25">
        <f>IF(P121&lt;=0,0,ROUND(P121*$F$5/12,2))</f>
      </c>
      <c r="G122" s="25">
        <f>IF(Q121&lt;=0,0,ROUND(Q121*$G$5/12,2))</f>
      </c>
      <c r="H122" s="25">
        <f>IF(M121&lt;=0,0,MIN(M121+C122,$C$6+V122*$U122))</f>
      </c>
      <c r="I122" s="25">
        <f>IF(N121&lt;=0,0,MIN(N121+D122,$D$6+W122*$U122))</f>
      </c>
      <c r="J122" s="25">
        <f>IF(O121&lt;=0,0,MIN(O121+E122,$E$6+X122*$U122))</f>
      </c>
      <c r="K122" s="25">
        <f>IF(P121&lt;=0,0,MIN(P121+F122,$F$6+Y122*$U122))</f>
      </c>
      <c r="L122" s="25">
        <f>IF(Q121&lt;=0,0,MIN(Q121+G122,$G$6+Z122*$U122))</f>
      </c>
      <c r="M122" s="25">
        <f>ROUND(M121+C122-H122,2)</f>
      </c>
      <c r="N122" s="25">
        <f>ROUND(N121+D122-I122,2)</f>
      </c>
      <c r="O122" s="25">
        <f>ROUND(O121+E122-J122,2)</f>
      </c>
      <c r="P122" s="25">
        <f>ROUND(P121+F122-K122,2)</f>
      </c>
      <c r="Q122" s="25">
        <f>ROUND(Q121+G122-L122,2)</f>
      </c>
      <c r="R122" s="25">
        <f>SUM(H122:L122)</f>
      </c>
      <c r="S122" s="25">
        <f>SUM(C122:G122)</f>
      </c>
      <c r="T122" s="25">
        <f>SUM(M122:Q122)</f>
      </c>
      <c r="U122" s="26">
        <f>Debts!$B$13+SUMPRODUCT(($M121:$Q121&lt;=0)*$C$6:$G$6)</f>
      </c>
      <c r="V122" s="27">
        <f>IF(AND(M121&gt;0,SUMPRODUCT(($C$7:$G$7&lt;$C$7)*($M121:$Q121&gt;0))=0),1,0)</f>
      </c>
      <c r="W122" s="27">
        <f>IF(AND(N121&gt;0,SUMPRODUCT(($C$7:$G$7&lt;$D$7)*($M121:$Q121&gt;0))=0),1,0)</f>
      </c>
      <c r="X122" s="27">
        <f>IF(AND(O121&gt;0,SUMPRODUCT(($C$7:$G$7&lt;$E$7)*($M121:$Q121&gt;0))=0),1,0)</f>
      </c>
      <c r="Y122" s="27">
        <f>IF(AND(P121&gt;0,SUMPRODUCT(($C$7:$G$7&lt;$F$7)*($M121:$Q121&gt;0))=0),1,0)</f>
      </c>
      <c r="Z122" s="27">
        <f>IF(AND(Q121&gt;0,SUMPRODUCT(($C$7:$G$7&lt;$G$7)*($M121:$Q121&gt;0))=0),1,0)</f>
      </c>
    </row>
    <row r="123" spans="1:26" x14ac:dyDescent="0.25">
      <c r="A123" s="12">
        <f>A122+1</f>
      </c>
      <c r="B123" s="28">
        <f>EDATE(Debts!$B$14,A123)</f>
      </c>
      <c r="C123" s="29">
        <f>IF(M122&lt;=0,0,ROUND(M122*$C$5/12,2))</f>
      </c>
      <c r="D123" s="29">
        <f>IF(N122&lt;=0,0,ROUND(N122*$D$5/12,2))</f>
      </c>
      <c r="E123" s="29">
        <f>IF(O122&lt;=0,0,ROUND(O122*$E$5/12,2))</f>
      </c>
      <c r="F123" s="29">
        <f>IF(P122&lt;=0,0,ROUND(P122*$F$5/12,2))</f>
      </c>
      <c r="G123" s="29">
        <f>IF(Q122&lt;=0,0,ROUND(Q122*$G$5/12,2))</f>
      </c>
      <c r="H123" s="29">
        <f>IF(M122&lt;=0,0,MIN(M122+C123,$C$6+V123*$U123))</f>
      </c>
      <c r="I123" s="29">
        <f>IF(N122&lt;=0,0,MIN(N122+D123,$D$6+W123*$U123))</f>
      </c>
      <c r="J123" s="29">
        <f>IF(O122&lt;=0,0,MIN(O122+E123,$E$6+X123*$U123))</f>
      </c>
      <c r="K123" s="29">
        <f>IF(P122&lt;=0,0,MIN(P122+F123,$F$6+Y123*$U123))</f>
      </c>
      <c r="L123" s="29">
        <f>IF(Q122&lt;=0,0,MIN(Q122+G123,$G$6+Z123*$U123))</f>
      </c>
      <c r="M123" s="29">
        <f>ROUND(M122+C123-H123,2)</f>
      </c>
      <c r="N123" s="29">
        <f>ROUND(N122+D123-I123,2)</f>
      </c>
      <c r="O123" s="29">
        <f>ROUND(O122+E123-J123,2)</f>
      </c>
      <c r="P123" s="29">
        <f>ROUND(P122+F123-K123,2)</f>
      </c>
      <c r="Q123" s="29">
        <f>ROUND(Q122+G123-L123,2)</f>
      </c>
      <c r="R123" s="29">
        <f>SUM(H123:L123)</f>
      </c>
      <c r="S123" s="29">
        <f>SUM(C123:G123)</f>
      </c>
      <c r="T123" s="29">
        <f>SUM(M123:Q123)</f>
      </c>
      <c r="U123" s="30">
        <f>Debts!$B$13+SUMPRODUCT(($M122:$Q122&lt;=0)*$C$6:$G$6)</f>
      </c>
      <c r="V123" s="31">
        <f>IF(AND(M122&gt;0,SUMPRODUCT(($C$7:$G$7&lt;$C$7)*($M122:$Q122&gt;0))=0),1,0)</f>
      </c>
      <c r="W123" s="31">
        <f>IF(AND(N122&gt;0,SUMPRODUCT(($C$7:$G$7&lt;$D$7)*($M122:$Q122&gt;0))=0),1,0)</f>
      </c>
      <c r="X123" s="31">
        <f>IF(AND(O122&gt;0,SUMPRODUCT(($C$7:$G$7&lt;$E$7)*($M122:$Q122&gt;0))=0),1,0)</f>
      </c>
      <c r="Y123" s="31">
        <f>IF(AND(P122&gt;0,SUMPRODUCT(($C$7:$G$7&lt;$F$7)*($M122:$Q122&gt;0))=0),1,0)</f>
      </c>
      <c r="Z123" s="31">
        <f>IF(AND(Q122&gt;0,SUMPRODUCT(($C$7:$G$7&lt;$G$7)*($M122:$Q122&gt;0))=0),1,0)</f>
      </c>
    </row>
    <row r="124" spans="1:26" x14ac:dyDescent="0.25">
      <c r="A124" s="11">
        <f>A123+1</f>
      </c>
      <c r="B124" s="24">
        <f>EDATE(Debts!$B$14,A124)</f>
      </c>
      <c r="C124" s="25">
        <f>IF(M123&lt;=0,0,ROUND(M123*$C$5/12,2))</f>
      </c>
      <c r="D124" s="25">
        <f>IF(N123&lt;=0,0,ROUND(N123*$D$5/12,2))</f>
      </c>
      <c r="E124" s="25">
        <f>IF(O123&lt;=0,0,ROUND(O123*$E$5/12,2))</f>
      </c>
      <c r="F124" s="25">
        <f>IF(P123&lt;=0,0,ROUND(P123*$F$5/12,2))</f>
      </c>
      <c r="G124" s="25">
        <f>IF(Q123&lt;=0,0,ROUND(Q123*$G$5/12,2))</f>
      </c>
      <c r="H124" s="25">
        <f>IF(M123&lt;=0,0,MIN(M123+C124,$C$6+V124*$U124))</f>
      </c>
      <c r="I124" s="25">
        <f>IF(N123&lt;=0,0,MIN(N123+D124,$D$6+W124*$U124))</f>
      </c>
      <c r="J124" s="25">
        <f>IF(O123&lt;=0,0,MIN(O123+E124,$E$6+X124*$U124))</f>
      </c>
      <c r="K124" s="25">
        <f>IF(P123&lt;=0,0,MIN(P123+F124,$F$6+Y124*$U124))</f>
      </c>
      <c r="L124" s="25">
        <f>IF(Q123&lt;=0,0,MIN(Q123+G124,$G$6+Z124*$U124))</f>
      </c>
      <c r="M124" s="25">
        <f>ROUND(M123+C124-H124,2)</f>
      </c>
      <c r="N124" s="25">
        <f>ROUND(N123+D124-I124,2)</f>
      </c>
      <c r="O124" s="25">
        <f>ROUND(O123+E124-J124,2)</f>
      </c>
      <c r="P124" s="25">
        <f>ROUND(P123+F124-K124,2)</f>
      </c>
      <c r="Q124" s="25">
        <f>ROUND(Q123+G124-L124,2)</f>
      </c>
      <c r="R124" s="25">
        <f>SUM(H124:L124)</f>
      </c>
      <c r="S124" s="25">
        <f>SUM(C124:G124)</f>
      </c>
      <c r="T124" s="25">
        <f>SUM(M124:Q124)</f>
      </c>
      <c r="U124" s="26">
        <f>Debts!$B$13+SUMPRODUCT(($M123:$Q123&lt;=0)*$C$6:$G$6)</f>
      </c>
      <c r="V124" s="27">
        <f>IF(AND(M123&gt;0,SUMPRODUCT(($C$7:$G$7&lt;$C$7)*($M123:$Q123&gt;0))=0),1,0)</f>
      </c>
      <c r="W124" s="27">
        <f>IF(AND(N123&gt;0,SUMPRODUCT(($C$7:$G$7&lt;$D$7)*($M123:$Q123&gt;0))=0),1,0)</f>
      </c>
      <c r="X124" s="27">
        <f>IF(AND(O123&gt;0,SUMPRODUCT(($C$7:$G$7&lt;$E$7)*($M123:$Q123&gt;0))=0),1,0)</f>
      </c>
      <c r="Y124" s="27">
        <f>IF(AND(P123&gt;0,SUMPRODUCT(($C$7:$G$7&lt;$F$7)*($M123:$Q123&gt;0))=0),1,0)</f>
      </c>
      <c r="Z124" s="27">
        <f>IF(AND(Q123&gt;0,SUMPRODUCT(($C$7:$G$7&lt;$G$7)*($M123:$Q123&gt;0))=0),1,0)</f>
      </c>
    </row>
    <row r="125" spans="1:26" x14ac:dyDescent="0.25">
      <c r="A125" s="12">
        <f>A124+1</f>
      </c>
      <c r="B125" s="28">
        <f>EDATE(Debts!$B$14,A125)</f>
      </c>
      <c r="C125" s="29">
        <f>IF(M124&lt;=0,0,ROUND(M124*$C$5/12,2))</f>
      </c>
      <c r="D125" s="29">
        <f>IF(N124&lt;=0,0,ROUND(N124*$D$5/12,2))</f>
      </c>
      <c r="E125" s="29">
        <f>IF(O124&lt;=0,0,ROUND(O124*$E$5/12,2))</f>
      </c>
      <c r="F125" s="29">
        <f>IF(P124&lt;=0,0,ROUND(P124*$F$5/12,2))</f>
      </c>
      <c r="G125" s="29">
        <f>IF(Q124&lt;=0,0,ROUND(Q124*$G$5/12,2))</f>
      </c>
      <c r="H125" s="29">
        <f>IF(M124&lt;=0,0,MIN(M124+C125,$C$6+V125*$U125))</f>
      </c>
      <c r="I125" s="29">
        <f>IF(N124&lt;=0,0,MIN(N124+D125,$D$6+W125*$U125))</f>
      </c>
      <c r="J125" s="29">
        <f>IF(O124&lt;=0,0,MIN(O124+E125,$E$6+X125*$U125))</f>
      </c>
      <c r="K125" s="29">
        <f>IF(P124&lt;=0,0,MIN(P124+F125,$F$6+Y125*$U125))</f>
      </c>
      <c r="L125" s="29">
        <f>IF(Q124&lt;=0,0,MIN(Q124+G125,$G$6+Z125*$U125))</f>
      </c>
      <c r="M125" s="29">
        <f>ROUND(M124+C125-H125,2)</f>
      </c>
      <c r="N125" s="29">
        <f>ROUND(N124+D125-I125,2)</f>
      </c>
      <c r="O125" s="29">
        <f>ROUND(O124+E125-J125,2)</f>
      </c>
      <c r="P125" s="29">
        <f>ROUND(P124+F125-K125,2)</f>
      </c>
      <c r="Q125" s="29">
        <f>ROUND(Q124+G125-L125,2)</f>
      </c>
      <c r="R125" s="29">
        <f>SUM(H125:L125)</f>
      </c>
      <c r="S125" s="29">
        <f>SUM(C125:G125)</f>
      </c>
      <c r="T125" s="29">
        <f>SUM(M125:Q125)</f>
      </c>
      <c r="U125" s="30">
        <f>Debts!$B$13+SUMPRODUCT(($M124:$Q124&lt;=0)*$C$6:$G$6)</f>
      </c>
      <c r="V125" s="31">
        <f>IF(AND(M124&gt;0,SUMPRODUCT(($C$7:$G$7&lt;$C$7)*($M124:$Q124&gt;0))=0),1,0)</f>
      </c>
      <c r="W125" s="31">
        <f>IF(AND(N124&gt;0,SUMPRODUCT(($C$7:$G$7&lt;$D$7)*($M124:$Q124&gt;0))=0),1,0)</f>
      </c>
      <c r="X125" s="31">
        <f>IF(AND(O124&gt;0,SUMPRODUCT(($C$7:$G$7&lt;$E$7)*($M124:$Q124&gt;0))=0),1,0)</f>
      </c>
      <c r="Y125" s="31">
        <f>IF(AND(P124&gt;0,SUMPRODUCT(($C$7:$G$7&lt;$F$7)*($M124:$Q124&gt;0))=0),1,0)</f>
      </c>
      <c r="Z125" s="31">
        <f>IF(AND(Q124&gt;0,SUMPRODUCT(($C$7:$G$7&lt;$G$7)*($M124:$Q124&gt;0))=0),1,0)</f>
      </c>
    </row>
    <row r="126" spans="1:26" x14ac:dyDescent="0.25">
      <c r="A126" s="11">
        <f>A125+1</f>
      </c>
      <c r="B126" s="24">
        <f>EDATE(Debts!$B$14,A126)</f>
      </c>
      <c r="C126" s="25">
        <f>IF(M125&lt;=0,0,ROUND(M125*$C$5/12,2))</f>
      </c>
      <c r="D126" s="25">
        <f>IF(N125&lt;=0,0,ROUND(N125*$D$5/12,2))</f>
      </c>
      <c r="E126" s="25">
        <f>IF(O125&lt;=0,0,ROUND(O125*$E$5/12,2))</f>
      </c>
      <c r="F126" s="25">
        <f>IF(P125&lt;=0,0,ROUND(P125*$F$5/12,2))</f>
      </c>
      <c r="G126" s="25">
        <f>IF(Q125&lt;=0,0,ROUND(Q125*$G$5/12,2))</f>
      </c>
      <c r="H126" s="25">
        <f>IF(M125&lt;=0,0,MIN(M125+C126,$C$6+V126*$U126))</f>
      </c>
      <c r="I126" s="25">
        <f>IF(N125&lt;=0,0,MIN(N125+D126,$D$6+W126*$U126))</f>
      </c>
      <c r="J126" s="25">
        <f>IF(O125&lt;=0,0,MIN(O125+E126,$E$6+X126*$U126))</f>
      </c>
      <c r="K126" s="25">
        <f>IF(P125&lt;=0,0,MIN(P125+F126,$F$6+Y126*$U126))</f>
      </c>
      <c r="L126" s="25">
        <f>IF(Q125&lt;=0,0,MIN(Q125+G126,$G$6+Z126*$U126))</f>
      </c>
      <c r="M126" s="25">
        <f>ROUND(M125+C126-H126,2)</f>
      </c>
      <c r="N126" s="25">
        <f>ROUND(N125+D126-I126,2)</f>
      </c>
      <c r="O126" s="25">
        <f>ROUND(O125+E126-J126,2)</f>
      </c>
      <c r="P126" s="25">
        <f>ROUND(P125+F126-K126,2)</f>
      </c>
      <c r="Q126" s="25">
        <f>ROUND(Q125+G126-L126,2)</f>
      </c>
      <c r="R126" s="25">
        <f>SUM(H126:L126)</f>
      </c>
      <c r="S126" s="25">
        <f>SUM(C126:G126)</f>
      </c>
      <c r="T126" s="25">
        <f>SUM(M126:Q126)</f>
      </c>
      <c r="U126" s="26">
        <f>Debts!$B$13+SUMPRODUCT(($M125:$Q125&lt;=0)*$C$6:$G$6)</f>
      </c>
      <c r="V126" s="27">
        <f>IF(AND(M125&gt;0,SUMPRODUCT(($C$7:$G$7&lt;$C$7)*($M125:$Q125&gt;0))=0),1,0)</f>
      </c>
      <c r="W126" s="27">
        <f>IF(AND(N125&gt;0,SUMPRODUCT(($C$7:$G$7&lt;$D$7)*($M125:$Q125&gt;0))=0),1,0)</f>
      </c>
      <c r="X126" s="27">
        <f>IF(AND(O125&gt;0,SUMPRODUCT(($C$7:$G$7&lt;$E$7)*($M125:$Q125&gt;0))=0),1,0)</f>
      </c>
      <c r="Y126" s="27">
        <f>IF(AND(P125&gt;0,SUMPRODUCT(($C$7:$G$7&lt;$F$7)*($M125:$Q125&gt;0))=0),1,0)</f>
      </c>
      <c r="Z126" s="27">
        <f>IF(AND(Q125&gt;0,SUMPRODUCT(($C$7:$G$7&lt;$G$7)*($M125:$Q125&gt;0))=0),1,0)</f>
      </c>
    </row>
    <row r="127" spans="1:26" x14ac:dyDescent="0.25">
      <c r="A127" s="12">
        <f>A126+1</f>
      </c>
      <c r="B127" s="28">
        <f>EDATE(Debts!$B$14,A127)</f>
      </c>
      <c r="C127" s="29">
        <f>IF(M126&lt;=0,0,ROUND(M126*$C$5/12,2))</f>
      </c>
      <c r="D127" s="29">
        <f>IF(N126&lt;=0,0,ROUND(N126*$D$5/12,2))</f>
      </c>
      <c r="E127" s="29">
        <f>IF(O126&lt;=0,0,ROUND(O126*$E$5/12,2))</f>
      </c>
      <c r="F127" s="29">
        <f>IF(P126&lt;=0,0,ROUND(P126*$F$5/12,2))</f>
      </c>
      <c r="G127" s="29">
        <f>IF(Q126&lt;=0,0,ROUND(Q126*$G$5/12,2))</f>
      </c>
      <c r="H127" s="29">
        <f>IF(M126&lt;=0,0,MIN(M126+C127,$C$6+V127*$U127))</f>
      </c>
      <c r="I127" s="29">
        <f>IF(N126&lt;=0,0,MIN(N126+D127,$D$6+W127*$U127))</f>
      </c>
      <c r="J127" s="29">
        <f>IF(O126&lt;=0,0,MIN(O126+E127,$E$6+X127*$U127))</f>
      </c>
      <c r="K127" s="29">
        <f>IF(P126&lt;=0,0,MIN(P126+F127,$F$6+Y127*$U127))</f>
      </c>
      <c r="L127" s="29">
        <f>IF(Q126&lt;=0,0,MIN(Q126+G127,$G$6+Z127*$U127))</f>
      </c>
      <c r="M127" s="29">
        <f>ROUND(M126+C127-H127,2)</f>
      </c>
      <c r="N127" s="29">
        <f>ROUND(N126+D127-I127,2)</f>
      </c>
      <c r="O127" s="29">
        <f>ROUND(O126+E127-J127,2)</f>
      </c>
      <c r="P127" s="29">
        <f>ROUND(P126+F127-K127,2)</f>
      </c>
      <c r="Q127" s="29">
        <f>ROUND(Q126+G127-L127,2)</f>
      </c>
      <c r="R127" s="29">
        <f>SUM(H127:L127)</f>
      </c>
      <c r="S127" s="29">
        <f>SUM(C127:G127)</f>
      </c>
      <c r="T127" s="29">
        <f>SUM(M127:Q127)</f>
      </c>
      <c r="U127" s="30">
        <f>Debts!$B$13+SUMPRODUCT(($M126:$Q126&lt;=0)*$C$6:$G$6)</f>
      </c>
      <c r="V127" s="31">
        <f>IF(AND(M126&gt;0,SUMPRODUCT(($C$7:$G$7&lt;$C$7)*($M126:$Q126&gt;0))=0),1,0)</f>
      </c>
      <c r="W127" s="31">
        <f>IF(AND(N126&gt;0,SUMPRODUCT(($C$7:$G$7&lt;$D$7)*($M126:$Q126&gt;0))=0),1,0)</f>
      </c>
      <c r="X127" s="31">
        <f>IF(AND(O126&gt;0,SUMPRODUCT(($C$7:$G$7&lt;$E$7)*($M126:$Q126&gt;0))=0),1,0)</f>
      </c>
      <c r="Y127" s="31">
        <f>IF(AND(P126&gt;0,SUMPRODUCT(($C$7:$G$7&lt;$F$7)*($M126:$Q126&gt;0))=0),1,0)</f>
      </c>
      <c r="Z127" s="31">
        <f>IF(AND(Q126&gt;0,SUMPRODUCT(($C$7:$G$7&lt;$G$7)*($M126:$Q126&gt;0))=0),1,0)</f>
      </c>
    </row>
    <row r="128" spans="1:26" x14ac:dyDescent="0.25">
      <c r="A128" s="11">
        <f>A127+1</f>
      </c>
      <c r="B128" s="24">
        <f>EDATE(Debts!$B$14,A128)</f>
      </c>
      <c r="C128" s="25">
        <f>IF(M127&lt;=0,0,ROUND(M127*$C$5/12,2))</f>
      </c>
      <c r="D128" s="25">
        <f>IF(N127&lt;=0,0,ROUND(N127*$D$5/12,2))</f>
      </c>
      <c r="E128" s="25">
        <f>IF(O127&lt;=0,0,ROUND(O127*$E$5/12,2))</f>
      </c>
      <c r="F128" s="25">
        <f>IF(P127&lt;=0,0,ROUND(P127*$F$5/12,2))</f>
      </c>
      <c r="G128" s="25">
        <f>IF(Q127&lt;=0,0,ROUND(Q127*$G$5/12,2))</f>
      </c>
      <c r="H128" s="25">
        <f>IF(M127&lt;=0,0,MIN(M127+C128,$C$6+V128*$U128))</f>
      </c>
      <c r="I128" s="25">
        <f>IF(N127&lt;=0,0,MIN(N127+D128,$D$6+W128*$U128))</f>
      </c>
      <c r="J128" s="25">
        <f>IF(O127&lt;=0,0,MIN(O127+E128,$E$6+X128*$U128))</f>
      </c>
      <c r="K128" s="25">
        <f>IF(P127&lt;=0,0,MIN(P127+F128,$F$6+Y128*$U128))</f>
      </c>
      <c r="L128" s="25">
        <f>IF(Q127&lt;=0,0,MIN(Q127+G128,$G$6+Z128*$U128))</f>
      </c>
      <c r="M128" s="25">
        <f>ROUND(M127+C128-H128,2)</f>
      </c>
      <c r="N128" s="25">
        <f>ROUND(N127+D128-I128,2)</f>
      </c>
      <c r="O128" s="25">
        <f>ROUND(O127+E128-J128,2)</f>
      </c>
      <c r="P128" s="25">
        <f>ROUND(P127+F128-K128,2)</f>
      </c>
      <c r="Q128" s="25">
        <f>ROUND(Q127+G128-L128,2)</f>
      </c>
      <c r="R128" s="25">
        <f>SUM(H128:L128)</f>
      </c>
      <c r="S128" s="25">
        <f>SUM(C128:G128)</f>
      </c>
      <c r="T128" s="25">
        <f>SUM(M128:Q128)</f>
      </c>
      <c r="U128" s="26">
        <f>Debts!$B$13+SUMPRODUCT(($M127:$Q127&lt;=0)*$C$6:$G$6)</f>
      </c>
      <c r="V128" s="27">
        <f>IF(AND(M127&gt;0,SUMPRODUCT(($C$7:$G$7&lt;$C$7)*($M127:$Q127&gt;0))=0),1,0)</f>
      </c>
      <c r="W128" s="27">
        <f>IF(AND(N127&gt;0,SUMPRODUCT(($C$7:$G$7&lt;$D$7)*($M127:$Q127&gt;0))=0),1,0)</f>
      </c>
      <c r="X128" s="27">
        <f>IF(AND(O127&gt;0,SUMPRODUCT(($C$7:$G$7&lt;$E$7)*($M127:$Q127&gt;0))=0),1,0)</f>
      </c>
      <c r="Y128" s="27">
        <f>IF(AND(P127&gt;0,SUMPRODUCT(($C$7:$G$7&lt;$F$7)*($M127:$Q127&gt;0))=0),1,0)</f>
      </c>
      <c r="Z128" s="27">
        <f>IF(AND(Q127&gt;0,SUMPRODUCT(($C$7:$G$7&lt;$G$7)*($M127:$Q127&gt;0))=0),1,0)</f>
      </c>
    </row>
    <row r="129" spans="1:26" x14ac:dyDescent="0.25">
      <c r="A129" s="12">
        <f>A128+1</f>
      </c>
      <c r="B129" s="28">
        <f>EDATE(Debts!$B$14,A129)</f>
      </c>
      <c r="C129" s="29">
        <f>IF(M128&lt;=0,0,ROUND(M128*$C$5/12,2))</f>
      </c>
      <c r="D129" s="29">
        <f>IF(N128&lt;=0,0,ROUND(N128*$D$5/12,2))</f>
      </c>
      <c r="E129" s="29">
        <f>IF(O128&lt;=0,0,ROUND(O128*$E$5/12,2))</f>
      </c>
      <c r="F129" s="29">
        <f>IF(P128&lt;=0,0,ROUND(P128*$F$5/12,2))</f>
      </c>
      <c r="G129" s="29">
        <f>IF(Q128&lt;=0,0,ROUND(Q128*$G$5/12,2))</f>
      </c>
      <c r="H129" s="29">
        <f>IF(M128&lt;=0,0,MIN(M128+C129,$C$6+V129*$U129))</f>
      </c>
      <c r="I129" s="29">
        <f>IF(N128&lt;=0,0,MIN(N128+D129,$D$6+W129*$U129))</f>
      </c>
      <c r="J129" s="29">
        <f>IF(O128&lt;=0,0,MIN(O128+E129,$E$6+X129*$U129))</f>
      </c>
      <c r="K129" s="29">
        <f>IF(P128&lt;=0,0,MIN(P128+F129,$F$6+Y129*$U129))</f>
      </c>
      <c r="L129" s="29">
        <f>IF(Q128&lt;=0,0,MIN(Q128+G129,$G$6+Z129*$U129))</f>
      </c>
      <c r="M129" s="29">
        <f>ROUND(M128+C129-H129,2)</f>
      </c>
      <c r="N129" s="29">
        <f>ROUND(N128+D129-I129,2)</f>
      </c>
      <c r="O129" s="29">
        <f>ROUND(O128+E129-J129,2)</f>
      </c>
      <c r="P129" s="29">
        <f>ROUND(P128+F129-K129,2)</f>
      </c>
      <c r="Q129" s="29">
        <f>ROUND(Q128+G129-L129,2)</f>
      </c>
      <c r="R129" s="29">
        <f>SUM(H129:L129)</f>
      </c>
      <c r="S129" s="29">
        <f>SUM(C129:G129)</f>
      </c>
      <c r="T129" s="29">
        <f>SUM(M129:Q129)</f>
      </c>
      <c r="U129" s="30">
        <f>Debts!$B$13+SUMPRODUCT(($M128:$Q128&lt;=0)*$C$6:$G$6)</f>
      </c>
      <c r="V129" s="31">
        <f>IF(AND(M128&gt;0,SUMPRODUCT(($C$7:$G$7&lt;$C$7)*($M128:$Q128&gt;0))=0),1,0)</f>
      </c>
      <c r="W129" s="31">
        <f>IF(AND(N128&gt;0,SUMPRODUCT(($C$7:$G$7&lt;$D$7)*($M128:$Q128&gt;0))=0),1,0)</f>
      </c>
      <c r="X129" s="31">
        <f>IF(AND(O128&gt;0,SUMPRODUCT(($C$7:$G$7&lt;$E$7)*($M128:$Q128&gt;0))=0),1,0)</f>
      </c>
      <c r="Y129" s="31">
        <f>IF(AND(P128&gt;0,SUMPRODUCT(($C$7:$G$7&lt;$F$7)*($M128:$Q128&gt;0))=0),1,0)</f>
      </c>
      <c r="Z129" s="31">
        <f>IF(AND(Q128&gt;0,SUMPRODUCT(($C$7:$G$7&lt;$G$7)*($M128:$Q128&gt;0))=0),1,0)</f>
      </c>
    </row>
    <row r="130" spans="1:26" x14ac:dyDescent="0.25">
      <c r="A130" s="11">
        <f>A129+1</f>
      </c>
      <c r="B130" s="24">
        <f>EDATE(Debts!$B$14,A130)</f>
      </c>
      <c r="C130" s="25">
        <f>IF(M129&lt;=0,0,ROUND(M129*$C$5/12,2))</f>
      </c>
      <c r="D130" s="25">
        <f>IF(N129&lt;=0,0,ROUND(N129*$D$5/12,2))</f>
      </c>
      <c r="E130" s="25">
        <f>IF(O129&lt;=0,0,ROUND(O129*$E$5/12,2))</f>
      </c>
      <c r="F130" s="25">
        <f>IF(P129&lt;=0,0,ROUND(P129*$F$5/12,2))</f>
      </c>
      <c r="G130" s="25">
        <f>IF(Q129&lt;=0,0,ROUND(Q129*$G$5/12,2))</f>
      </c>
      <c r="H130" s="25">
        <f>IF(M129&lt;=0,0,MIN(M129+C130,$C$6+V130*$U130))</f>
      </c>
      <c r="I130" s="25">
        <f>IF(N129&lt;=0,0,MIN(N129+D130,$D$6+W130*$U130))</f>
      </c>
      <c r="J130" s="25">
        <f>IF(O129&lt;=0,0,MIN(O129+E130,$E$6+X130*$U130))</f>
      </c>
      <c r="K130" s="25">
        <f>IF(P129&lt;=0,0,MIN(P129+F130,$F$6+Y130*$U130))</f>
      </c>
      <c r="L130" s="25">
        <f>IF(Q129&lt;=0,0,MIN(Q129+G130,$G$6+Z130*$U130))</f>
      </c>
      <c r="M130" s="25">
        <f>ROUND(M129+C130-H130,2)</f>
      </c>
      <c r="N130" s="25">
        <f>ROUND(N129+D130-I130,2)</f>
      </c>
      <c r="O130" s="25">
        <f>ROUND(O129+E130-J130,2)</f>
      </c>
      <c r="P130" s="25">
        <f>ROUND(P129+F130-K130,2)</f>
      </c>
      <c r="Q130" s="25">
        <f>ROUND(Q129+G130-L130,2)</f>
      </c>
      <c r="R130" s="25">
        <f>SUM(H130:L130)</f>
      </c>
      <c r="S130" s="25">
        <f>SUM(C130:G130)</f>
      </c>
      <c r="T130" s="25">
        <f>SUM(M130:Q130)</f>
      </c>
      <c r="U130" s="26">
        <f>Debts!$B$13+SUMPRODUCT(($M129:$Q129&lt;=0)*$C$6:$G$6)</f>
      </c>
      <c r="V130" s="27">
        <f>IF(AND(M129&gt;0,SUMPRODUCT(($C$7:$G$7&lt;$C$7)*($M129:$Q129&gt;0))=0),1,0)</f>
      </c>
      <c r="W130" s="27">
        <f>IF(AND(N129&gt;0,SUMPRODUCT(($C$7:$G$7&lt;$D$7)*($M129:$Q129&gt;0))=0),1,0)</f>
      </c>
      <c r="X130" s="27">
        <f>IF(AND(O129&gt;0,SUMPRODUCT(($C$7:$G$7&lt;$E$7)*($M129:$Q129&gt;0))=0),1,0)</f>
      </c>
      <c r="Y130" s="27">
        <f>IF(AND(P129&gt;0,SUMPRODUCT(($C$7:$G$7&lt;$F$7)*($M129:$Q129&gt;0))=0),1,0)</f>
      </c>
      <c r="Z130" s="27">
        <f>IF(AND(Q129&gt;0,SUMPRODUCT(($C$7:$G$7&lt;$G$7)*($M129:$Q129&gt;0))=0),1,0)</f>
      </c>
    </row>
  </sheetData>
  <conditionalFormatting sqref="M11:Q130">
    <cfRule type="cellIs" dxfId="0" priority="1" operator="equal">
      <formula>0</formula>
    </cfRule>
  </conditionalFormatting>
  <conditionalFormatting sqref="T11:T130">
    <cfRule type="cellIs" dxfId="1" priority="1" operator="equal">
      <formula>0</formula>
    </cfRule>
  </conditionalFormatting>
  <printOptions horizontalCentered="1"/>
  <pageMargins left="0.4" right="0.4" top="0.6" bottom="0.6" header="0.3" footer="0.3"/>
  <pageSetup paperSize="1" orientation="landscape" fitToWidth="1" fitToHeight="0"/>
  <headerFooter>
    <oddFooter>&amp;L&amp;9Explore Excel&amp;R&amp;9Page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4A3A"/>
    <pageSetUpPr fitToPage="1"/>
  </sheetPr>
  <dimension ref="A1:Z130"/>
  <sheetViews>
    <sheetView workbookViewId="0" showGridLines="0" zoomScale="100">
      <pane xSplit="2" ySplit="9" topLeftCell="C10" activePane="bottomRight" state="frozen"/>
      <selection pane="bottomRight"/>
    </sheetView>
  </sheetViews>
  <sheetFormatPr defaultRowHeight="15" outlineLevelRow="0" outlineLevelCol="0" x14ac:dyDescent="55"/>
  <cols>
    <col min="1" max="1" width="8" customWidth="1"/>
    <col min="2" max="2" width="14" customWidth="1"/>
    <col min="3" max="12" width="11" customWidth="1"/>
    <col min="13" max="17" width="12" customWidth="1"/>
    <col min="18" max="18" width="13" customWidth="1"/>
    <col min="19" max="19" width="12" customWidth="1"/>
    <col min="20" max="20" width="13" customWidth="1"/>
    <col min="21" max="21" width="11" customWidth="1"/>
    <col min="22" max="26" width="7" customWidth="1"/>
  </cols>
  <sheetData>
    <row r="1" ht="26" customHeight="1" spans="1:26" x14ac:dyDescent="0.25">
      <c r="A1" s="1" t="s">
        <v>67</v>
      </c>
      <c r="B1" s="2"/>
      <c r="C1" s="2"/>
      <c r="D1" s="2"/>
      <c r="E1" s="2"/>
      <c r="F1" s="2"/>
      <c r="G1" s="2"/>
      <c r="H1" s="2"/>
      <c r="I1" s="2"/>
      <c r="J1" s="2"/>
      <c r="K1" s="2"/>
      <c r="L1" s="2"/>
      <c r="M1" s="2"/>
      <c r="N1" s="2"/>
      <c r="O1" s="2"/>
      <c r="P1" s="2"/>
      <c r="Q1" s="2"/>
      <c r="R1" s="2"/>
      <c r="S1" s="2"/>
      <c r="T1" s="2"/>
      <c r="U1" s="2"/>
      <c r="V1" s="2"/>
      <c r="W1" s="2"/>
      <c r="X1" s="2"/>
      <c r="Y1" s="2"/>
      <c r="Z1" s="2"/>
    </row>
    <row r="2" ht="16" customHeight="1" spans="1:26" x14ac:dyDescent="0.25">
      <c r="A2" s="5" t="s">
        <v>38</v>
      </c>
      <c r="B2" s="6"/>
      <c r="C2" s="6"/>
      <c r="D2" s="6"/>
      <c r="E2" s="6"/>
      <c r="F2" s="6"/>
      <c r="G2" s="6"/>
      <c r="H2" s="6"/>
      <c r="I2" s="6"/>
      <c r="J2" s="6"/>
      <c r="K2" s="6"/>
      <c r="L2" s="6"/>
      <c r="M2" s="6"/>
      <c r="N2" s="6"/>
      <c r="O2" s="6"/>
      <c r="P2" s="6"/>
      <c r="Q2" s="6"/>
      <c r="R2" s="6"/>
      <c r="S2" s="6"/>
      <c r="T2" s="6"/>
      <c r="U2" s="6"/>
      <c r="V2" s="6"/>
      <c r="W2" s="6"/>
      <c r="X2" s="6"/>
      <c r="Y2" s="6"/>
      <c r="Z2" s="6"/>
    </row>
    <row r="4" spans="1:7" x14ac:dyDescent="0.25">
      <c r="A4" s="20" t="s">
        <v>19</v>
      </c>
      <c r="C4" s="21">
        <f>Debts!$A$5</f>
      </c>
      <c r="D4" s="21">
        <f>Debts!$A$6</f>
      </c>
      <c r="E4" s="21">
        <f>Debts!$A$7</f>
      </c>
      <c r="F4" s="21">
        <f>Debts!$A$8</f>
      </c>
      <c r="G4" s="21">
        <f>Debts!$A$9</f>
      </c>
    </row>
    <row r="5" spans="1:7" x14ac:dyDescent="0.25">
      <c r="A5" s="20" t="s">
        <v>21</v>
      </c>
      <c r="C5" s="22">
        <f>Debts!$C$5</f>
      </c>
      <c r="D5" s="22">
        <f>Debts!$C$6</f>
      </c>
      <c r="E5" s="22">
        <f>Debts!$C$7</f>
      </c>
      <c r="F5" s="22">
        <f>Debts!$C$8</f>
      </c>
      <c r="G5" s="22">
        <f>Debts!$C$9</f>
      </c>
    </row>
    <row r="6" spans="1:7" x14ac:dyDescent="0.25">
      <c r="A6" s="20" t="s">
        <v>39</v>
      </c>
      <c r="C6" s="23">
        <f>Debts!$D$5</f>
      </c>
      <c r="D6" s="23">
        <f>Debts!$D$6</f>
      </c>
      <c r="E6" s="23">
        <f>Debts!$D$7</f>
      </c>
      <c r="F6" s="23">
        <f>Debts!$D$8</f>
      </c>
      <c r="G6" s="23">
        <f>Debts!$D$9</f>
      </c>
    </row>
    <row r="7" spans="1:7" x14ac:dyDescent="0.25">
      <c r="A7" s="20" t="s">
        <v>40</v>
      </c>
      <c r="C7" s="21">
        <f>Debts!$F$5</f>
      </c>
      <c r="D7" s="21">
        <f>Debts!$F$6</f>
      </c>
      <c r="E7" s="21">
        <f>Debts!$F$7</f>
      </c>
      <c r="F7" s="21">
        <f>Debts!$F$8</f>
      </c>
      <c r="G7" s="21">
        <f>Debts!$F$9</f>
      </c>
    </row>
    <row r="9" ht="24" customHeight="1" spans="1:26" x14ac:dyDescent="0.25">
      <c r="A9" s="7" t="s">
        <v>41</v>
      </c>
      <c r="B9" s="7" t="s">
        <v>42</v>
      </c>
      <c r="C9" s="7" t="s">
        <v>43</v>
      </c>
      <c r="D9" s="7" t="s">
        <v>44</v>
      </c>
      <c r="E9" s="7" t="s">
        <v>45</v>
      </c>
      <c r="F9" s="7" t="s">
        <v>46</v>
      </c>
      <c r="G9" s="7" t="s">
        <v>47</v>
      </c>
      <c r="H9" s="7" t="s">
        <v>48</v>
      </c>
      <c r="I9" s="7" t="s">
        <v>49</v>
      </c>
      <c r="J9" s="7" t="s">
        <v>50</v>
      </c>
      <c r="K9" s="7" t="s">
        <v>51</v>
      </c>
      <c r="L9" s="7" t="s">
        <v>52</v>
      </c>
      <c r="M9" s="7" t="s">
        <v>53</v>
      </c>
      <c r="N9" s="7" t="s">
        <v>54</v>
      </c>
      <c r="O9" s="7" t="s">
        <v>55</v>
      </c>
      <c r="P9" s="7" t="s">
        <v>56</v>
      </c>
      <c r="Q9" s="7" t="s">
        <v>57</v>
      </c>
      <c r="R9" s="7" t="s">
        <v>58</v>
      </c>
      <c r="S9" s="7" t="s">
        <v>59</v>
      </c>
      <c r="T9" s="7" t="s">
        <v>60</v>
      </c>
      <c r="U9" s="7" t="s">
        <v>61</v>
      </c>
      <c r="V9" s="7" t="s">
        <v>62</v>
      </c>
      <c r="W9" s="7" t="s">
        <v>63</v>
      </c>
      <c r="X9" s="7" t="s">
        <v>64</v>
      </c>
      <c r="Y9" s="7" t="s">
        <v>65</v>
      </c>
      <c r="Z9" s="7" t="s">
        <v>66</v>
      </c>
    </row>
    <row r="10" spans="1:26" x14ac:dyDescent="0.25">
      <c r="A10" s="11">
        <v>0</v>
      </c>
      <c r="B10" s="24">
        <f>Debts!$B$14</f>
      </c>
      <c r="C10" s="25"/>
      <c r="D10" s="25"/>
      <c r="E10" s="25"/>
      <c r="F10" s="25"/>
      <c r="G10" s="25"/>
      <c r="H10" s="25"/>
      <c r="I10" s="25"/>
      <c r="J10" s="25"/>
      <c r="K10" s="25"/>
      <c r="L10" s="25"/>
      <c r="M10" s="25">
        <f>Debts!$B$5</f>
      </c>
      <c r="N10" s="25">
        <f>Debts!$B$6</f>
      </c>
      <c r="O10" s="25">
        <f>Debts!$B$7</f>
      </c>
      <c r="P10" s="25">
        <f>Debts!$B$8</f>
      </c>
      <c r="Q10" s="25">
        <f>Debts!$B$9</f>
      </c>
      <c r="R10" s="25"/>
      <c r="S10" s="25"/>
      <c r="T10" s="25">
        <f>SUM(M10:Q10)</f>
      </c>
      <c r="U10" s="26"/>
      <c r="V10" s="27"/>
      <c r="W10" s="27"/>
      <c r="X10" s="27"/>
      <c r="Y10" s="27"/>
      <c r="Z10" s="27"/>
    </row>
    <row r="11" spans="1:26" x14ac:dyDescent="0.25">
      <c r="A11" s="12">
        <f>A10+1</f>
      </c>
      <c r="B11" s="28">
        <f>EDATE(Debts!$B$14,A11)</f>
      </c>
      <c r="C11" s="29">
        <f>IF(M10&lt;=0,0,ROUND(M10*$C$5/12,2))</f>
      </c>
      <c r="D11" s="29">
        <f>IF(N10&lt;=0,0,ROUND(N10*$D$5/12,2))</f>
      </c>
      <c r="E11" s="29">
        <f>IF(O10&lt;=0,0,ROUND(O10*$E$5/12,2))</f>
      </c>
      <c r="F11" s="29">
        <f>IF(P10&lt;=0,0,ROUND(P10*$F$5/12,2))</f>
      </c>
      <c r="G11" s="29">
        <f>IF(Q10&lt;=0,0,ROUND(Q10*$G$5/12,2))</f>
      </c>
      <c r="H11" s="29">
        <f>IF(M10&lt;=0,0,MIN(M10+C11,$C$6+V11*$U11))</f>
      </c>
      <c r="I11" s="29">
        <f>IF(N10&lt;=0,0,MIN(N10+D11,$D$6+W11*$U11))</f>
      </c>
      <c r="J11" s="29">
        <f>IF(O10&lt;=0,0,MIN(O10+E11,$E$6+X11*$U11))</f>
      </c>
      <c r="K11" s="29">
        <f>IF(P10&lt;=0,0,MIN(P10+F11,$F$6+Y11*$U11))</f>
      </c>
      <c r="L11" s="29">
        <f>IF(Q10&lt;=0,0,MIN(Q10+G11,$G$6+Z11*$U11))</f>
      </c>
      <c r="M11" s="29">
        <f>ROUND(M10+C11-H11,2)</f>
      </c>
      <c r="N11" s="29">
        <f>ROUND(N10+D11-I11,2)</f>
      </c>
      <c r="O11" s="29">
        <f>ROUND(O10+E11-J11,2)</f>
      </c>
      <c r="P11" s="29">
        <f>ROUND(P10+F11-K11,2)</f>
      </c>
      <c r="Q11" s="29">
        <f>ROUND(Q10+G11-L11,2)</f>
      </c>
      <c r="R11" s="29">
        <f>SUM(H11:L11)</f>
      </c>
      <c r="S11" s="29">
        <f>SUM(C11:G11)</f>
      </c>
      <c r="T11" s="29">
        <f>SUM(M11:Q11)</f>
      </c>
      <c r="U11" s="30">
        <f>Debts!$B$13+SUMPRODUCT(($M10:$Q10&lt;=0)*$C$6:$G$6)</f>
      </c>
      <c r="V11" s="31">
        <f>IF(AND(M10&gt;0,SUMPRODUCT(($C$7:$G$7&lt;$C$7)*($M10:$Q10&gt;0))=0),1,0)</f>
      </c>
      <c r="W11" s="31">
        <f>IF(AND(N10&gt;0,SUMPRODUCT(($C$7:$G$7&lt;$D$7)*($M10:$Q10&gt;0))=0),1,0)</f>
      </c>
      <c r="X11" s="31">
        <f>IF(AND(O10&gt;0,SUMPRODUCT(($C$7:$G$7&lt;$E$7)*($M10:$Q10&gt;0))=0),1,0)</f>
      </c>
      <c r="Y11" s="31">
        <f>IF(AND(P10&gt;0,SUMPRODUCT(($C$7:$G$7&lt;$F$7)*($M10:$Q10&gt;0))=0),1,0)</f>
      </c>
      <c r="Z11" s="31">
        <f>IF(AND(Q10&gt;0,SUMPRODUCT(($C$7:$G$7&lt;$G$7)*($M10:$Q10&gt;0))=0),1,0)</f>
      </c>
    </row>
    <row r="12" spans="1:26" x14ac:dyDescent="0.25">
      <c r="A12" s="11">
        <f>A11+1</f>
      </c>
      <c r="B12" s="24">
        <f>EDATE(Debts!$B$14,A12)</f>
      </c>
      <c r="C12" s="25">
        <f>IF(M11&lt;=0,0,ROUND(M11*$C$5/12,2))</f>
      </c>
      <c r="D12" s="25">
        <f>IF(N11&lt;=0,0,ROUND(N11*$D$5/12,2))</f>
      </c>
      <c r="E12" s="25">
        <f>IF(O11&lt;=0,0,ROUND(O11*$E$5/12,2))</f>
      </c>
      <c r="F12" s="25">
        <f>IF(P11&lt;=0,0,ROUND(P11*$F$5/12,2))</f>
      </c>
      <c r="G12" s="25">
        <f>IF(Q11&lt;=0,0,ROUND(Q11*$G$5/12,2))</f>
      </c>
      <c r="H12" s="25">
        <f>IF(M11&lt;=0,0,MIN(M11+C12,$C$6+V12*$U12))</f>
      </c>
      <c r="I12" s="25">
        <f>IF(N11&lt;=0,0,MIN(N11+D12,$D$6+W12*$U12))</f>
      </c>
      <c r="J12" s="25">
        <f>IF(O11&lt;=0,0,MIN(O11+E12,$E$6+X12*$U12))</f>
      </c>
      <c r="K12" s="25">
        <f>IF(P11&lt;=0,0,MIN(P11+F12,$F$6+Y12*$U12))</f>
      </c>
      <c r="L12" s="25">
        <f>IF(Q11&lt;=0,0,MIN(Q11+G12,$G$6+Z12*$U12))</f>
      </c>
      <c r="M12" s="25">
        <f>ROUND(M11+C12-H12,2)</f>
      </c>
      <c r="N12" s="25">
        <f>ROUND(N11+D12-I12,2)</f>
      </c>
      <c r="O12" s="25">
        <f>ROUND(O11+E12-J12,2)</f>
      </c>
      <c r="P12" s="25">
        <f>ROUND(P11+F12-K12,2)</f>
      </c>
      <c r="Q12" s="25">
        <f>ROUND(Q11+G12-L12,2)</f>
      </c>
      <c r="R12" s="25">
        <f>SUM(H12:L12)</f>
      </c>
      <c r="S12" s="25">
        <f>SUM(C12:G12)</f>
      </c>
      <c r="T12" s="25">
        <f>SUM(M12:Q12)</f>
      </c>
      <c r="U12" s="26">
        <f>Debts!$B$13+SUMPRODUCT(($M11:$Q11&lt;=0)*$C$6:$G$6)</f>
      </c>
      <c r="V12" s="27">
        <f>IF(AND(M11&gt;0,SUMPRODUCT(($C$7:$G$7&lt;$C$7)*($M11:$Q11&gt;0))=0),1,0)</f>
      </c>
      <c r="W12" s="27">
        <f>IF(AND(N11&gt;0,SUMPRODUCT(($C$7:$G$7&lt;$D$7)*($M11:$Q11&gt;0))=0),1,0)</f>
      </c>
      <c r="X12" s="27">
        <f>IF(AND(O11&gt;0,SUMPRODUCT(($C$7:$G$7&lt;$E$7)*($M11:$Q11&gt;0))=0),1,0)</f>
      </c>
      <c r="Y12" s="27">
        <f>IF(AND(P11&gt;0,SUMPRODUCT(($C$7:$G$7&lt;$F$7)*($M11:$Q11&gt;0))=0),1,0)</f>
      </c>
      <c r="Z12" s="27">
        <f>IF(AND(Q11&gt;0,SUMPRODUCT(($C$7:$G$7&lt;$G$7)*($M11:$Q11&gt;0))=0),1,0)</f>
      </c>
    </row>
    <row r="13" spans="1:26" x14ac:dyDescent="0.25">
      <c r="A13" s="12">
        <f>A12+1</f>
      </c>
      <c r="B13" s="28">
        <f>EDATE(Debts!$B$14,A13)</f>
      </c>
      <c r="C13" s="29">
        <f>IF(M12&lt;=0,0,ROUND(M12*$C$5/12,2))</f>
      </c>
      <c r="D13" s="29">
        <f>IF(N12&lt;=0,0,ROUND(N12*$D$5/12,2))</f>
      </c>
      <c r="E13" s="29">
        <f>IF(O12&lt;=0,0,ROUND(O12*$E$5/12,2))</f>
      </c>
      <c r="F13" s="29">
        <f>IF(P12&lt;=0,0,ROUND(P12*$F$5/12,2))</f>
      </c>
      <c r="G13" s="29">
        <f>IF(Q12&lt;=0,0,ROUND(Q12*$G$5/12,2))</f>
      </c>
      <c r="H13" s="29">
        <f>IF(M12&lt;=0,0,MIN(M12+C13,$C$6+V13*$U13))</f>
      </c>
      <c r="I13" s="29">
        <f>IF(N12&lt;=0,0,MIN(N12+D13,$D$6+W13*$U13))</f>
      </c>
      <c r="J13" s="29">
        <f>IF(O12&lt;=0,0,MIN(O12+E13,$E$6+X13*$U13))</f>
      </c>
      <c r="K13" s="29">
        <f>IF(P12&lt;=0,0,MIN(P12+F13,$F$6+Y13*$U13))</f>
      </c>
      <c r="L13" s="29">
        <f>IF(Q12&lt;=0,0,MIN(Q12+G13,$G$6+Z13*$U13))</f>
      </c>
      <c r="M13" s="29">
        <f>ROUND(M12+C13-H13,2)</f>
      </c>
      <c r="N13" s="29">
        <f>ROUND(N12+D13-I13,2)</f>
      </c>
      <c r="O13" s="29">
        <f>ROUND(O12+E13-J13,2)</f>
      </c>
      <c r="P13" s="29">
        <f>ROUND(P12+F13-K13,2)</f>
      </c>
      <c r="Q13" s="29">
        <f>ROUND(Q12+G13-L13,2)</f>
      </c>
      <c r="R13" s="29">
        <f>SUM(H13:L13)</f>
      </c>
      <c r="S13" s="29">
        <f>SUM(C13:G13)</f>
      </c>
      <c r="T13" s="29">
        <f>SUM(M13:Q13)</f>
      </c>
      <c r="U13" s="30">
        <f>Debts!$B$13+SUMPRODUCT(($M12:$Q12&lt;=0)*$C$6:$G$6)</f>
      </c>
      <c r="V13" s="31">
        <f>IF(AND(M12&gt;0,SUMPRODUCT(($C$7:$G$7&lt;$C$7)*($M12:$Q12&gt;0))=0),1,0)</f>
      </c>
      <c r="W13" s="31">
        <f>IF(AND(N12&gt;0,SUMPRODUCT(($C$7:$G$7&lt;$D$7)*($M12:$Q12&gt;0))=0),1,0)</f>
      </c>
      <c r="X13" s="31">
        <f>IF(AND(O12&gt;0,SUMPRODUCT(($C$7:$G$7&lt;$E$7)*($M12:$Q12&gt;0))=0),1,0)</f>
      </c>
      <c r="Y13" s="31">
        <f>IF(AND(P12&gt;0,SUMPRODUCT(($C$7:$G$7&lt;$F$7)*($M12:$Q12&gt;0))=0),1,0)</f>
      </c>
      <c r="Z13" s="31">
        <f>IF(AND(Q12&gt;0,SUMPRODUCT(($C$7:$G$7&lt;$G$7)*($M12:$Q12&gt;0))=0),1,0)</f>
      </c>
    </row>
    <row r="14" spans="1:26" x14ac:dyDescent="0.25">
      <c r="A14" s="11">
        <f>A13+1</f>
      </c>
      <c r="B14" s="24">
        <f>EDATE(Debts!$B$14,A14)</f>
      </c>
      <c r="C14" s="25">
        <f>IF(M13&lt;=0,0,ROUND(M13*$C$5/12,2))</f>
      </c>
      <c r="D14" s="25">
        <f>IF(N13&lt;=0,0,ROUND(N13*$D$5/12,2))</f>
      </c>
      <c r="E14" s="25">
        <f>IF(O13&lt;=0,0,ROUND(O13*$E$5/12,2))</f>
      </c>
      <c r="F14" s="25">
        <f>IF(P13&lt;=0,0,ROUND(P13*$F$5/12,2))</f>
      </c>
      <c r="G14" s="25">
        <f>IF(Q13&lt;=0,0,ROUND(Q13*$G$5/12,2))</f>
      </c>
      <c r="H14" s="25">
        <f>IF(M13&lt;=0,0,MIN(M13+C14,$C$6+V14*$U14))</f>
      </c>
      <c r="I14" s="25">
        <f>IF(N13&lt;=0,0,MIN(N13+D14,$D$6+W14*$U14))</f>
      </c>
      <c r="J14" s="25">
        <f>IF(O13&lt;=0,0,MIN(O13+E14,$E$6+X14*$U14))</f>
      </c>
      <c r="K14" s="25">
        <f>IF(P13&lt;=0,0,MIN(P13+F14,$F$6+Y14*$U14))</f>
      </c>
      <c r="L14" s="25">
        <f>IF(Q13&lt;=0,0,MIN(Q13+G14,$G$6+Z14*$U14))</f>
      </c>
      <c r="M14" s="25">
        <f>ROUND(M13+C14-H14,2)</f>
      </c>
      <c r="N14" s="25">
        <f>ROUND(N13+D14-I14,2)</f>
      </c>
      <c r="O14" s="25">
        <f>ROUND(O13+E14-J14,2)</f>
      </c>
      <c r="P14" s="25">
        <f>ROUND(P13+F14-K14,2)</f>
      </c>
      <c r="Q14" s="25">
        <f>ROUND(Q13+G14-L14,2)</f>
      </c>
      <c r="R14" s="25">
        <f>SUM(H14:L14)</f>
      </c>
      <c r="S14" s="25">
        <f>SUM(C14:G14)</f>
      </c>
      <c r="T14" s="25">
        <f>SUM(M14:Q14)</f>
      </c>
      <c r="U14" s="26">
        <f>Debts!$B$13+SUMPRODUCT(($M13:$Q13&lt;=0)*$C$6:$G$6)</f>
      </c>
      <c r="V14" s="27">
        <f>IF(AND(M13&gt;0,SUMPRODUCT(($C$7:$G$7&lt;$C$7)*($M13:$Q13&gt;0))=0),1,0)</f>
      </c>
      <c r="W14" s="27">
        <f>IF(AND(N13&gt;0,SUMPRODUCT(($C$7:$G$7&lt;$D$7)*($M13:$Q13&gt;0))=0),1,0)</f>
      </c>
      <c r="X14" s="27">
        <f>IF(AND(O13&gt;0,SUMPRODUCT(($C$7:$G$7&lt;$E$7)*($M13:$Q13&gt;0))=0),1,0)</f>
      </c>
      <c r="Y14" s="27">
        <f>IF(AND(P13&gt;0,SUMPRODUCT(($C$7:$G$7&lt;$F$7)*($M13:$Q13&gt;0))=0),1,0)</f>
      </c>
      <c r="Z14" s="27">
        <f>IF(AND(Q13&gt;0,SUMPRODUCT(($C$7:$G$7&lt;$G$7)*($M13:$Q13&gt;0))=0),1,0)</f>
      </c>
    </row>
    <row r="15" spans="1:26" x14ac:dyDescent="0.25">
      <c r="A15" s="12">
        <f>A14+1</f>
      </c>
      <c r="B15" s="28">
        <f>EDATE(Debts!$B$14,A15)</f>
      </c>
      <c r="C15" s="29">
        <f>IF(M14&lt;=0,0,ROUND(M14*$C$5/12,2))</f>
      </c>
      <c r="D15" s="29">
        <f>IF(N14&lt;=0,0,ROUND(N14*$D$5/12,2))</f>
      </c>
      <c r="E15" s="29">
        <f>IF(O14&lt;=0,0,ROUND(O14*$E$5/12,2))</f>
      </c>
      <c r="F15" s="29">
        <f>IF(P14&lt;=0,0,ROUND(P14*$F$5/12,2))</f>
      </c>
      <c r="G15" s="29">
        <f>IF(Q14&lt;=0,0,ROUND(Q14*$G$5/12,2))</f>
      </c>
      <c r="H15" s="29">
        <f>IF(M14&lt;=0,0,MIN(M14+C15,$C$6+V15*$U15))</f>
      </c>
      <c r="I15" s="29">
        <f>IF(N14&lt;=0,0,MIN(N14+D15,$D$6+W15*$U15))</f>
      </c>
      <c r="J15" s="29">
        <f>IF(O14&lt;=0,0,MIN(O14+E15,$E$6+X15*$U15))</f>
      </c>
      <c r="K15" s="29">
        <f>IF(P14&lt;=0,0,MIN(P14+F15,$F$6+Y15*$U15))</f>
      </c>
      <c r="L15" s="29">
        <f>IF(Q14&lt;=0,0,MIN(Q14+G15,$G$6+Z15*$U15))</f>
      </c>
      <c r="M15" s="29">
        <f>ROUND(M14+C15-H15,2)</f>
      </c>
      <c r="N15" s="29">
        <f>ROUND(N14+D15-I15,2)</f>
      </c>
      <c r="O15" s="29">
        <f>ROUND(O14+E15-J15,2)</f>
      </c>
      <c r="P15" s="29">
        <f>ROUND(P14+F15-K15,2)</f>
      </c>
      <c r="Q15" s="29">
        <f>ROUND(Q14+G15-L15,2)</f>
      </c>
      <c r="R15" s="29">
        <f>SUM(H15:L15)</f>
      </c>
      <c r="S15" s="29">
        <f>SUM(C15:G15)</f>
      </c>
      <c r="T15" s="29">
        <f>SUM(M15:Q15)</f>
      </c>
      <c r="U15" s="30">
        <f>Debts!$B$13+SUMPRODUCT(($M14:$Q14&lt;=0)*$C$6:$G$6)</f>
      </c>
      <c r="V15" s="31">
        <f>IF(AND(M14&gt;0,SUMPRODUCT(($C$7:$G$7&lt;$C$7)*($M14:$Q14&gt;0))=0),1,0)</f>
      </c>
      <c r="W15" s="31">
        <f>IF(AND(N14&gt;0,SUMPRODUCT(($C$7:$G$7&lt;$D$7)*($M14:$Q14&gt;0))=0),1,0)</f>
      </c>
      <c r="X15" s="31">
        <f>IF(AND(O14&gt;0,SUMPRODUCT(($C$7:$G$7&lt;$E$7)*($M14:$Q14&gt;0))=0),1,0)</f>
      </c>
      <c r="Y15" s="31">
        <f>IF(AND(P14&gt;0,SUMPRODUCT(($C$7:$G$7&lt;$F$7)*($M14:$Q14&gt;0))=0),1,0)</f>
      </c>
      <c r="Z15" s="31">
        <f>IF(AND(Q14&gt;0,SUMPRODUCT(($C$7:$G$7&lt;$G$7)*($M14:$Q14&gt;0))=0),1,0)</f>
      </c>
    </row>
    <row r="16" spans="1:26" x14ac:dyDescent="0.25">
      <c r="A16" s="11">
        <f>A15+1</f>
      </c>
      <c r="B16" s="24">
        <f>EDATE(Debts!$B$14,A16)</f>
      </c>
      <c r="C16" s="25">
        <f>IF(M15&lt;=0,0,ROUND(M15*$C$5/12,2))</f>
      </c>
      <c r="D16" s="25">
        <f>IF(N15&lt;=0,0,ROUND(N15*$D$5/12,2))</f>
      </c>
      <c r="E16" s="25">
        <f>IF(O15&lt;=0,0,ROUND(O15*$E$5/12,2))</f>
      </c>
      <c r="F16" s="25">
        <f>IF(P15&lt;=0,0,ROUND(P15*$F$5/12,2))</f>
      </c>
      <c r="G16" s="25">
        <f>IF(Q15&lt;=0,0,ROUND(Q15*$G$5/12,2))</f>
      </c>
      <c r="H16" s="25">
        <f>IF(M15&lt;=0,0,MIN(M15+C16,$C$6+V16*$U16))</f>
      </c>
      <c r="I16" s="25">
        <f>IF(N15&lt;=0,0,MIN(N15+D16,$D$6+W16*$U16))</f>
      </c>
      <c r="J16" s="25">
        <f>IF(O15&lt;=0,0,MIN(O15+E16,$E$6+X16*$U16))</f>
      </c>
      <c r="K16" s="25">
        <f>IF(P15&lt;=0,0,MIN(P15+F16,$F$6+Y16*$U16))</f>
      </c>
      <c r="L16" s="25">
        <f>IF(Q15&lt;=0,0,MIN(Q15+G16,$G$6+Z16*$U16))</f>
      </c>
      <c r="M16" s="25">
        <f>ROUND(M15+C16-H16,2)</f>
      </c>
      <c r="N16" s="25">
        <f>ROUND(N15+D16-I16,2)</f>
      </c>
      <c r="O16" s="25">
        <f>ROUND(O15+E16-J16,2)</f>
      </c>
      <c r="P16" s="25">
        <f>ROUND(P15+F16-K16,2)</f>
      </c>
      <c r="Q16" s="25">
        <f>ROUND(Q15+G16-L16,2)</f>
      </c>
      <c r="R16" s="25">
        <f>SUM(H16:L16)</f>
      </c>
      <c r="S16" s="25">
        <f>SUM(C16:G16)</f>
      </c>
      <c r="T16" s="25">
        <f>SUM(M16:Q16)</f>
      </c>
      <c r="U16" s="26">
        <f>Debts!$B$13+SUMPRODUCT(($M15:$Q15&lt;=0)*$C$6:$G$6)</f>
      </c>
      <c r="V16" s="27">
        <f>IF(AND(M15&gt;0,SUMPRODUCT(($C$7:$G$7&lt;$C$7)*($M15:$Q15&gt;0))=0),1,0)</f>
      </c>
      <c r="W16" s="27">
        <f>IF(AND(N15&gt;0,SUMPRODUCT(($C$7:$G$7&lt;$D$7)*($M15:$Q15&gt;0))=0),1,0)</f>
      </c>
      <c r="X16" s="27">
        <f>IF(AND(O15&gt;0,SUMPRODUCT(($C$7:$G$7&lt;$E$7)*($M15:$Q15&gt;0))=0),1,0)</f>
      </c>
      <c r="Y16" s="27">
        <f>IF(AND(P15&gt;0,SUMPRODUCT(($C$7:$G$7&lt;$F$7)*($M15:$Q15&gt;0))=0),1,0)</f>
      </c>
      <c r="Z16" s="27">
        <f>IF(AND(Q15&gt;0,SUMPRODUCT(($C$7:$G$7&lt;$G$7)*($M15:$Q15&gt;0))=0),1,0)</f>
      </c>
    </row>
    <row r="17" spans="1:26" x14ac:dyDescent="0.25">
      <c r="A17" s="12">
        <f>A16+1</f>
      </c>
      <c r="B17" s="28">
        <f>EDATE(Debts!$B$14,A17)</f>
      </c>
      <c r="C17" s="29">
        <f>IF(M16&lt;=0,0,ROUND(M16*$C$5/12,2))</f>
      </c>
      <c r="D17" s="29">
        <f>IF(N16&lt;=0,0,ROUND(N16*$D$5/12,2))</f>
      </c>
      <c r="E17" s="29">
        <f>IF(O16&lt;=0,0,ROUND(O16*$E$5/12,2))</f>
      </c>
      <c r="F17" s="29">
        <f>IF(P16&lt;=0,0,ROUND(P16*$F$5/12,2))</f>
      </c>
      <c r="G17" s="29">
        <f>IF(Q16&lt;=0,0,ROUND(Q16*$G$5/12,2))</f>
      </c>
      <c r="H17" s="29">
        <f>IF(M16&lt;=0,0,MIN(M16+C17,$C$6+V17*$U17))</f>
      </c>
      <c r="I17" s="29">
        <f>IF(N16&lt;=0,0,MIN(N16+D17,$D$6+W17*$U17))</f>
      </c>
      <c r="J17" s="29">
        <f>IF(O16&lt;=0,0,MIN(O16+E17,$E$6+X17*$U17))</f>
      </c>
      <c r="K17" s="29">
        <f>IF(P16&lt;=0,0,MIN(P16+F17,$F$6+Y17*$U17))</f>
      </c>
      <c r="L17" s="29">
        <f>IF(Q16&lt;=0,0,MIN(Q16+G17,$G$6+Z17*$U17))</f>
      </c>
      <c r="M17" s="29">
        <f>ROUND(M16+C17-H17,2)</f>
      </c>
      <c r="N17" s="29">
        <f>ROUND(N16+D17-I17,2)</f>
      </c>
      <c r="O17" s="29">
        <f>ROUND(O16+E17-J17,2)</f>
      </c>
      <c r="P17" s="29">
        <f>ROUND(P16+F17-K17,2)</f>
      </c>
      <c r="Q17" s="29">
        <f>ROUND(Q16+G17-L17,2)</f>
      </c>
      <c r="R17" s="29">
        <f>SUM(H17:L17)</f>
      </c>
      <c r="S17" s="29">
        <f>SUM(C17:G17)</f>
      </c>
      <c r="T17" s="29">
        <f>SUM(M17:Q17)</f>
      </c>
      <c r="U17" s="30">
        <f>Debts!$B$13+SUMPRODUCT(($M16:$Q16&lt;=0)*$C$6:$G$6)</f>
      </c>
      <c r="V17" s="31">
        <f>IF(AND(M16&gt;0,SUMPRODUCT(($C$7:$G$7&lt;$C$7)*($M16:$Q16&gt;0))=0),1,0)</f>
      </c>
      <c r="W17" s="31">
        <f>IF(AND(N16&gt;0,SUMPRODUCT(($C$7:$G$7&lt;$D$7)*($M16:$Q16&gt;0))=0),1,0)</f>
      </c>
      <c r="X17" s="31">
        <f>IF(AND(O16&gt;0,SUMPRODUCT(($C$7:$G$7&lt;$E$7)*($M16:$Q16&gt;0))=0),1,0)</f>
      </c>
      <c r="Y17" s="31">
        <f>IF(AND(P16&gt;0,SUMPRODUCT(($C$7:$G$7&lt;$F$7)*($M16:$Q16&gt;0))=0),1,0)</f>
      </c>
      <c r="Z17" s="31">
        <f>IF(AND(Q16&gt;0,SUMPRODUCT(($C$7:$G$7&lt;$G$7)*($M16:$Q16&gt;0))=0),1,0)</f>
      </c>
    </row>
    <row r="18" spans="1:26" x14ac:dyDescent="0.25">
      <c r="A18" s="11">
        <f>A17+1</f>
      </c>
      <c r="B18" s="24">
        <f>EDATE(Debts!$B$14,A18)</f>
      </c>
      <c r="C18" s="25">
        <f>IF(M17&lt;=0,0,ROUND(M17*$C$5/12,2))</f>
      </c>
      <c r="D18" s="25">
        <f>IF(N17&lt;=0,0,ROUND(N17*$D$5/12,2))</f>
      </c>
      <c r="E18" s="25">
        <f>IF(O17&lt;=0,0,ROUND(O17*$E$5/12,2))</f>
      </c>
      <c r="F18" s="25">
        <f>IF(P17&lt;=0,0,ROUND(P17*$F$5/12,2))</f>
      </c>
      <c r="G18" s="25">
        <f>IF(Q17&lt;=0,0,ROUND(Q17*$G$5/12,2))</f>
      </c>
      <c r="H18" s="25">
        <f>IF(M17&lt;=0,0,MIN(M17+C18,$C$6+V18*$U18))</f>
      </c>
      <c r="I18" s="25">
        <f>IF(N17&lt;=0,0,MIN(N17+D18,$D$6+W18*$U18))</f>
      </c>
      <c r="J18" s="25">
        <f>IF(O17&lt;=0,0,MIN(O17+E18,$E$6+X18*$U18))</f>
      </c>
      <c r="K18" s="25">
        <f>IF(P17&lt;=0,0,MIN(P17+F18,$F$6+Y18*$U18))</f>
      </c>
      <c r="L18" s="25">
        <f>IF(Q17&lt;=0,0,MIN(Q17+G18,$G$6+Z18*$U18))</f>
      </c>
      <c r="M18" s="25">
        <f>ROUND(M17+C18-H18,2)</f>
      </c>
      <c r="N18" s="25">
        <f>ROUND(N17+D18-I18,2)</f>
      </c>
      <c r="O18" s="25">
        <f>ROUND(O17+E18-J18,2)</f>
      </c>
      <c r="P18" s="25">
        <f>ROUND(P17+F18-K18,2)</f>
      </c>
      <c r="Q18" s="25">
        <f>ROUND(Q17+G18-L18,2)</f>
      </c>
      <c r="R18" s="25">
        <f>SUM(H18:L18)</f>
      </c>
      <c r="S18" s="25">
        <f>SUM(C18:G18)</f>
      </c>
      <c r="T18" s="25">
        <f>SUM(M18:Q18)</f>
      </c>
      <c r="U18" s="26">
        <f>Debts!$B$13+SUMPRODUCT(($M17:$Q17&lt;=0)*$C$6:$G$6)</f>
      </c>
      <c r="V18" s="27">
        <f>IF(AND(M17&gt;0,SUMPRODUCT(($C$7:$G$7&lt;$C$7)*($M17:$Q17&gt;0))=0),1,0)</f>
      </c>
      <c r="W18" s="27">
        <f>IF(AND(N17&gt;0,SUMPRODUCT(($C$7:$G$7&lt;$D$7)*($M17:$Q17&gt;0))=0),1,0)</f>
      </c>
      <c r="X18" s="27">
        <f>IF(AND(O17&gt;0,SUMPRODUCT(($C$7:$G$7&lt;$E$7)*($M17:$Q17&gt;0))=0),1,0)</f>
      </c>
      <c r="Y18" s="27">
        <f>IF(AND(P17&gt;0,SUMPRODUCT(($C$7:$G$7&lt;$F$7)*($M17:$Q17&gt;0))=0),1,0)</f>
      </c>
      <c r="Z18" s="27">
        <f>IF(AND(Q17&gt;0,SUMPRODUCT(($C$7:$G$7&lt;$G$7)*($M17:$Q17&gt;0))=0),1,0)</f>
      </c>
    </row>
    <row r="19" spans="1:26" x14ac:dyDescent="0.25">
      <c r="A19" s="12">
        <f>A18+1</f>
      </c>
      <c r="B19" s="28">
        <f>EDATE(Debts!$B$14,A19)</f>
      </c>
      <c r="C19" s="29">
        <f>IF(M18&lt;=0,0,ROUND(M18*$C$5/12,2))</f>
      </c>
      <c r="D19" s="29">
        <f>IF(N18&lt;=0,0,ROUND(N18*$D$5/12,2))</f>
      </c>
      <c r="E19" s="29">
        <f>IF(O18&lt;=0,0,ROUND(O18*$E$5/12,2))</f>
      </c>
      <c r="F19" s="29">
        <f>IF(P18&lt;=0,0,ROUND(P18*$F$5/12,2))</f>
      </c>
      <c r="G19" s="29">
        <f>IF(Q18&lt;=0,0,ROUND(Q18*$G$5/12,2))</f>
      </c>
      <c r="H19" s="29">
        <f>IF(M18&lt;=0,0,MIN(M18+C19,$C$6+V19*$U19))</f>
      </c>
      <c r="I19" s="29">
        <f>IF(N18&lt;=0,0,MIN(N18+D19,$D$6+W19*$U19))</f>
      </c>
      <c r="J19" s="29">
        <f>IF(O18&lt;=0,0,MIN(O18+E19,$E$6+X19*$U19))</f>
      </c>
      <c r="K19" s="29">
        <f>IF(P18&lt;=0,0,MIN(P18+F19,$F$6+Y19*$U19))</f>
      </c>
      <c r="L19" s="29">
        <f>IF(Q18&lt;=0,0,MIN(Q18+G19,$G$6+Z19*$U19))</f>
      </c>
      <c r="M19" s="29">
        <f>ROUND(M18+C19-H19,2)</f>
      </c>
      <c r="N19" s="29">
        <f>ROUND(N18+D19-I19,2)</f>
      </c>
      <c r="O19" s="29">
        <f>ROUND(O18+E19-J19,2)</f>
      </c>
      <c r="P19" s="29">
        <f>ROUND(P18+F19-K19,2)</f>
      </c>
      <c r="Q19" s="29">
        <f>ROUND(Q18+G19-L19,2)</f>
      </c>
      <c r="R19" s="29">
        <f>SUM(H19:L19)</f>
      </c>
      <c r="S19" s="29">
        <f>SUM(C19:G19)</f>
      </c>
      <c r="T19" s="29">
        <f>SUM(M19:Q19)</f>
      </c>
      <c r="U19" s="30">
        <f>Debts!$B$13+SUMPRODUCT(($M18:$Q18&lt;=0)*$C$6:$G$6)</f>
      </c>
      <c r="V19" s="31">
        <f>IF(AND(M18&gt;0,SUMPRODUCT(($C$7:$G$7&lt;$C$7)*($M18:$Q18&gt;0))=0),1,0)</f>
      </c>
      <c r="W19" s="31">
        <f>IF(AND(N18&gt;0,SUMPRODUCT(($C$7:$G$7&lt;$D$7)*($M18:$Q18&gt;0))=0),1,0)</f>
      </c>
      <c r="X19" s="31">
        <f>IF(AND(O18&gt;0,SUMPRODUCT(($C$7:$G$7&lt;$E$7)*($M18:$Q18&gt;0))=0),1,0)</f>
      </c>
      <c r="Y19" s="31">
        <f>IF(AND(P18&gt;0,SUMPRODUCT(($C$7:$G$7&lt;$F$7)*($M18:$Q18&gt;0))=0),1,0)</f>
      </c>
      <c r="Z19" s="31">
        <f>IF(AND(Q18&gt;0,SUMPRODUCT(($C$7:$G$7&lt;$G$7)*($M18:$Q18&gt;0))=0),1,0)</f>
      </c>
    </row>
    <row r="20" spans="1:26" x14ac:dyDescent="0.25">
      <c r="A20" s="11">
        <f>A19+1</f>
      </c>
      <c r="B20" s="24">
        <f>EDATE(Debts!$B$14,A20)</f>
      </c>
      <c r="C20" s="25">
        <f>IF(M19&lt;=0,0,ROUND(M19*$C$5/12,2))</f>
      </c>
      <c r="D20" s="25">
        <f>IF(N19&lt;=0,0,ROUND(N19*$D$5/12,2))</f>
      </c>
      <c r="E20" s="25">
        <f>IF(O19&lt;=0,0,ROUND(O19*$E$5/12,2))</f>
      </c>
      <c r="F20" s="25">
        <f>IF(P19&lt;=0,0,ROUND(P19*$F$5/12,2))</f>
      </c>
      <c r="G20" s="25">
        <f>IF(Q19&lt;=0,0,ROUND(Q19*$G$5/12,2))</f>
      </c>
      <c r="H20" s="25">
        <f>IF(M19&lt;=0,0,MIN(M19+C20,$C$6+V20*$U20))</f>
      </c>
      <c r="I20" s="25">
        <f>IF(N19&lt;=0,0,MIN(N19+D20,$D$6+W20*$U20))</f>
      </c>
      <c r="J20" s="25">
        <f>IF(O19&lt;=0,0,MIN(O19+E20,$E$6+X20*$U20))</f>
      </c>
      <c r="K20" s="25">
        <f>IF(P19&lt;=0,0,MIN(P19+F20,$F$6+Y20*$U20))</f>
      </c>
      <c r="L20" s="25">
        <f>IF(Q19&lt;=0,0,MIN(Q19+G20,$G$6+Z20*$U20))</f>
      </c>
      <c r="M20" s="25">
        <f>ROUND(M19+C20-H20,2)</f>
      </c>
      <c r="N20" s="25">
        <f>ROUND(N19+D20-I20,2)</f>
      </c>
      <c r="O20" s="25">
        <f>ROUND(O19+E20-J20,2)</f>
      </c>
      <c r="P20" s="25">
        <f>ROUND(P19+F20-K20,2)</f>
      </c>
      <c r="Q20" s="25">
        <f>ROUND(Q19+G20-L20,2)</f>
      </c>
      <c r="R20" s="25">
        <f>SUM(H20:L20)</f>
      </c>
      <c r="S20" s="25">
        <f>SUM(C20:G20)</f>
      </c>
      <c r="T20" s="25">
        <f>SUM(M20:Q20)</f>
      </c>
      <c r="U20" s="26">
        <f>Debts!$B$13+SUMPRODUCT(($M19:$Q19&lt;=0)*$C$6:$G$6)</f>
      </c>
      <c r="V20" s="27">
        <f>IF(AND(M19&gt;0,SUMPRODUCT(($C$7:$G$7&lt;$C$7)*($M19:$Q19&gt;0))=0),1,0)</f>
      </c>
      <c r="W20" s="27">
        <f>IF(AND(N19&gt;0,SUMPRODUCT(($C$7:$G$7&lt;$D$7)*($M19:$Q19&gt;0))=0),1,0)</f>
      </c>
      <c r="X20" s="27">
        <f>IF(AND(O19&gt;0,SUMPRODUCT(($C$7:$G$7&lt;$E$7)*($M19:$Q19&gt;0))=0),1,0)</f>
      </c>
      <c r="Y20" s="27">
        <f>IF(AND(P19&gt;0,SUMPRODUCT(($C$7:$G$7&lt;$F$7)*($M19:$Q19&gt;0))=0),1,0)</f>
      </c>
      <c r="Z20" s="27">
        <f>IF(AND(Q19&gt;0,SUMPRODUCT(($C$7:$G$7&lt;$G$7)*($M19:$Q19&gt;0))=0),1,0)</f>
      </c>
    </row>
    <row r="21" spans="1:26" x14ac:dyDescent="0.25">
      <c r="A21" s="12">
        <f>A20+1</f>
      </c>
      <c r="B21" s="28">
        <f>EDATE(Debts!$B$14,A21)</f>
      </c>
      <c r="C21" s="29">
        <f>IF(M20&lt;=0,0,ROUND(M20*$C$5/12,2))</f>
      </c>
      <c r="D21" s="29">
        <f>IF(N20&lt;=0,0,ROUND(N20*$D$5/12,2))</f>
      </c>
      <c r="E21" s="29">
        <f>IF(O20&lt;=0,0,ROUND(O20*$E$5/12,2))</f>
      </c>
      <c r="F21" s="29">
        <f>IF(P20&lt;=0,0,ROUND(P20*$F$5/12,2))</f>
      </c>
      <c r="G21" s="29">
        <f>IF(Q20&lt;=0,0,ROUND(Q20*$G$5/12,2))</f>
      </c>
      <c r="H21" s="29">
        <f>IF(M20&lt;=0,0,MIN(M20+C21,$C$6+V21*$U21))</f>
      </c>
      <c r="I21" s="29">
        <f>IF(N20&lt;=0,0,MIN(N20+D21,$D$6+W21*$U21))</f>
      </c>
      <c r="J21" s="29">
        <f>IF(O20&lt;=0,0,MIN(O20+E21,$E$6+X21*$U21))</f>
      </c>
      <c r="K21" s="29">
        <f>IF(P20&lt;=0,0,MIN(P20+F21,$F$6+Y21*$U21))</f>
      </c>
      <c r="L21" s="29">
        <f>IF(Q20&lt;=0,0,MIN(Q20+G21,$G$6+Z21*$U21))</f>
      </c>
      <c r="M21" s="29">
        <f>ROUND(M20+C21-H21,2)</f>
      </c>
      <c r="N21" s="29">
        <f>ROUND(N20+D21-I21,2)</f>
      </c>
      <c r="O21" s="29">
        <f>ROUND(O20+E21-J21,2)</f>
      </c>
      <c r="P21" s="29">
        <f>ROUND(P20+F21-K21,2)</f>
      </c>
      <c r="Q21" s="29">
        <f>ROUND(Q20+G21-L21,2)</f>
      </c>
      <c r="R21" s="29">
        <f>SUM(H21:L21)</f>
      </c>
      <c r="S21" s="29">
        <f>SUM(C21:G21)</f>
      </c>
      <c r="T21" s="29">
        <f>SUM(M21:Q21)</f>
      </c>
      <c r="U21" s="30">
        <f>Debts!$B$13+SUMPRODUCT(($M20:$Q20&lt;=0)*$C$6:$G$6)</f>
      </c>
      <c r="V21" s="31">
        <f>IF(AND(M20&gt;0,SUMPRODUCT(($C$7:$G$7&lt;$C$7)*($M20:$Q20&gt;0))=0),1,0)</f>
      </c>
      <c r="W21" s="31">
        <f>IF(AND(N20&gt;0,SUMPRODUCT(($C$7:$G$7&lt;$D$7)*($M20:$Q20&gt;0))=0),1,0)</f>
      </c>
      <c r="X21" s="31">
        <f>IF(AND(O20&gt;0,SUMPRODUCT(($C$7:$G$7&lt;$E$7)*($M20:$Q20&gt;0))=0),1,0)</f>
      </c>
      <c r="Y21" s="31">
        <f>IF(AND(P20&gt;0,SUMPRODUCT(($C$7:$G$7&lt;$F$7)*($M20:$Q20&gt;0))=0),1,0)</f>
      </c>
      <c r="Z21" s="31">
        <f>IF(AND(Q20&gt;0,SUMPRODUCT(($C$7:$G$7&lt;$G$7)*($M20:$Q20&gt;0))=0),1,0)</f>
      </c>
    </row>
    <row r="22" spans="1:26" x14ac:dyDescent="0.25">
      <c r="A22" s="11">
        <f>A21+1</f>
      </c>
      <c r="B22" s="24">
        <f>EDATE(Debts!$B$14,A22)</f>
      </c>
      <c r="C22" s="25">
        <f>IF(M21&lt;=0,0,ROUND(M21*$C$5/12,2))</f>
      </c>
      <c r="D22" s="25">
        <f>IF(N21&lt;=0,0,ROUND(N21*$D$5/12,2))</f>
      </c>
      <c r="E22" s="25">
        <f>IF(O21&lt;=0,0,ROUND(O21*$E$5/12,2))</f>
      </c>
      <c r="F22" s="25">
        <f>IF(P21&lt;=0,0,ROUND(P21*$F$5/12,2))</f>
      </c>
      <c r="G22" s="25">
        <f>IF(Q21&lt;=0,0,ROUND(Q21*$G$5/12,2))</f>
      </c>
      <c r="H22" s="25">
        <f>IF(M21&lt;=0,0,MIN(M21+C22,$C$6+V22*$U22))</f>
      </c>
      <c r="I22" s="25">
        <f>IF(N21&lt;=0,0,MIN(N21+D22,$D$6+W22*$U22))</f>
      </c>
      <c r="J22" s="25">
        <f>IF(O21&lt;=0,0,MIN(O21+E22,$E$6+X22*$U22))</f>
      </c>
      <c r="K22" s="25">
        <f>IF(P21&lt;=0,0,MIN(P21+F22,$F$6+Y22*$U22))</f>
      </c>
      <c r="L22" s="25">
        <f>IF(Q21&lt;=0,0,MIN(Q21+G22,$G$6+Z22*$U22))</f>
      </c>
      <c r="M22" s="25">
        <f>ROUND(M21+C22-H22,2)</f>
      </c>
      <c r="N22" s="25">
        <f>ROUND(N21+D22-I22,2)</f>
      </c>
      <c r="O22" s="25">
        <f>ROUND(O21+E22-J22,2)</f>
      </c>
      <c r="P22" s="25">
        <f>ROUND(P21+F22-K22,2)</f>
      </c>
      <c r="Q22" s="25">
        <f>ROUND(Q21+G22-L22,2)</f>
      </c>
      <c r="R22" s="25">
        <f>SUM(H22:L22)</f>
      </c>
      <c r="S22" s="25">
        <f>SUM(C22:G22)</f>
      </c>
      <c r="T22" s="25">
        <f>SUM(M22:Q22)</f>
      </c>
      <c r="U22" s="26">
        <f>Debts!$B$13+SUMPRODUCT(($M21:$Q21&lt;=0)*$C$6:$G$6)</f>
      </c>
      <c r="V22" s="27">
        <f>IF(AND(M21&gt;0,SUMPRODUCT(($C$7:$G$7&lt;$C$7)*($M21:$Q21&gt;0))=0),1,0)</f>
      </c>
      <c r="W22" s="27">
        <f>IF(AND(N21&gt;0,SUMPRODUCT(($C$7:$G$7&lt;$D$7)*($M21:$Q21&gt;0))=0),1,0)</f>
      </c>
      <c r="X22" s="27">
        <f>IF(AND(O21&gt;0,SUMPRODUCT(($C$7:$G$7&lt;$E$7)*($M21:$Q21&gt;0))=0),1,0)</f>
      </c>
      <c r="Y22" s="27">
        <f>IF(AND(P21&gt;0,SUMPRODUCT(($C$7:$G$7&lt;$F$7)*($M21:$Q21&gt;0))=0),1,0)</f>
      </c>
      <c r="Z22" s="27">
        <f>IF(AND(Q21&gt;0,SUMPRODUCT(($C$7:$G$7&lt;$G$7)*($M21:$Q21&gt;0))=0),1,0)</f>
      </c>
    </row>
    <row r="23" spans="1:26" x14ac:dyDescent="0.25">
      <c r="A23" s="12">
        <f>A22+1</f>
      </c>
      <c r="B23" s="28">
        <f>EDATE(Debts!$B$14,A23)</f>
      </c>
      <c r="C23" s="29">
        <f>IF(M22&lt;=0,0,ROUND(M22*$C$5/12,2))</f>
      </c>
      <c r="D23" s="29">
        <f>IF(N22&lt;=0,0,ROUND(N22*$D$5/12,2))</f>
      </c>
      <c r="E23" s="29">
        <f>IF(O22&lt;=0,0,ROUND(O22*$E$5/12,2))</f>
      </c>
      <c r="F23" s="29">
        <f>IF(P22&lt;=0,0,ROUND(P22*$F$5/12,2))</f>
      </c>
      <c r="G23" s="29">
        <f>IF(Q22&lt;=0,0,ROUND(Q22*$G$5/12,2))</f>
      </c>
      <c r="H23" s="29">
        <f>IF(M22&lt;=0,0,MIN(M22+C23,$C$6+V23*$U23))</f>
      </c>
      <c r="I23" s="29">
        <f>IF(N22&lt;=0,0,MIN(N22+D23,$D$6+W23*$U23))</f>
      </c>
      <c r="J23" s="29">
        <f>IF(O22&lt;=0,0,MIN(O22+E23,$E$6+X23*$U23))</f>
      </c>
      <c r="K23" s="29">
        <f>IF(P22&lt;=0,0,MIN(P22+F23,$F$6+Y23*$U23))</f>
      </c>
      <c r="L23" s="29">
        <f>IF(Q22&lt;=0,0,MIN(Q22+G23,$G$6+Z23*$U23))</f>
      </c>
      <c r="M23" s="29">
        <f>ROUND(M22+C23-H23,2)</f>
      </c>
      <c r="N23" s="29">
        <f>ROUND(N22+D23-I23,2)</f>
      </c>
      <c r="O23" s="29">
        <f>ROUND(O22+E23-J23,2)</f>
      </c>
      <c r="P23" s="29">
        <f>ROUND(P22+F23-K23,2)</f>
      </c>
      <c r="Q23" s="29">
        <f>ROUND(Q22+G23-L23,2)</f>
      </c>
      <c r="R23" s="29">
        <f>SUM(H23:L23)</f>
      </c>
      <c r="S23" s="29">
        <f>SUM(C23:G23)</f>
      </c>
      <c r="T23" s="29">
        <f>SUM(M23:Q23)</f>
      </c>
      <c r="U23" s="30">
        <f>Debts!$B$13+SUMPRODUCT(($M22:$Q22&lt;=0)*$C$6:$G$6)</f>
      </c>
      <c r="V23" s="31">
        <f>IF(AND(M22&gt;0,SUMPRODUCT(($C$7:$G$7&lt;$C$7)*($M22:$Q22&gt;0))=0),1,0)</f>
      </c>
      <c r="W23" s="31">
        <f>IF(AND(N22&gt;0,SUMPRODUCT(($C$7:$G$7&lt;$D$7)*($M22:$Q22&gt;0))=0),1,0)</f>
      </c>
      <c r="X23" s="31">
        <f>IF(AND(O22&gt;0,SUMPRODUCT(($C$7:$G$7&lt;$E$7)*($M22:$Q22&gt;0))=0),1,0)</f>
      </c>
      <c r="Y23" s="31">
        <f>IF(AND(P22&gt;0,SUMPRODUCT(($C$7:$G$7&lt;$F$7)*($M22:$Q22&gt;0))=0),1,0)</f>
      </c>
      <c r="Z23" s="31">
        <f>IF(AND(Q22&gt;0,SUMPRODUCT(($C$7:$G$7&lt;$G$7)*($M22:$Q22&gt;0))=0),1,0)</f>
      </c>
    </row>
    <row r="24" spans="1:26" x14ac:dyDescent="0.25">
      <c r="A24" s="11">
        <f>A23+1</f>
      </c>
      <c r="B24" s="24">
        <f>EDATE(Debts!$B$14,A24)</f>
      </c>
      <c r="C24" s="25">
        <f>IF(M23&lt;=0,0,ROUND(M23*$C$5/12,2))</f>
      </c>
      <c r="D24" s="25">
        <f>IF(N23&lt;=0,0,ROUND(N23*$D$5/12,2))</f>
      </c>
      <c r="E24" s="25">
        <f>IF(O23&lt;=0,0,ROUND(O23*$E$5/12,2))</f>
      </c>
      <c r="F24" s="25">
        <f>IF(P23&lt;=0,0,ROUND(P23*$F$5/12,2))</f>
      </c>
      <c r="G24" s="25">
        <f>IF(Q23&lt;=0,0,ROUND(Q23*$G$5/12,2))</f>
      </c>
      <c r="H24" s="25">
        <f>IF(M23&lt;=0,0,MIN(M23+C24,$C$6+V24*$U24))</f>
      </c>
      <c r="I24" s="25">
        <f>IF(N23&lt;=0,0,MIN(N23+D24,$D$6+W24*$U24))</f>
      </c>
      <c r="J24" s="25">
        <f>IF(O23&lt;=0,0,MIN(O23+E24,$E$6+X24*$U24))</f>
      </c>
      <c r="K24" s="25">
        <f>IF(P23&lt;=0,0,MIN(P23+F24,$F$6+Y24*$U24))</f>
      </c>
      <c r="L24" s="25">
        <f>IF(Q23&lt;=0,0,MIN(Q23+G24,$G$6+Z24*$U24))</f>
      </c>
      <c r="M24" s="25">
        <f>ROUND(M23+C24-H24,2)</f>
      </c>
      <c r="N24" s="25">
        <f>ROUND(N23+D24-I24,2)</f>
      </c>
      <c r="O24" s="25">
        <f>ROUND(O23+E24-J24,2)</f>
      </c>
      <c r="P24" s="25">
        <f>ROUND(P23+F24-K24,2)</f>
      </c>
      <c r="Q24" s="25">
        <f>ROUND(Q23+G24-L24,2)</f>
      </c>
      <c r="R24" s="25">
        <f>SUM(H24:L24)</f>
      </c>
      <c r="S24" s="25">
        <f>SUM(C24:G24)</f>
      </c>
      <c r="T24" s="25">
        <f>SUM(M24:Q24)</f>
      </c>
      <c r="U24" s="26">
        <f>Debts!$B$13+SUMPRODUCT(($M23:$Q23&lt;=0)*$C$6:$G$6)</f>
      </c>
      <c r="V24" s="27">
        <f>IF(AND(M23&gt;0,SUMPRODUCT(($C$7:$G$7&lt;$C$7)*($M23:$Q23&gt;0))=0),1,0)</f>
      </c>
      <c r="W24" s="27">
        <f>IF(AND(N23&gt;0,SUMPRODUCT(($C$7:$G$7&lt;$D$7)*($M23:$Q23&gt;0))=0),1,0)</f>
      </c>
      <c r="X24" s="27">
        <f>IF(AND(O23&gt;0,SUMPRODUCT(($C$7:$G$7&lt;$E$7)*($M23:$Q23&gt;0))=0),1,0)</f>
      </c>
      <c r="Y24" s="27">
        <f>IF(AND(P23&gt;0,SUMPRODUCT(($C$7:$G$7&lt;$F$7)*($M23:$Q23&gt;0))=0),1,0)</f>
      </c>
      <c r="Z24" s="27">
        <f>IF(AND(Q23&gt;0,SUMPRODUCT(($C$7:$G$7&lt;$G$7)*($M23:$Q23&gt;0))=0),1,0)</f>
      </c>
    </row>
    <row r="25" spans="1:26" x14ac:dyDescent="0.25">
      <c r="A25" s="12">
        <f>A24+1</f>
      </c>
      <c r="B25" s="28">
        <f>EDATE(Debts!$B$14,A25)</f>
      </c>
      <c r="C25" s="29">
        <f>IF(M24&lt;=0,0,ROUND(M24*$C$5/12,2))</f>
      </c>
      <c r="D25" s="29">
        <f>IF(N24&lt;=0,0,ROUND(N24*$D$5/12,2))</f>
      </c>
      <c r="E25" s="29">
        <f>IF(O24&lt;=0,0,ROUND(O24*$E$5/12,2))</f>
      </c>
      <c r="F25" s="29">
        <f>IF(P24&lt;=0,0,ROUND(P24*$F$5/12,2))</f>
      </c>
      <c r="G25" s="29">
        <f>IF(Q24&lt;=0,0,ROUND(Q24*$G$5/12,2))</f>
      </c>
      <c r="H25" s="29">
        <f>IF(M24&lt;=0,0,MIN(M24+C25,$C$6+V25*$U25))</f>
      </c>
      <c r="I25" s="29">
        <f>IF(N24&lt;=0,0,MIN(N24+D25,$D$6+W25*$U25))</f>
      </c>
      <c r="J25" s="29">
        <f>IF(O24&lt;=0,0,MIN(O24+E25,$E$6+X25*$U25))</f>
      </c>
      <c r="K25" s="29">
        <f>IF(P24&lt;=0,0,MIN(P24+F25,$F$6+Y25*$U25))</f>
      </c>
      <c r="L25" s="29">
        <f>IF(Q24&lt;=0,0,MIN(Q24+G25,$G$6+Z25*$U25))</f>
      </c>
      <c r="M25" s="29">
        <f>ROUND(M24+C25-H25,2)</f>
      </c>
      <c r="N25" s="29">
        <f>ROUND(N24+D25-I25,2)</f>
      </c>
      <c r="O25" s="29">
        <f>ROUND(O24+E25-J25,2)</f>
      </c>
      <c r="P25" s="29">
        <f>ROUND(P24+F25-K25,2)</f>
      </c>
      <c r="Q25" s="29">
        <f>ROUND(Q24+G25-L25,2)</f>
      </c>
      <c r="R25" s="29">
        <f>SUM(H25:L25)</f>
      </c>
      <c r="S25" s="29">
        <f>SUM(C25:G25)</f>
      </c>
      <c r="T25" s="29">
        <f>SUM(M25:Q25)</f>
      </c>
      <c r="U25" s="30">
        <f>Debts!$B$13+SUMPRODUCT(($M24:$Q24&lt;=0)*$C$6:$G$6)</f>
      </c>
      <c r="V25" s="31">
        <f>IF(AND(M24&gt;0,SUMPRODUCT(($C$7:$G$7&lt;$C$7)*($M24:$Q24&gt;0))=0),1,0)</f>
      </c>
      <c r="W25" s="31">
        <f>IF(AND(N24&gt;0,SUMPRODUCT(($C$7:$G$7&lt;$D$7)*($M24:$Q24&gt;0))=0),1,0)</f>
      </c>
      <c r="X25" s="31">
        <f>IF(AND(O24&gt;0,SUMPRODUCT(($C$7:$G$7&lt;$E$7)*($M24:$Q24&gt;0))=0),1,0)</f>
      </c>
      <c r="Y25" s="31">
        <f>IF(AND(P24&gt;0,SUMPRODUCT(($C$7:$G$7&lt;$F$7)*($M24:$Q24&gt;0))=0),1,0)</f>
      </c>
      <c r="Z25" s="31">
        <f>IF(AND(Q24&gt;0,SUMPRODUCT(($C$7:$G$7&lt;$G$7)*($M24:$Q24&gt;0))=0),1,0)</f>
      </c>
    </row>
    <row r="26" spans="1:26" x14ac:dyDescent="0.25">
      <c r="A26" s="11">
        <f>A25+1</f>
      </c>
      <c r="B26" s="24">
        <f>EDATE(Debts!$B$14,A26)</f>
      </c>
      <c r="C26" s="25">
        <f>IF(M25&lt;=0,0,ROUND(M25*$C$5/12,2))</f>
      </c>
      <c r="D26" s="25">
        <f>IF(N25&lt;=0,0,ROUND(N25*$D$5/12,2))</f>
      </c>
      <c r="E26" s="25">
        <f>IF(O25&lt;=0,0,ROUND(O25*$E$5/12,2))</f>
      </c>
      <c r="F26" s="25">
        <f>IF(P25&lt;=0,0,ROUND(P25*$F$5/12,2))</f>
      </c>
      <c r="G26" s="25">
        <f>IF(Q25&lt;=0,0,ROUND(Q25*$G$5/12,2))</f>
      </c>
      <c r="H26" s="25">
        <f>IF(M25&lt;=0,0,MIN(M25+C26,$C$6+V26*$U26))</f>
      </c>
      <c r="I26" s="25">
        <f>IF(N25&lt;=0,0,MIN(N25+D26,$D$6+W26*$U26))</f>
      </c>
      <c r="J26" s="25">
        <f>IF(O25&lt;=0,0,MIN(O25+E26,$E$6+X26*$U26))</f>
      </c>
      <c r="K26" s="25">
        <f>IF(P25&lt;=0,0,MIN(P25+F26,$F$6+Y26*$U26))</f>
      </c>
      <c r="L26" s="25">
        <f>IF(Q25&lt;=0,0,MIN(Q25+G26,$G$6+Z26*$U26))</f>
      </c>
      <c r="M26" s="25">
        <f>ROUND(M25+C26-H26,2)</f>
      </c>
      <c r="N26" s="25">
        <f>ROUND(N25+D26-I26,2)</f>
      </c>
      <c r="O26" s="25">
        <f>ROUND(O25+E26-J26,2)</f>
      </c>
      <c r="P26" s="25">
        <f>ROUND(P25+F26-K26,2)</f>
      </c>
      <c r="Q26" s="25">
        <f>ROUND(Q25+G26-L26,2)</f>
      </c>
      <c r="R26" s="25">
        <f>SUM(H26:L26)</f>
      </c>
      <c r="S26" s="25">
        <f>SUM(C26:G26)</f>
      </c>
      <c r="T26" s="25">
        <f>SUM(M26:Q26)</f>
      </c>
      <c r="U26" s="26">
        <f>Debts!$B$13+SUMPRODUCT(($M25:$Q25&lt;=0)*$C$6:$G$6)</f>
      </c>
      <c r="V26" s="27">
        <f>IF(AND(M25&gt;0,SUMPRODUCT(($C$7:$G$7&lt;$C$7)*($M25:$Q25&gt;0))=0),1,0)</f>
      </c>
      <c r="W26" s="27">
        <f>IF(AND(N25&gt;0,SUMPRODUCT(($C$7:$G$7&lt;$D$7)*($M25:$Q25&gt;0))=0),1,0)</f>
      </c>
      <c r="X26" s="27">
        <f>IF(AND(O25&gt;0,SUMPRODUCT(($C$7:$G$7&lt;$E$7)*($M25:$Q25&gt;0))=0),1,0)</f>
      </c>
      <c r="Y26" s="27">
        <f>IF(AND(P25&gt;0,SUMPRODUCT(($C$7:$G$7&lt;$F$7)*($M25:$Q25&gt;0))=0),1,0)</f>
      </c>
      <c r="Z26" s="27">
        <f>IF(AND(Q25&gt;0,SUMPRODUCT(($C$7:$G$7&lt;$G$7)*($M25:$Q25&gt;0))=0),1,0)</f>
      </c>
    </row>
    <row r="27" spans="1:26" x14ac:dyDescent="0.25">
      <c r="A27" s="12">
        <f>A26+1</f>
      </c>
      <c r="B27" s="28">
        <f>EDATE(Debts!$B$14,A27)</f>
      </c>
      <c r="C27" s="29">
        <f>IF(M26&lt;=0,0,ROUND(M26*$C$5/12,2))</f>
      </c>
      <c r="D27" s="29">
        <f>IF(N26&lt;=0,0,ROUND(N26*$D$5/12,2))</f>
      </c>
      <c r="E27" s="29">
        <f>IF(O26&lt;=0,0,ROUND(O26*$E$5/12,2))</f>
      </c>
      <c r="F27" s="29">
        <f>IF(P26&lt;=0,0,ROUND(P26*$F$5/12,2))</f>
      </c>
      <c r="G27" s="29">
        <f>IF(Q26&lt;=0,0,ROUND(Q26*$G$5/12,2))</f>
      </c>
      <c r="H27" s="29">
        <f>IF(M26&lt;=0,0,MIN(M26+C27,$C$6+V27*$U27))</f>
      </c>
      <c r="I27" s="29">
        <f>IF(N26&lt;=0,0,MIN(N26+D27,$D$6+W27*$U27))</f>
      </c>
      <c r="J27" s="29">
        <f>IF(O26&lt;=0,0,MIN(O26+E27,$E$6+X27*$U27))</f>
      </c>
      <c r="K27" s="29">
        <f>IF(P26&lt;=0,0,MIN(P26+F27,$F$6+Y27*$U27))</f>
      </c>
      <c r="L27" s="29">
        <f>IF(Q26&lt;=0,0,MIN(Q26+G27,$G$6+Z27*$U27))</f>
      </c>
      <c r="M27" s="29">
        <f>ROUND(M26+C27-H27,2)</f>
      </c>
      <c r="N27" s="29">
        <f>ROUND(N26+D27-I27,2)</f>
      </c>
      <c r="O27" s="29">
        <f>ROUND(O26+E27-J27,2)</f>
      </c>
      <c r="P27" s="29">
        <f>ROUND(P26+F27-K27,2)</f>
      </c>
      <c r="Q27" s="29">
        <f>ROUND(Q26+G27-L27,2)</f>
      </c>
      <c r="R27" s="29">
        <f>SUM(H27:L27)</f>
      </c>
      <c r="S27" s="29">
        <f>SUM(C27:G27)</f>
      </c>
      <c r="T27" s="29">
        <f>SUM(M27:Q27)</f>
      </c>
      <c r="U27" s="30">
        <f>Debts!$B$13+SUMPRODUCT(($M26:$Q26&lt;=0)*$C$6:$G$6)</f>
      </c>
      <c r="V27" s="31">
        <f>IF(AND(M26&gt;0,SUMPRODUCT(($C$7:$G$7&lt;$C$7)*($M26:$Q26&gt;0))=0),1,0)</f>
      </c>
      <c r="W27" s="31">
        <f>IF(AND(N26&gt;0,SUMPRODUCT(($C$7:$G$7&lt;$D$7)*($M26:$Q26&gt;0))=0),1,0)</f>
      </c>
      <c r="X27" s="31">
        <f>IF(AND(O26&gt;0,SUMPRODUCT(($C$7:$G$7&lt;$E$7)*($M26:$Q26&gt;0))=0),1,0)</f>
      </c>
      <c r="Y27" s="31">
        <f>IF(AND(P26&gt;0,SUMPRODUCT(($C$7:$G$7&lt;$F$7)*($M26:$Q26&gt;0))=0),1,0)</f>
      </c>
      <c r="Z27" s="31">
        <f>IF(AND(Q26&gt;0,SUMPRODUCT(($C$7:$G$7&lt;$G$7)*($M26:$Q26&gt;0))=0),1,0)</f>
      </c>
    </row>
    <row r="28" spans="1:26" x14ac:dyDescent="0.25">
      <c r="A28" s="11">
        <f>A27+1</f>
      </c>
      <c r="B28" s="24">
        <f>EDATE(Debts!$B$14,A28)</f>
      </c>
      <c r="C28" s="25">
        <f>IF(M27&lt;=0,0,ROUND(M27*$C$5/12,2))</f>
      </c>
      <c r="D28" s="25">
        <f>IF(N27&lt;=0,0,ROUND(N27*$D$5/12,2))</f>
      </c>
      <c r="E28" s="25">
        <f>IF(O27&lt;=0,0,ROUND(O27*$E$5/12,2))</f>
      </c>
      <c r="F28" s="25">
        <f>IF(P27&lt;=0,0,ROUND(P27*$F$5/12,2))</f>
      </c>
      <c r="G28" s="25">
        <f>IF(Q27&lt;=0,0,ROUND(Q27*$G$5/12,2))</f>
      </c>
      <c r="H28" s="25">
        <f>IF(M27&lt;=0,0,MIN(M27+C28,$C$6+V28*$U28))</f>
      </c>
      <c r="I28" s="25">
        <f>IF(N27&lt;=0,0,MIN(N27+D28,$D$6+W28*$U28))</f>
      </c>
      <c r="J28" s="25">
        <f>IF(O27&lt;=0,0,MIN(O27+E28,$E$6+X28*$U28))</f>
      </c>
      <c r="K28" s="25">
        <f>IF(P27&lt;=0,0,MIN(P27+F28,$F$6+Y28*$U28))</f>
      </c>
      <c r="L28" s="25">
        <f>IF(Q27&lt;=0,0,MIN(Q27+G28,$G$6+Z28*$U28))</f>
      </c>
      <c r="M28" s="25">
        <f>ROUND(M27+C28-H28,2)</f>
      </c>
      <c r="N28" s="25">
        <f>ROUND(N27+D28-I28,2)</f>
      </c>
      <c r="O28" s="25">
        <f>ROUND(O27+E28-J28,2)</f>
      </c>
      <c r="P28" s="25">
        <f>ROUND(P27+F28-K28,2)</f>
      </c>
      <c r="Q28" s="25">
        <f>ROUND(Q27+G28-L28,2)</f>
      </c>
      <c r="R28" s="25">
        <f>SUM(H28:L28)</f>
      </c>
      <c r="S28" s="25">
        <f>SUM(C28:G28)</f>
      </c>
      <c r="T28" s="25">
        <f>SUM(M28:Q28)</f>
      </c>
      <c r="U28" s="26">
        <f>Debts!$B$13+SUMPRODUCT(($M27:$Q27&lt;=0)*$C$6:$G$6)</f>
      </c>
      <c r="V28" s="27">
        <f>IF(AND(M27&gt;0,SUMPRODUCT(($C$7:$G$7&lt;$C$7)*($M27:$Q27&gt;0))=0),1,0)</f>
      </c>
      <c r="W28" s="27">
        <f>IF(AND(N27&gt;0,SUMPRODUCT(($C$7:$G$7&lt;$D$7)*($M27:$Q27&gt;0))=0),1,0)</f>
      </c>
      <c r="X28" s="27">
        <f>IF(AND(O27&gt;0,SUMPRODUCT(($C$7:$G$7&lt;$E$7)*($M27:$Q27&gt;0))=0),1,0)</f>
      </c>
      <c r="Y28" s="27">
        <f>IF(AND(P27&gt;0,SUMPRODUCT(($C$7:$G$7&lt;$F$7)*($M27:$Q27&gt;0))=0),1,0)</f>
      </c>
      <c r="Z28" s="27">
        <f>IF(AND(Q27&gt;0,SUMPRODUCT(($C$7:$G$7&lt;$G$7)*($M27:$Q27&gt;0))=0),1,0)</f>
      </c>
    </row>
    <row r="29" spans="1:26" x14ac:dyDescent="0.25">
      <c r="A29" s="12">
        <f>A28+1</f>
      </c>
      <c r="B29" s="28">
        <f>EDATE(Debts!$B$14,A29)</f>
      </c>
      <c r="C29" s="29">
        <f>IF(M28&lt;=0,0,ROUND(M28*$C$5/12,2))</f>
      </c>
      <c r="D29" s="29">
        <f>IF(N28&lt;=0,0,ROUND(N28*$D$5/12,2))</f>
      </c>
      <c r="E29" s="29">
        <f>IF(O28&lt;=0,0,ROUND(O28*$E$5/12,2))</f>
      </c>
      <c r="F29" s="29">
        <f>IF(P28&lt;=0,0,ROUND(P28*$F$5/12,2))</f>
      </c>
      <c r="G29" s="29">
        <f>IF(Q28&lt;=0,0,ROUND(Q28*$G$5/12,2))</f>
      </c>
      <c r="H29" s="29">
        <f>IF(M28&lt;=0,0,MIN(M28+C29,$C$6+V29*$U29))</f>
      </c>
      <c r="I29" s="29">
        <f>IF(N28&lt;=0,0,MIN(N28+D29,$D$6+W29*$U29))</f>
      </c>
      <c r="J29" s="29">
        <f>IF(O28&lt;=0,0,MIN(O28+E29,$E$6+X29*$U29))</f>
      </c>
      <c r="K29" s="29">
        <f>IF(P28&lt;=0,0,MIN(P28+F29,$F$6+Y29*$U29))</f>
      </c>
      <c r="L29" s="29">
        <f>IF(Q28&lt;=0,0,MIN(Q28+G29,$G$6+Z29*$U29))</f>
      </c>
      <c r="M29" s="29">
        <f>ROUND(M28+C29-H29,2)</f>
      </c>
      <c r="N29" s="29">
        <f>ROUND(N28+D29-I29,2)</f>
      </c>
      <c r="O29" s="29">
        <f>ROUND(O28+E29-J29,2)</f>
      </c>
      <c r="P29" s="29">
        <f>ROUND(P28+F29-K29,2)</f>
      </c>
      <c r="Q29" s="29">
        <f>ROUND(Q28+G29-L29,2)</f>
      </c>
      <c r="R29" s="29">
        <f>SUM(H29:L29)</f>
      </c>
      <c r="S29" s="29">
        <f>SUM(C29:G29)</f>
      </c>
      <c r="T29" s="29">
        <f>SUM(M29:Q29)</f>
      </c>
      <c r="U29" s="30">
        <f>Debts!$B$13+SUMPRODUCT(($M28:$Q28&lt;=0)*$C$6:$G$6)</f>
      </c>
      <c r="V29" s="31">
        <f>IF(AND(M28&gt;0,SUMPRODUCT(($C$7:$G$7&lt;$C$7)*($M28:$Q28&gt;0))=0),1,0)</f>
      </c>
      <c r="W29" s="31">
        <f>IF(AND(N28&gt;0,SUMPRODUCT(($C$7:$G$7&lt;$D$7)*($M28:$Q28&gt;0))=0),1,0)</f>
      </c>
      <c r="X29" s="31">
        <f>IF(AND(O28&gt;0,SUMPRODUCT(($C$7:$G$7&lt;$E$7)*($M28:$Q28&gt;0))=0),1,0)</f>
      </c>
      <c r="Y29" s="31">
        <f>IF(AND(P28&gt;0,SUMPRODUCT(($C$7:$G$7&lt;$F$7)*($M28:$Q28&gt;0))=0),1,0)</f>
      </c>
      <c r="Z29" s="31">
        <f>IF(AND(Q28&gt;0,SUMPRODUCT(($C$7:$G$7&lt;$G$7)*($M28:$Q28&gt;0))=0),1,0)</f>
      </c>
    </row>
    <row r="30" spans="1:26" x14ac:dyDescent="0.25">
      <c r="A30" s="11">
        <f>A29+1</f>
      </c>
      <c r="B30" s="24">
        <f>EDATE(Debts!$B$14,A30)</f>
      </c>
      <c r="C30" s="25">
        <f>IF(M29&lt;=0,0,ROUND(M29*$C$5/12,2))</f>
      </c>
      <c r="D30" s="25">
        <f>IF(N29&lt;=0,0,ROUND(N29*$D$5/12,2))</f>
      </c>
      <c r="E30" s="25">
        <f>IF(O29&lt;=0,0,ROUND(O29*$E$5/12,2))</f>
      </c>
      <c r="F30" s="25">
        <f>IF(P29&lt;=0,0,ROUND(P29*$F$5/12,2))</f>
      </c>
      <c r="G30" s="25">
        <f>IF(Q29&lt;=0,0,ROUND(Q29*$G$5/12,2))</f>
      </c>
      <c r="H30" s="25">
        <f>IF(M29&lt;=0,0,MIN(M29+C30,$C$6+V30*$U30))</f>
      </c>
      <c r="I30" s="25">
        <f>IF(N29&lt;=0,0,MIN(N29+D30,$D$6+W30*$U30))</f>
      </c>
      <c r="J30" s="25">
        <f>IF(O29&lt;=0,0,MIN(O29+E30,$E$6+X30*$U30))</f>
      </c>
      <c r="K30" s="25">
        <f>IF(P29&lt;=0,0,MIN(P29+F30,$F$6+Y30*$U30))</f>
      </c>
      <c r="L30" s="25">
        <f>IF(Q29&lt;=0,0,MIN(Q29+G30,$G$6+Z30*$U30))</f>
      </c>
      <c r="M30" s="25">
        <f>ROUND(M29+C30-H30,2)</f>
      </c>
      <c r="N30" s="25">
        <f>ROUND(N29+D30-I30,2)</f>
      </c>
      <c r="O30" s="25">
        <f>ROUND(O29+E30-J30,2)</f>
      </c>
      <c r="P30" s="25">
        <f>ROUND(P29+F30-K30,2)</f>
      </c>
      <c r="Q30" s="25">
        <f>ROUND(Q29+G30-L30,2)</f>
      </c>
      <c r="R30" s="25">
        <f>SUM(H30:L30)</f>
      </c>
      <c r="S30" s="25">
        <f>SUM(C30:G30)</f>
      </c>
      <c r="T30" s="25">
        <f>SUM(M30:Q30)</f>
      </c>
      <c r="U30" s="26">
        <f>Debts!$B$13+SUMPRODUCT(($M29:$Q29&lt;=0)*$C$6:$G$6)</f>
      </c>
      <c r="V30" s="27">
        <f>IF(AND(M29&gt;0,SUMPRODUCT(($C$7:$G$7&lt;$C$7)*($M29:$Q29&gt;0))=0),1,0)</f>
      </c>
      <c r="W30" s="27">
        <f>IF(AND(N29&gt;0,SUMPRODUCT(($C$7:$G$7&lt;$D$7)*($M29:$Q29&gt;0))=0),1,0)</f>
      </c>
      <c r="X30" s="27">
        <f>IF(AND(O29&gt;0,SUMPRODUCT(($C$7:$G$7&lt;$E$7)*($M29:$Q29&gt;0))=0),1,0)</f>
      </c>
      <c r="Y30" s="27">
        <f>IF(AND(P29&gt;0,SUMPRODUCT(($C$7:$G$7&lt;$F$7)*($M29:$Q29&gt;0))=0),1,0)</f>
      </c>
      <c r="Z30" s="27">
        <f>IF(AND(Q29&gt;0,SUMPRODUCT(($C$7:$G$7&lt;$G$7)*($M29:$Q29&gt;0))=0),1,0)</f>
      </c>
    </row>
    <row r="31" spans="1:26" x14ac:dyDescent="0.25">
      <c r="A31" s="12">
        <f>A30+1</f>
      </c>
      <c r="B31" s="28">
        <f>EDATE(Debts!$B$14,A31)</f>
      </c>
      <c r="C31" s="29">
        <f>IF(M30&lt;=0,0,ROUND(M30*$C$5/12,2))</f>
      </c>
      <c r="D31" s="29">
        <f>IF(N30&lt;=0,0,ROUND(N30*$D$5/12,2))</f>
      </c>
      <c r="E31" s="29">
        <f>IF(O30&lt;=0,0,ROUND(O30*$E$5/12,2))</f>
      </c>
      <c r="F31" s="29">
        <f>IF(P30&lt;=0,0,ROUND(P30*$F$5/12,2))</f>
      </c>
      <c r="G31" s="29">
        <f>IF(Q30&lt;=0,0,ROUND(Q30*$G$5/12,2))</f>
      </c>
      <c r="H31" s="29">
        <f>IF(M30&lt;=0,0,MIN(M30+C31,$C$6+V31*$U31))</f>
      </c>
      <c r="I31" s="29">
        <f>IF(N30&lt;=0,0,MIN(N30+D31,$D$6+W31*$U31))</f>
      </c>
      <c r="J31" s="29">
        <f>IF(O30&lt;=0,0,MIN(O30+E31,$E$6+X31*$U31))</f>
      </c>
      <c r="K31" s="29">
        <f>IF(P30&lt;=0,0,MIN(P30+F31,$F$6+Y31*$U31))</f>
      </c>
      <c r="L31" s="29">
        <f>IF(Q30&lt;=0,0,MIN(Q30+G31,$G$6+Z31*$U31))</f>
      </c>
      <c r="M31" s="29">
        <f>ROUND(M30+C31-H31,2)</f>
      </c>
      <c r="N31" s="29">
        <f>ROUND(N30+D31-I31,2)</f>
      </c>
      <c r="O31" s="29">
        <f>ROUND(O30+E31-J31,2)</f>
      </c>
      <c r="P31" s="29">
        <f>ROUND(P30+F31-K31,2)</f>
      </c>
      <c r="Q31" s="29">
        <f>ROUND(Q30+G31-L31,2)</f>
      </c>
      <c r="R31" s="29">
        <f>SUM(H31:L31)</f>
      </c>
      <c r="S31" s="29">
        <f>SUM(C31:G31)</f>
      </c>
      <c r="T31" s="29">
        <f>SUM(M31:Q31)</f>
      </c>
      <c r="U31" s="30">
        <f>Debts!$B$13+SUMPRODUCT(($M30:$Q30&lt;=0)*$C$6:$G$6)</f>
      </c>
      <c r="V31" s="31">
        <f>IF(AND(M30&gt;0,SUMPRODUCT(($C$7:$G$7&lt;$C$7)*($M30:$Q30&gt;0))=0),1,0)</f>
      </c>
      <c r="W31" s="31">
        <f>IF(AND(N30&gt;0,SUMPRODUCT(($C$7:$G$7&lt;$D$7)*($M30:$Q30&gt;0))=0),1,0)</f>
      </c>
      <c r="X31" s="31">
        <f>IF(AND(O30&gt;0,SUMPRODUCT(($C$7:$G$7&lt;$E$7)*($M30:$Q30&gt;0))=0),1,0)</f>
      </c>
      <c r="Y31" s="31">
        <f>IF(AND(P30&gt;0,SUMPRODUCT(($C$7:$G$7&lt;$F$7)*($M30:$Q30&gt;0))=0),1,0)</f>
      </c>
      <c r="Z31" s="31">
        <f>IF(AND(Q30&gt;0,SUMPRODUCT(($C$7:$G$7&lt;$G$7)*($M30:$Q30&gt;0))=0),1,0)</f>
      </c>
    </row>
    <row r="32" spans="1:26" x14ac:dyDescent="0.25">
      <c r="A32" s="11">
        <f>A31+1</f>
      </c>
      <c r="B32" s="24">
        <f>EDATE(Debts!$B$14,A32)</f>
      </c>
      <c r="C32" s="25">
        <f>IF(M31&lt;=0,0,ROUND(M31*$C$5/12,2))</f>
      </c>
      <c r="D32" s="25">
        <f>IF(N31&lt;=0,0,ROUND(N31*$D$5/12,2))</f>
      </c>
      <c r="E32" s="25">
        <f>IF(O31&lt;=0,0,ROUND(O31*$E$5/12,2))</f>
      </c>
      <c r="F32" s="25">
        <f>IF(P31&lt;=0,0,ROUND(P31*$F$5/12,2))</f>
      </c>
      <c r="G32" s="25">
        <f>IF(Q31&lt;=0,0,ROUND(Q31*$G$5/12,2))</f>
      </c>
      <c r="H32" s="25">
        <f>IF(M31&lt;=0,0,MIN(M31+C32,$C$6+V32*$U32))</f>
      </c>
      <c r="I32" s="25">
        <f>IF(N31&lt;=0,0,MIN(N31+D32,$D$6+W32*$U32))</f>
      </c>
      <c r="J32" s="25">
        <f>IF(O31&lt;=0,0,MIN(O31+E32,$E$6+X32*$U32))</f>
      </c>
      <c r="K32" s="25">
        <f>IF(P31&lt;=0,0,MIN(P31+F32,$F$6+Y32*$U32))</f>
      </c>
      <c r="L32" s="25">
        <f>IF(Q31&lt;=0,0,MIN(Q31+G32,$G$6+Z32*$U32))</f>
      </c>
      <c r="M32" s="25">
        <f>ROUND(M31+C32-H32,2)</f>
      </c>
      <c r="N32" s="25">
        <f>ROUND(N31+D32-I32,2)</f>
      </c>
      <c r="O32" s="25">
        <f>ROUND(O31+E32-J32,2)</f>
      </c>
      <c r="P32" s="25">
        <f>ROUND(P31+F32-K32,2)</f>
      </c>
      <c r="Q32" s="25">
        <f>ROUND(Q31+G32-L32,2)</f>
      </c>
      <c r="R32" s="25">
        <f>SUM(H32:L32)</f>
      </c>
      <c r="S32" s="25">
        <f>SUM(C32:G32)</f>
      </c>
      <c r="T32" s="25">
        <f>SUM(M32:Q32)</f>
      </c>
      <c r="U32" s="26">
        <f>Debts!$B$13+SUMPRODUCT(($M31:$Q31&lt;=0)*$C$6:$G$6)</f>
      </c>
      <c r="V32" s="27">
        <f>IF(AND(M31&gt;0,SUMPRODUCT(($C$7:$G$7&lt;$C$7)*($M31:$Q31&gt;0))=0),1,0)</f>
      </c>
      <c r="W32" s="27">
        <f>IF(AND(N31&gt;0,SUMPRODUCT(($C$7:$G$7&lt;$D$7)*($M31:$Q31&gt;0))=0),1,0)</f>
      </c>
      <c r="X32" s="27">
        <f>IF(AND(O31&gt;0,SUMPRODUCT(($C$7:$G$7&lt;$E$7)*($M31:$Q31&gt;0))=0),1,0)</f>
      </c>
      <c r="Y32" s="27">
        <f>IF(AND(P31&gt;0,SUMPRODUCT(($C$7:$G$7&lt;$F$7)*($M31:$Q31&gt;0))=0),1,0)</f>
      </c>
      <c r="Z32" s="27">
        <f>IF(AND(Q31&gt;0,SUMPRODUCT(($C$7:$G$7&lt;$G$7)*($M31:$Q31&gt;0))=0),1,0)</f>
      </c>
    </row>
    <row r="33" spans="1:26" x14ac:dyDescent="0.25">
      <c r="A33" s="12">
        <f>A32+1</f>
      </c>
      <c r="B33" s="28">
        <f>EDATE(Debts!$B$14,A33)</f>
      </c>
      <c r="C33" s="29">
        <f>IF(M32&lt;=0,0,ROUND(M32*$C$5/12,2))</f>
      </c>
      <c r="D33" s="29">
        <f>IF(N32&lt;=0,0,ROUND(N32*$D$5/12,2))</f>
      </c>
      <c r="E33" s="29">
        <f>IF(O32&lt;=0,0,ROUND(O32*$E$5/12,2))</f>
      </c>
      <c r="F33" s="29">
        <f>IF(P32&lt;=0,0,ROUND(P32*$F$5/12,2))</f>
      </c>
      <c r="G33" s="29">
        <f>IF(Q32&lt;=0,0,ROUND(Q32*$G$5/12,2))</f>
      </c>
      <c r="H33" s="29">
        <f>IF(M32&lt;=0,0,MIN(M32+C33,$C$6+V33*$U33))</f>
      </c>
      <c r="I33" s="29">
        <f>IF(N32&lt;=0,0,MIN(N32+D33,$D$6+W33*$U33))</f>
      </c>
      <c r="J33" s="29">
        <f>IF(O32&lt;=0,0,MIN(O32+E33,$E$6+X33*$U33))</f>
      </c>
      <c r="K33" s="29">
        <f>IF(P32&lt;=0,0,MIN(P32+F33,$F$6+Y33*$U33))</f>
      </c>
      <c r="L33" s="29">
        <f>IF(Q32&lt;=0,0,MIN(Q32+G33,$G$6+Z33*$U33))</f>
      </c>
      <c r="M33" s="29">
        <f>ROUND(M32+C33-H33,2)</f>
      </c>
      <c r="N33" s="29">
        <f>ROUND(N32+D33-I33,2)</f>
      </c>
      <c r="O33" s="29">
        <f>ROUND(O32+E33-J33,2)</f>
      </c>
      <c r="P33" s="29">
        <f>ROUND(P32+F33-K33,2)</f>
      </c>
      <c r="Q33" s="29">
        <f>ROUND(Q32+G33-L33,2)</f>
      </c>
      <c r="R33" s="29">
        <f>SUM(H33:L33)</f>
      </c>
      <c r="S33" s="29">
        <f>SUM(C33:G33)</f>
      </c>
      <c r="T33" s="29">
        <f>SUM(M33:Q33)</f>
      </c>
      <c r="U33" s="30">
        <f>Debts!$B$13+SUMPRODUCT(($M32:$Q32&lt;=0)*$C$6:$G$6)</f>
      </c>
      <c r="V33" s="31">
        <f>IF(AND(M32&gt;0,SUMPRODUCT(($C$7:$G$7&lt;$C$7)*($M32:$Q32&gt;0))=0),1,0)</f>
      </c>
      <c r="W33" s="31">
        <f>IF(AND(N32&gt;0,SUMPRODUCT(($C$7:$G$7&lt;$D$7)*($M32:$Q32&gt;0))=0),1,0)</f>
      </c>
      <c r="X33" s="31">
        <f>IF(AND(O32&gt;0,SUMPRODUCT(($C$7:$G$7&lt;$E$7)*($M32:$Q32&gt;0))=0),1,0)</f>
      </c>
      <c r="Y33" s="31">
        <f>IF(AND(P32&gt;0,SUMPRODUCT(($C$7:$G$7&lt;$F$7)*($M32:$Q32&gt;0))=0),1,0)</f>
      </c>
      <c r="Z33" s="31">
        <f>IF(AND(Q32&gt;0,SUMPRODUCT(($C$7:$G$7&lt;$G$7)*($M32:$Q32&gt;0))=0),1,0)</f>
      </c>
    </row>
    <row r="34" spans="1:26" x14ac:dyDescent="0.25">
      <c r="A34" s="11">
        <f>A33+1</f>
      </c>
      <c r="B34" s="24">
        <f>EDATE(Debts!$B$14,A34)</f>
      </c>
      <c r="C34" s="25">
        <f>IF(M33&lt;=0,0,ROUND(M33*$C$5/12,2))</f>
      </c>
      <c r="D34" s="25">
        <f>IF(N33&lt;=0,0,ROUND(N33*$D$5/12,2))</f>
      </c>
      <c r="E34" s="25">
        <f>IF(O33&lt;=0,0,ROUND(O33*$E$5/12,2))</f>
      </c>
      <c r="F34" s="25">
        <f>IF(P33&lt;=0,0,ROUND(P33*$F$5/12,2))</f>
      </c>
      <c r="G34" s="25">
        <f>IF(Q33&lt;=0,0,ROUND(Q33*$G$5/12,2))</f>
      </c>
      <c r="H34" s="25">
        <f>IF(M33&lt;=0,0,MIN(M33+C34,$C$6+V34*$U34))</f>
      </c>
      <c r="I34" s="25">
        <f>IF(N33&lt;=0,0,MIN(N33+D34,$D$6+W34*$U34))</f>
      </c>
      <c r="J34" s="25">
        <f>IF(O33&lt;=0,0,MIN(O33+E34,$E$6+X34*$U34))</f>
      </c>
      <c r="K34" s="25">
        <f>IF(P33&lt;=0,0,MIN(P33+F34,$F$6+Y34*$U34))</f>
      </c>
      <c r="L34" s="25">
        <f>IF(Q33&lt;=0,0,MIN(Q33+G34,$G$6+Z34*$U34))</f>
      </c>
      <c r="M34" s="25">
        <f>ROUND(M33+C34-H34,2)</f>
      </c>
      <c r="N34" s="25">
        <f>ROUND(N33+D34-I34,2)</f>
      </c>
      <c r="O34" s="25">
        <f>ROUND(O33+E34-J34,2)</f>
      </c>
      <c r="P34" s="25">
        <f>ROUND(P33+F34-K34,2)</f>
      </c>
      <c r="Q34" s="25">
        <f>ROUND(Q33+G34-L34,2)</f>
      </c>
      <c r="R34" s="25">
        <f>SUM(H34:L34)</f>
      </c>
      <c r="S34" s="25">
        <f>SUM(C34:G34)</f>
      </c>
      <c r="T34" s="25">
        <f>SUM(M34:Q34)</f>
      </c>
      <c r="U34" s="26">
        <f>Debts!$B$13+SUMPRODUCT(($M33:$Q33&lt;=0)*$C$6:$G$6)</f>
      </c>
      <c r="V34" s="27">
        <f>IF(AND(M33&gt;0,SUMPRODUCT(($C$7:$G$7&lt;$C$7)*($M33:$Q33&gt;0))=0),1,0)</f>
      </c>
      <c r="W34" s="27">
        <f>IF(AND(N33&gt;0,SUMPRODUCT(($C$7:$G$7&lt;$D$7)*($M33:$Q33&gt;0))=0),1,0)</f>
      </c>
      <c r="X34" s="27">
        <f>IF(AND(O33&gt;0,SUMPRODUCT(($C$7:$G$7&lt;$E$7)*($M33:$Q33&gt;0))=0),1,0)</f>
      </c>
      <c r="Y34" s="27">
        <f>IF(AND(P33&gt;0,SUMPRODUCT(($C$7:$G$7&lt;$F$7)*($M33:$Q33&gt;0))=0),1,0)</f>
      </c>
      <c r="Z34" s="27">
        <f>IF(AND(Q33&gt;0,SUMPRODUCT(($C$7:$G$7&lt;$G$7)*($M33:$Q33&gt;0))=0),1,0)</f>
      </c>
    </row>
    <row r="35" spans="1:26" x14ac:dyDescent="0.25">
      <c r="A35" s="12">
        <f>A34+1</f>
      </c>
      <c r="B35" s="28">
        <f>EDATE(Debts!$B$14,A35)</f>
      </c>
      <c r="C35" s="29">
        <f>IF(M34&lt;=0,0,ROUND(M34*$C$5/12,2))</f>
      </c>
      <c r="D35" s="29">
        <f>IF(N34&lt;=0,0,ROUND(N34*$D$5/12,2))</f>
      </c>
      <c r="E35" s="29">
        <f>IF(O34&lt;=0,0,ROUND(O34*$E$5/12,2))</f>
      </c>
      <c r="F35" s="29">
        <f>IF(P34&lt;=0,0,ROUND(P34*$F$5/12,2))</f>
      </c>
      <c r="G35" s="29">
        <f>IF(Q34&lt;=0,0,ROUND(Q34*$G$5/12,2))</f>
      </c>
      <c r="H35" s="29">
        <f>IF(M34&lt;=0,0,MIN(M34+C35,$C$6+V35*$U35))</f>
      </c>
      <c r="I35" s="29">
        <f>IF(N34&lt;=0,0,MIN(N34+D35,$D$6+W35*$U35))</f>
      </c>
      <c r="J35" s="29">
        <f>IF(O34&lt;=0,0,MIN(O34+E35,$E$6+X35*$U35))</f>
      </c>
      <c r="K35" s="29">
        <f>IF(P34&lt;=0,0,MIN(P34+F35,$F$6+Y35*$U35))</f>
      </c>
      <c r="L35" s="29">
        <f>IF(Q34&lt;=0,0,MIN(Q34+G35,$G$6+Z35*$U35))</f>
      </c>
      <c r="M35" s="29">
        <f>ROUND(M34+C35-H35,2)</f>
      </c>
      <c r="N35" s="29">
        <f>ROUND(N34+D35-I35,2)</f>
      </c>
      <c r="O35" s="29">
        <f>ROUND(O34+E35-J35,2)</f>
      </c>
      <c r="P35" s="29">
        <f>ROUND(P34+F35-K35,2)</f>
      </c>
      <c r="Q35" s="29">
        <f>ROUND(Q34+G35-L35,2)</f>
      </c>
      <c r="R35" s="29">
        <f>SUM(H35:L35)</f>
      </c>
      <c r="S35" s="29">
        <f>SUM(C35:G35)</f>
      </c>
      <c r="T35" s="29">
        <f>SUM(M35:Q35)</f>
      </c>
      <c r="U35" s="30">
        <f>Debts!$B$13+SUMPRODUCT(($M34:$Q34&lt;=0)*$C$6:$G$6)</f>
      </c>
      <c r="V35" s="31">
        <f>IF(AND(M34&gt;0,SUMPRODUCT(($C$7:$G$7&lt;$C$7)*($M34:$Q34&gt;0))=0),1,0)</f>
      </c>
      <c r="W35" s="31">
        <f>IF(AND(N34&gt;0,SUMPRODUCT(($C$7:$G$7&lt;$D$7)*($M34:$Q34&gt;0))=0),1,0)</f>
      </c>
      <c r="X35" s="31">
        <f>IF(AND(O34&gt;0,SUMPRODUCT(($C$7:$G$7&lt;$E$7)*($M34:$Q34&gt;0))=0),1,0)</f>
      </c>
      <c r="Y35" s="31">
        <f>IF(AND(P34&gt;0,SUMPRODUCT(($C$7:$G$7&lt;$F$7)*($M34:$Q34&gt;0))=0),1,0)</f>
      </c>
      <c r="Z35" s="31">
        <f>IF(AND(Q34&gt;0,SUMPRODUCT(($C$7:$G$7&lt;$G$7)*($M34:$Q34&gt;0))=0),1,0)</f>
      </c>
    </row>
    <row r="36" spans="1:26" x14ac:dyDescent="0.25">
      <c r="A36" s="11">
        <f>A35+1</f>
      </c>
      <c r="B36" s="24">
        <f>EDATE(Debts!$B$14,A36)</f>
      </c>
      <c r="C36" s="25">
        <f>IF(M35&lt;=0,0,ROUND(M35*$C$5/12,2))</f>
      </c>
      <c r="D36" s="25">
        <f>IF(N35&lt;=0,0,ROUND(N35*$D$5/12,2))</f>
      </c>
      <c r="E36" s="25">
        <f>IF(O35&lt;=0,0,ROUND(O35*$E$5/12,2))</f>
      </c>
      <c r="F36" s="25">
        <f>IF(P35&lt;=0,0,ROUND(P35*$F$5/12,2))</f>
      </c>
      <c r="G36" s="25">
        <f>IF(Q35&lt;=0,0,ROUND(Q35*$G$5/12,2))</f>
      </c>
      <c r="H36" s="25">
        <f>IF(M35&lt;=0,0,MIN(M35+C36,$C$6+V36*$U36))</f>
      </c>
      <c r="I36" s="25">
        <f>IF(N35&lt;=0,0,MIN(N35+D36,$D$6+W36*$U36))</f>
      </c>
      <c r="J36" s="25">
        <f>IF(O35&lt;=0,0,MIN(O35+E36,$E$6+X36*$U36))</f>
      </c>
      <c r="K36" s="25">
        <f>IF(P35&lt;=0,0,MIN(P35+F36,$F$6+Y36*$U36))</f>
      </c>
      <c r="L36" s="25">
        <f>IF(Q35&lt;=0,0,MIN(Q35+G36,$G$6+Z36*$U36))</f>
      </c>
      <c r="M36" s="25">
        <f>ROUND(M35+C36-H36,2)</f>
      </c>
      <c r="N36" s="25">
        <f>ROUND(N35+D36-I36,2)</f>
      </c>
      <c r="O36" s="25">
        <f>ROUND(O35+E36-J36,2)</f>
      </c>
      <c r="P36" s="25">
        <f>ROUND(P35+F36-K36,2)</f>
      </c>
      <c r="Q36" s="25">
        <f>ROUND(Q35+G36-L36,2)</f>
      </c>
      <c r="R36" s="25">
        <f>SUM(H36:L36)</f>
      </c>
      <c r="S36" s="25">
        <f>SUM(C36:G36)</f>
      </c>
      <c r="T36" s="25">
        <f>SUM(M36:Q36)</f>
      </c>
      <c r="U36" s="26">
        <f>Debts!$B$13+SUMPRODUCT(($M35:$Q35&lt;=0)*$C$6:$G$6)</f>
      </c>
      <c r="V36" s="27">
        <f>IF(AND(M35&gt;0,SUMPRODUCT(($C$7:$G$7&lt;$C$7)*($M35:$Q35&gt;0))=0),1,0)</f>
      </c>
      <c r="W36" s="27">
        <f>IF(AND(N35&gt;0,SUMPRODUCT(($C$7:$G$7&lt;$D$7)*($M35:$Q35&gt;0))=0),1,0)</f>
      </c>
      <c r="X36" s="27">
        <f>IF(AND(O35&gt;0,SUMPRODUCT(($C$7:$G$7&lt;$E$7)*($M35:$Q35&gt;0))=0),1,0)</f>
      </c>
      <c r="Y36" s="27">
        <f>IF(AND(P35&gt;0,SUMPRODUCT(($C$7:$G$7&lt;$F$7)*($M35:$Q35&gt;0))=0),1,0)</f>
      </c>
      <c r="Z36" s="27">
        <f>IF(AND(Q35&gt;0,SUMPRODUCT(($C$7:$G$7&lt;$G$7)*($M35:$Q35&gt;0))=0),1,0)</f>
      </c>
    </row>
    <row r="37" spans="1:26" x14ac:dyDescent="0.25">
      <c r="A37" s="12">
        <f>A36+1</f>
      </c>
      <c r="B37" s="28">
        <f>EDATE(Debts!$B$14,A37)</f>
      </c>
      <c r="C37" s="29">
        <f>IF(M36&lt;=0,0,ROUND(M36*$C$5/12,2))</f>
      </c>
      <c r="D37" s="29">
        <f>IF(N36&lt;=0,0,ROUND(N36*$D$5/12,2))</f>
      </c>
      <c r="E37" s="29">
        <f>IF(O36&lt;=0,0,ROUND(O36*$E$5/12,2))</f>
      </c>
      <c r="F37" s="29">
        <f>IF(P36&lt;=0,0,ROUND(P36*$F$5/12,2))</f>
      </c>
      <c r="G37" s="29">
        <f>IF(Q36&lt;=0,0,ROUND(Q36*$G$5/12,2))</f>
      </c>
      <c r="H37" s="29">
        <f>IF(M36&lt;=0,0,MIN(M36+C37,$C$6+V37*$U37))</f>
      </c>
      <c r="I37" s="29">
        <f>IF(N36&lt;=0,0,MIN(N36+D37,$D$6+W37*$U37))</f>
      </c>
      <c r="J37" s="29">
        <f>IF(O36&lt;=0,0,MIN(O36+E37,$E$6+X37*$U37))</f>
      </c>
      <c r="K37" s="29">
        <f>IF(P36&lt;=0,0,MIN(P36+F37,$F$6+Y37*$U37))</f>
      </c>
      <c r="L37" s="29">
        <f>IF(Q36&lt;=0,0,MIN(Q36+G37,$G$6+Z37*$U37))</f>
      </c>
      <c r="M37" s="29">
        <f>ROUND(M36+C37-H37,2)</f>
      </c>
      <c r="N37" s="29">
        <f>ROUND(N36+D37-I37,2)</f>
      </c>
      <c r="O37" s="29">
        <f>ROUND(O36+E37-J37,2)</f>
      </c>
      <c r="P37" s="29">
        <f>ROUND(P36+F37-K37,2)</f>
      </c>
      <c r="Q37" s="29">
        <f>ROUND(Q36+G37-L37,2)</f>
      </c>
      <c r="R37" s="29">
        <f>SUM(H37:L37)</f>
      </c>
      <c r="S37" s="29">
        <f>SUM(C37:G37)</f>
      </c>
      <c r="T37" s="29">
        <f>SUM(M37:Q37)</f>
      </c>
      <c r="U37" s="30">
        <f>Debts!$B$13+SUMPRODUCT(($M36:$Q36&lt;=0)*$C$6:$G$6)</f>
      </c>
      <c r="V37" s="31">
        <f>IF(AND(M36&gt;0,SUMPRODUCT(($C$7:$G$7&lt;$C$7)*($M36:$Q36&gt;0))=0),1,0)</f>
      </c>
      <c r="W37" s="31">
        <f>IF(AND(N36&gt;0,SUMPRODUCT(($C$7:$G$7&lt;$D$7)*($M36:$Q36&gt;0))=0),1,0)</f>
      </c>
      <c r="X37" s="31">
        <f>IF(AND(O36&gt;0,SUMPRODUCT(($C$7:$G$7&lt;$E$7)*($M36:$Q36&gt;0))=0),1,0)</f>
      </c>
      <c r="Y37" s="31">
        <f>IF(AND(P36&gt;0,SUMPRODUCT(($C$7:$G$7&lt;$F$7)*($M36:$Q36&gt;0))=0),1,0)</f>
      </c>
      <c r="Z37" s="31">
        <f>IF(AND(Q36&gt;0,SUMPRODUCT(($C$7:$G$7&lt;$G$7)*($M36:$Q36&gt;0))=0),1,0)</f>
      </c>
    </row>
    <row r="38" spans="1:26" x14ac:dyDescent="0.25">
      <c r="A38" s="11">
        <f>A37+1</f>
      </c>
      <c r="B38" s="24">
        <f>EDATE(Debts!$B$14,A38)</f>
      </c>
      <c r="C38" s="25">
        <f>IF(M37&lt;=0,0,ROUND(M37*$C$5/12,2))</f>
      </c>
      <c r="D38" s="25">
        <f>IF(N37&lt;=0,0,ROUND(N37*$D$5/12,2))</f>
      </c>
      <c r="E38" s="25">
        <f>IF(O37&lt;=0,0,ROUND(O37*$E$5/12,2))</f>
      </c>
      <c r="F38" s="25">
        <f>IF(P37&lt;=0,0,ROUND(P37*$F$5/12,2))</f>
      </c>
      <c r="G38" s="25">
        <f>IF(Q37&lt;=0,0,ROUND(Q37*$G$5/12,2))</f>
      </c>
      <c r="H38" s="25">
        <f>IF(M37&lt;=0,0,MIN(M37+C38,$C$6+V38*$U38))</f>
      </c>
      <c r="I38" s="25">
        <f>IF(N37&lt;=0,0,MIN(N37+D38,$D$6+W38*$U38))</f>
      </c>
      <c r="J38" s="25">
        <f>IF(O37&lt;=0,0,MIN(O37+E38,$E$6+X38*$U38))</f>
      </c>
      <c r="K38" s="25">
        <f>IF(P37&lt;=0,0,MIN(P37+F38,$F$6+Y38*$U38))</f>
      </c>
      <c r="L38" s="25">
        <f>IF(Q37&lt;=0,0,MIN(Q37+G38,$G$6+Z38*$U38))</f>
      </c>
      <c r="M38" s="25">
        <f>ROUND(M37+C38-H38,2)</f>
      </c>
      <c r="N38" s="25">
        <f>ROUND(N37+D38-I38,2)</f>
      </c>
      <c r="O38" s="25">
        <f>ROUND(O37+E38-J38,2)</f>
      </c>
      <c r="P38" s="25">
        <f>ROUND(P37+F38-K38,2)</f>
      </c>
      <c r="Q38" s="25">
        <f>ROUND(Q37+G38-L38,2)</f>
      </c>
      <c r="R38" s="25">
        <f>SUM(H38:L38)</f>
      </c>
      <c r="S38" s="25">
        <f>SUM(C38:G38)</f>
      </c>
      <c r="T38" s="25">
        <f>SUM(M38:Q38)</f>
      </c>
      <c r="U38" s="26">
        <f>Debts!$B$13+SUMPRODUCT(($M37:$Q37&lt;=0)*$C$6:$G$6)</f>
      </c>
      <c r="V38" s="27">
        <f>IF(AND(M37&gt;0,SUMPRODUCT(($C$7:$G$7&lt;$C$7)*($M37:$Q37&gt;0))=0),1,0)</f>
      </c>
      <c r="W38" s="27">
        <f>IF(AND(N37&gt;0,SUMPRODUCT(($C$7:$G$7&lt;$D$7)*($M37:$Q37&gt;0))=0),1,0)</f>
      </c>
      <c r="X38" s="27">
        <f>IF(AND(O37&gt;0,SUMPRODUCT(($C$7:$G$7&lt;$E$7)*($M37:$Q37&gt;0))=0),1,0)</f>
      </c>
      <c r="Y38" s="27">
        <f>IF(AND(P37&gt;0,SUMPRODUCT(($C$7:$G$7&lt;$F$7)*($M37:$Q37&gt;0))=0),1,0)</f>
      </c>
      <c r="Z38" s="27">
        <f>IF(AND(Q37&gt;0,SUMPRODUCT(($C$7:$G$7&lt;$G$7)*($M37:$Q37&gt;0))=0),1,0)</f>
      </c>
    </row>
    <row r="39" spans="1:26" x14ac:dyDescent="0.25">
      <c r="A39" s="12">
        <f>A38+1</f>
      </c>
      <c r="B39" s="28">
        <f>EDATE(Debts!$B$14,A39)</f>
      </c>
      <c r="C39" s="29">
        <f>IF(M38&lt;=0,0,ROUND(M38*$C$5/12,2))</f>
      </c>
      <c r="D39" s="29">
        <f>IF(N38&lt;=0,0,ROUND(N38*$D$5/12,2))</f>
      </c>
      <c r="E39" s="29">
        <f>IF(O38&lt;=0,0,ROUND(O38*$E$5/12,2))</f>
      </c>
      <c r="F39" s="29">
        <f>IF(P38&lt;=0,0,ROUND(P38*$F$5/12,2))</f>
      </c>
      <c r="G39" s="29">
        <f>IF(Q38&lt;=0,0,ROUND(Q38*$G$5/12,2))</f>
      </c>
      <c r="H39" s="29">
        <f>IF(M38&lt;=0,0,MIN(M38+C39,$C$6+V39*$U39))</f>
      </c>
      <c r="I39" s="29">
        <f>IF(N38&lt;=0,0,MIN(N38+D39,$D$6+W39*$U39))</f>
      </c>
      <c r="J39" s="29">
        <f>IF(O38&lt;=0,0,MIN(O38+E39,$E$6+X39*$U39))</f>
      </c>
      <c r="K39" s="29">
        <f>IF(P38&lt;=0,0,MIN(P38+F39,$F$6+Y39*$U39))</f>
      </c>
      <c r="L39" s="29">
        <f>IF(Q38&lt;=0,0,MIN(Q38+G39,$G$6+Z39*$U39))</f>
      </c>
      <c r="M39" s="29">
        <f>ROUND(M38+C39-H39,2)</f>
      </c>
      <c r="N39" s="29">
        <f>ROUND(N38+D39-I39,2)</f>
      </c>
      <c r="O39" s="29">
        <f>ROUND(O38+E39-J39,2)</f>
      </c>
      <c r="P39" s="29">
        <f>ROUND(P38+F39-K39,2)</f>
      </c>
      <c r="Q39" s="29">
        <f>ROUND(Q38+G39-L39,2)</f>
      </c>
      <c r="R39" s="29">
        <f>SUM(H39:L39)</f>
      </c>
      <c r="S39" s="29">
        <f>SUM(C39:G39)</f>
      </c>
      <c r="T39" s="29">
        <f>SUM(M39:Q39)</f>
      </c>
      <c r="U39" s="30">
        <f>Debts!$B$13+SUMPRODUCT(($M38:$Q38&lt;=0)*$C$6:$G$6)</f>
      </c>
      <c r="V39" s="31">
        <f>IF(AND(M38&gt;0,SUMPRODUCT(($C$7:$G$7&lt;$C$7)*($M38:$Q38&gt;0))=0),1,0)</f>
      </c>
      <c r="W39" s="31">
        <f>IF(AND(N38&gt;0,SUMPRODUCT(($C$7:$G$7&lt;$D$7)*($M38:$Q38&gt;0))=0),1,0)</f>
      </c>
      <c r="X39" s="31">
        <f>IF(AND(O38&gt;0,SUMPRODUCT(($C$7:$G$7&lt;$E$7)*($M38:$Q38&gt;0))=0),1,0)</f>
      </c>
      <c r="Y39" s="31">
        <f>IF(AND(P38&gt;0,SUMPRODUCT(($C$7:$G$7&lt;$F$7)*($M38:$Q38&gt;0))=0),1,0)</f>
      </c>
      <c r="Z39" s="31">
        <f>IF(AND(Q38&gt;0,SUMPRODUCT(($C$7:$G$7&lt;$G$7)*($M38:$Q38&gt;0))=0),1,0)</f>
      </c>
    </row>
    <row r="40" spans="1:26" x14ac:dyDescent="0.25">
      <c r="A40" s="11">
        <f>A39+1</f>
      </c>
      <c r="B40" s="24">
        <f>EDATE(Debts!$B$14,A40)</f>
      </c>
      <c r="C40" s="25">
        <f>IF(M39&lt;=0,0,ROUND(M39*$C$5/12,2))</f>
      </c>
      <c r="D40" s="25">
        <f>IF(N39&lt;=0,0,ROUND(N39*$D$5/12,2))</f>
      </c>
      <c r="E40" s="25">
        <f>IF(O39&lt;=0,0,ROUND(O39*$E$5/12,2))</f>
      </c>
      <c r="F40" s="25">
        <f>IF(P39&lt;=0,0,ROUND(P39*$F$5/12,2))</f>
      </c>
      <c r="G40" s="25">
        <f>IF(Q39&lt;=0,0,ROUND(Q39*$G$5/12,2))</f>
      </c>
      <c r="H40" s="25">
        <f>IF(M39&lt;=0,0,MIN(M39+C40,$C$6+V40*$U40))</f>
      </c>
      <c r="I40" s="25">
        <f>IF(N39&lt;=0,0,MIN(N39+D40,$D$6+W40*$U40))</f>
      </c>
      <c r="J40" s="25">
        <f>IF(O39&lt;=0,0,MIN(O39+E40,$E$6+X40*$U40))</f>
      </c>
      <c r="K40" s="25">
        <f>IF(P39&lt;=0,0,MIN(P39+F40,$F$6+Y40*$U40))</f>
      </c>
      <c r="L40" s="25">
        <f>IF(Q39&lt;=0,0,MIN(Q39+G40,$G$6+Z40*$U40))</f>
      </c>
      <c r="M40" s="25">
        <f>ROUND(M39+C40-H40,2)</f>
      </c>
      <c r="N40" s="25">
        <f>ROUND(N39+D40-I40,2)</f>
      </c>
      <c r="O40" s="25">
        <f>ROUND(O39+E40-J40,2)</f>
      </c>
      <c r="P40" s="25">
        <f>ROUND(P39+F40-K40,2)</f>
      </c>
      <c r="Q40" s="25">
        <f>ROUND(Q39+G40-L40,2)</f>
      </c>
      <c r="R40" s="25">
        <f>SUM(H40:L40)</f>
      </c>
      <c r="S40" s="25">
        <f>SUM(C40:G40)</f>
      </c>
      <c r="T40" s="25">
        <f>SUM(M40:Q40)</f>
      </c>
      <c r="U40" s="26">
        <f>Debts!$B$13+SUMPRODUCT(($M39:$Q39&lt;=0)*$C$6:$G$6)</f>
      </c>
      <c r="V40" s="27">
        <f>IF(AND(M39&gt;0,SUMPRODUCT(($C$7:$G$7&lt;$C$7)*($M39:$Q39&gt;0))=0),1,0)</f>
      </c>
      <c r="W40" s="27">
        <f>IF(AND(N39&gt;0,SUMPRODUCT(($C$7:$G$7&lt;$D$7)*($M39:$Q39&gt;0))=0),1,0)</f>
      </c>
      <c r="X40" s="27">
        <f>IF(AND(O39&gt;0,SUMPRODUCT(($C$7:$G$7&lt;$E$7)*($M39:$Q39&gt;0))=0),1,0)</f>
      </c>
      <c r="Y40" s="27">
        <f>IF(AND(P39&gt;0,SUMPRODUCT(($C$7:$G$7&lt;$F$7)*($M39:$Q39&gt;0))=0),1,0)</f>
      </c>
      <c r="Z40" s="27">
        <f>IF(AND(Q39&gt;0,SUMPRODUCT(($C$7:$G$7&lt;$G$7)*($M39:$Q39&gt;0))=0),1,0)</f>
      </c>
    </row>
    <row r="41" spans="1:26" x14ac:dyDescent="0.25">
      <c r="A41" s="12">
        <f>A40+1</f>
      </c>
      <c r="B41" s="28">
        <f>EDATE(Debts!$B$14,A41)</f>
      </c>
      <c r="C41" s="29">
        <f>IF(M40&lt;=0,0,ROUND(M40*$C$5/12,2))</f>
      </c>
      <c r="D41" s="29">
        <f>IF(N40&lt;=0,0,ROUND(N40*$D$5/12,2))</f>
      </c>
      <c r="E41" s="29">
        <f>IF(O40&lt;=0,0,ROUND(O40*$E$5/12,2))</f>
      </c>
      <c r="F41" s="29">
        <f>IF(P40&lt;=0,0,ROUND(P40*$F$5/12,2))</f>
      </c>
      <c r="G41" s="29">
        <f>IF(Q40&lt;=0,0,ROUND(Q40*$G$5/12,2))</f>
      </c>
      <c r="H41" s="29">
        <f>IF(M40&lt;=0,0,MIN(M40+C41,$C$6+V41*$U41))</f>
      </c>
      <c r="I41" s="29">
        <f>IF(N40&lt;=0,0,MIN(N40+D41,$D$6+W41*$U41))</f>
      </c>
      <c r="J41" s="29">
        <f>IF(O40&lt;=0,0,MIN(O40+E41,$E$6+X41*$U41))</f>
      </c>
      <c r="K41" s="29">
        <f>IF(P40&lt;=0,0,MIN(P40+F41,$F$6+Y41*$U41))</f>
      </c>
      <c r="L41" s="29">
        <f>IF(Q40&lt;=0,0,MIN(Q40+G41,$G$6+Z41*$U41))</f>
      </c>
      <c r="M41" s="29">
        <f>ROUND(M40+C41-H41,2)</f>
      </c>
      <c r="N41" s="29">
        <f>ROUND(N40+D41-I41,2)</f>
      </c>
      <c r="O41" s="29">
        <f>ROUND(O40+E41-J41,2)</f>
      </c>
      <c r="P41" s="29">
        <f>ROUND(P40+F41-K41,2)</f>
      </c>
      <c r="Q41" s="29">
        <f>ROUND(Q40+G41-L41,2)</f>
      </c>
      <c r="R41" s="29">
        <f>SUM(H41:L41)</f>
      </c>
      <c r="S41" s="29">
        <f>SUM(C41:G41)</f>
      </c>
      <c r="T41" s="29">
        <f>SUM(M41:Q41)</f>
      </c>
      <c r="U41" s="30">
        <f>Debts!$B$13+SUMPRODUCT(($M40:$Q40&lt;=0)*$C$6:$G$6)</f>
      </c>
      <c r="V41" s="31">
        <f>IF(AND(M40&gt;0,SUMPRODUCT(($C$7:$G$7&lt;$C$7)*($M40:$Q40&gt;0))=0),1,0)</f>
      </c>
      <c r="W41" s="31">
        <f>IF(AND(N40&gt;0,SUMPRODUCT(($C$7:$G$7&lt;$D$7)*($M40:$Q40&gt;0))=0),1,0)</f>
      </c>
      <c r="X41" s="31">
        <f>IF(AND(O40&gt;0,SUMPRODUCT(($C$7:$G$7&lt;$E$7)*($M40:$Q40&gt;0))=0),1,0)</f>
      </c>
      <c r="Y41" s="31">
        <f>IF(AND(P40&gt;0,SUMPRODUCT(($C$7:$G$7&lt;$F$7)*($M40:$Q40&gt;0))=0),1,0)</f>
      </c>
      <c r="Z41" s="31">
        <f>IF(AND(Q40&gt;0,SUMPRODUCT(($C$7:$G$7&lt;$G$7)*($M40:$Q40&gt;0))=0),1,0)</f>
      </c>
    </row>
    <row r="42" spans="1:26" x14ac:dyDescent="0.25">
      <c r="A42" s="11">
        <f>A41+1</f>
      </c>
      <c r="B42" s="24">
        <f>EDATE(Debts!$B$14,A42)</f>
      </c>
      <c r="C42" s="25">
        <f>IF(M41&lt;=0,0,ROUND(M41*$C$5/12,2))</f>
      </c>
      <c r="D42" s="25">
        <f>IF(N41&lt;=0,0,ROUND(N41*$D$5/12,2))</f>
      </c>
      <c r="E42" s="25">
        <f>IF(O41&lt;=0,0,ROUND(O41*$E$5/12,2))</f>
      </c>
      <c r="F42" s="25">
        <f>IF(P41&lt;=0,0,ROUND(P41*$F$5/12,2))</f>
      </c>
      <c r="G42" s="25">
        <f>IF(Q41&lt;=0,0,ROUND(Q41*$G$5/12,2))</f>
      </c>
      <c r="H42" s="25">
        <f>IF(M41&lt;=0,0,MIN(M41+C42,$C$6+V42*$U42))</f>
      </c>
      <c r="I42" s="25">
        <f>IF(N41&lt;=0,0,MIN(N41+D42,$D$6+W42*$U42))</f>
      </c>
      <c r="J42" s="25">
        <f>IF(O41&lt;=0,0,MIN(O41+E42,$E$6+X42*$U42))</f>
      </c>
      <c r="K42" s="25">
        <f>IF(P41&lt;=0,0,MIN(P41+F42,$F$6+Y42*$U42))</f>
      </c>
      <c r="L42" s="25">
        <f>IF(Q41&lt;=0,0,MIN(Q41+G42,$G$6+Z42*$U42))</f>
      </c>
      <c r="M42" s="25">
        <f>ROUND(M41+C42-H42,2)</f>
      </c>
      <c r="N42" s="25">
        <f>ROUND(N41+D42-I42,2)</f>
      </c>
      <c r="O42" s="25">
        <f>ROUND(O41+E42-J42,2)</f>
      </c>
      <c r="P42" s="25">
        <f>ROUND(P41+F42-K42,2)</f>
      </c>
      <c r="Q42" s="25">
        <f>ROUND(Q41+G42-L42,2)</f>
      </c>
      <c r="R42" s="25">
        <f>SUM(H42:L42)</f>
      </c>
      <c r="S42" s="25">
        <f>SUM(C42:G42)</f>
      </c>
      <c r="T42" s="25">
        <f>SUM(M42:Q42)</f>
      </c>
      <c r="U42" s="26">
        <f>Debts!$B$13+SUMPRODUCT(($M41:$Q41&lt;=0)*$C$6:$G$6)</f>
      </c>
      <c r="V42" s="27">
        <f>IF(AND(M41&gt;0,SUMPRODUCT(($C$7:$G$7&lt;$C$7)*($M41:$Q41&gt;0))=0),1,0)</f>
      </c>
      <c r="W42" s="27">
        <f>IF(AND(N41&gt;0,SUMPRODUCT(($C$7:$G$7&lt;$D$7)*($M41:$Q41&gt;0))=0),1,0)</f>
      </c>
      <c r="X42" s="27">
        <f>IF(AND(O41&gt;0,SUMPRODUCT(($C$7:$G$7&lt;$E$7)*($M41:$Q41&gt;0))=0),1,0)</f>
      </c>
      <c r="Y42" s="27">
        <f>IF(AND(P41&gt;0,SUMPRODUCT(($C$7:$G$7&lt;$F$7)*($M41:$Q41&gt;0))=0),1,0)</f>
      </c>
      <c r="Z42" s="27">
        <f>IF(AND(Q41&gt;0,SUMPRODUCT(($C$7:$G$7&lt;$G$7)*($M41:$Q41&gt;0))=0),1,0)</f>
      </c>
    </row>
    <row r="43" spans="1:26" x14ac:dyDescent="0.25">
      <c r="A43" s="12">
        <f>A42+1</f>
      </c>
      <c r="B43" s="28">
        <f>EDATE(Debts!$B$14,A43)</f>
      </c>
      <c r="C43" s="29">
        <f>IF(M42&lt;=0,0,ROUND(M42*$C$5/12,2))</f>
      </c>
      <c r="D43" s="29">
        <f>IF(N42&lt;=0,0,ROUND(N42*$D$5/12,2))</f>
      </c>
      <c r="E43" s="29">
        <f>IF(O42&lt;=0,0,ROUND(O42*$E$5/12,2))</f>
      </c>
      <c r="F43" s="29">
        <f>IF(P42&lt;=0,0,ROUND(P42*$F$5/12,2))</f>
      </c>
      <c r="G43" s="29">
        <f>IF(Q42&lt;=0,0,ROUND(Q42*$G$5/12,2))</f>
      </c>
      <c r="H43" s="29">
        <f>IF(M42&lt;=0,0,MIN(M42+C43,$C$6+V43*$U43))</f>
      </c>
      <c r="I43" s="29">
        <f>IF(N42&lt;=0,0,MIN(N42+D43,$D$6+W43*$U43))</f>
      </c>
      <c r="J43" s="29">
        <f>IF(O42&lt;=0,0,MIN(O42+E43,$E$6+X43*$U43))</f>
      </c>
      <c r="K43" s="29">
        <f>IF(P42&lt;=0,0,MIN(P42+F43,$F$6+Y43*$U43))</f>
      </c>
      <c r="L43" s="29">
        <f>IF(Q42&lt;=0,0,MIN(Q42+G43,$G$6+Z43*$U43))</f>
      </c>
      <c r="M43" s="29">
        <f>ROUND(M42+C43-H43,2)</f>
      </c>
      <c r="N43" s="29">
        <f>ROUND(N42+D43-I43,2)</f>
      </c>
      <c r="O43" s="29">
        <f>ROUND(O42+E43-J43,2)</f>
      </c>
      <c r="P43" s="29">
        <f>ROUND(P42+F43-K43,2)</f>
      </c>
      <c r="Q43" s="29">
        <f>ROUND(Q42+G43-L43,2)</f>
      </c>
      <c r="R43" s="29">
        <f>SUM(H43:L43)</f>
      </c>
      <c r="S43" s="29">
        <f>SUM(C43:G43)</f>
      </c>
      <c r="T43" s="29">
        <f>SUM(M43:Q43)</f>
      </c>
      <c r="U43" s="30">
        <f>Debts!$B$13+SUMPRODUCT(($M42:$Q42&lt;=0)*$C$6:$G$6)</f>
      </c>
      <c r="V43" s="31">
        <f>IF(AND(M42&gt;0,SUMPRODUCT(($C$7:$G$7&lt;$C$7)*($M42:$Q42&gt;0))=0),1,0)</f>
      </c>
      <c r="W43" s="31">
        <f>IF(AND(N42&gt;0,SUMPRODUCT(($C$7:$G$7&lt;$D$7)*($M42:$Q42&gt;0))=0),1,0)</f>
      </c>
      <c r="X43" s="31">
        <f>IF(AND(O42&gt;0,SUMPRODUCT(($C$7:$G$7&lt;$E$7)*($M42:$Q42&gt;0))=0),1,0)</f>
      </c>
      <c r="Y43" s="31">
        <f>IF(AND(P42&gt;0,SUMPRODUCT(($C$7:$G$7&lt;$F$7)*($M42:$Q42&gt;0))=0),1,0)</f>
      </c>
      <c r="Z43" s="31">
        <f>IF(AND(Q42&gt;0,SUMPRODUCT(($C$7:$G$7&lt;$G$7)*($M42:$Q42&gt;0))=0),1,0)</f>
      </c>
    </row>
    <row r="44" spans="1:26" x14ac:dyDescent="0.25">
      <c r="A44" s="11">
        <f>A43+1</f>
      </c>
      <c r="B44" s="24">
        <f>EDATE(Debts!$B$14,A44)</f>
      </c>
      <c r="C44" s="25">
        <f>IF(M43&lt;=0,0,ROUND(M43*$C$5/12,2))</f>
      </c>
      <c r="D44" s="25">
        <f>IF(N43&lt;=0,0,ROUND(N43*$D$5/12,2))</f>
      </c>
      <c r="E44" s="25">
        <f>IF(O43&lt;=0,0,ROUND(O43*$E$5/12,2))</f>
      </c>
      <c r="F44" s="25">
        <f>IF(P43&lt;=0,0,ROUND(P43*$F$5/12,2))</f>
      </c>
      <c r="G44" s="25">
        <f>IF(Q43&lt;=0,0,ROUND(Q43*$G$5/12,2))</f>
      </c>
      <c r="H44" s="25">
        <f>IF(M43&lt;=0,0,MIN(M43+C44,$C$6+V44*$U44))</f>
      </c>
      <c r="I44" s="25">
        <f>IF(N43&lt;=0,0,MIN(N43+D44,$D$6+W44*$U44))</f>
      </c>
      <c r="J44" s="25">
        <f>IF(O43&lt;=0,0,MIN(O43+E44,$E$6+X44*$U44))</f>
      </c>
      <c r="K44" s="25">
        <f>IF(P43&lt;=0,0,MIN(P43+F44,$F$6+Y44*$U44))</f>
      </c>
      <c r="L44" s="25">
        <f>IF(Q43&lt;=0,0,MIN(Q43+G44,$G$6+Z44*$U44))</f>
      </c>
      <c r="M44" s="25">
        <f>ROUND(M43+C44-H44,2)</f>
      </c>
      <c r="N44" s="25">
        <f>ROUND(N43+D44-I44,2)</f>
      </c>
      <c r="O44" s="25">
        <f>ROUND(O43+E44-J44,2)</f>
      </c>
      <c r="P44" s="25">
        <f>ROUND(P43+F44-K44,2)</f>
      </c>
      <c r="Q44" s="25">
        <f>ROUND(Q43+G44-L44,2)</f>
      </c>
      <c r="R44" s="25">
        <f>SUM(H44:L44)</f>
      </c>
      <c r="S44" s="25">
        <f>SUM(C44:G44)</f>
      </c>
      <c r="T44" s="25">
        <f>SUM(M44:Q44)</f>
      </c>
      <c r="U44" s="26">
        <f>Debts!$B$13+SUMPRODUCT(($M43:$Q43&lt;=0)*$C$6:$G$6)</f>
      </c>
      <c r="V44" s="27">
        <f>IF(AND(M43&gt;0,SUMPRODUCT(($C$7:$G$7&lt;$C$7)*($M43:$Q43&gt;0))=0),1,0)</f>
      </c>
      <c r="W44" s="27">
        <f>IF(AND(N43&gt;0,SUMPRODUCT(($C$7:$G$7&lt;$D$7)*($M43:$Q43&gt;0))=0),1,0)</f>
      </c>
      <c r="X44" s="27">
        <f>IF(AND(O43&gt;0,SUMPRODUCT(($C$7:$G$7&lt;$E$7)*($M43:$Q43&gt;0))=0),1,0)</f>
      </c>
      <c r="Y44" s="27">
        <f>IF(AND(P43&gt;0,SUMPRODUCT(($C$7:$G$7&lt;$F$7)*($M43:$Q43&gt;0))=0),1,0)</f>
      </c>
      <c r="Z44" s="27">
        <f>IF(AND(Q43&gt;0,SUMPRODUCT(($C$7:$G$7&lt;$G$7)*($M43:$Q43&gt;0))=0),1,0)</f>
      </c>
    </row>
    <row r="45" spans="1:26" x14ac:dyDescent="0.25">
      <c r="A45" s="12">
        <f>A44+1</f>
      </c>
      <c r="B45" s="28">
        <f>EDATE(Debts!$B$14,A45)</f>
      </c>
      <c r="C45" s="29">
        <f>IF(M44&lt;=0,0,ROUND(M44*$C$5/12,2))</f>
      </c>
      <c r="D45" s="29">
        <f>IF(N44&lt;=0,0,ROUND(N44*$D$5/12,2))</f>
      </c>
      <c r="E45" s="29">
        <f>IF(O44&lt;=0,0,ROUND(O44*$E$5/12,2))</f>
      </c>
      <c r="F45" s="29">
        <f>IF(P44&lt;=0,0,ROUND(P44*$F$5/12,2))</f>
      </c>
      <c r="G45" s="29">
        <f>IF(Q44&lt;=0,0,ROUND(Q44*$G$5/12,2))</f>
      </c>
      <c r="H45" s="29">
        <f>IF(M44&lt;=0,0,MIN(M44+C45,$C$6+V45*$U45))</f>
      </c>
      <c r="I45" s="29">
        <f>IF(N44&lt;=0,0,MIN(N44+D45,$D$6+W45*$U45))</f>
      </c>
      <c r="J45" s="29">
        <f>IF(O44&lt;=0,0,MIN(O44+E45,$E$6+X45*$U45))</f>
      </c>
      <c r="K45" s="29">
        <f>IF(P44&lt;=0,0,MIN(P44+F45,$F$6+Y45*$U45))</f>
      </c>
      <c r="L45" s="29">
        <f>IF(Q44&lt;=0,0,MIN(Q44+G45,$G$6+Z45*$U45))</f>
      </c>
      <c r="M45" s="29">
        <f>ROUND(M44+C45-H45,2)</f>
      </c>
      <c r="N45" s="29">
        <f>ROUND(N44+D45-I45,2)</f>
      </c>
      <c r="O45" s="29">
        <f>ROUND(O44+E45-J45,2)</f>
      </c>
      <c r="P45" s="29">
        <f>ROUND(P44+F45-K45,2)</f>
      </c>
      <c r="Q45" s="29">
        <f>ROUND(Q44+G45-L45,2)</f>
      </c>
      <c r="R45" s="29">
        <f>SUM(H45:L45)</f>
      </c>
      <c r="S45" s="29">
        <f>SUM(C45:G45)</f>
      </c>
      <c r="T45" s="29">
        <f>SUM(M45:Q45)</f>
      </c>
      <c r="U45" s="30">
        <f>Debts!$B$13+SUMPRODUCT(($M44:$Q44&lt;=0)*$C$6:$G$6)</f>
      </c>
      <c r="V45" s="31">
        <f>IF(AND(M44&gt;0,SUMPRODUCT(($C$7:$G$7&lt;$C$7)*($M44:$Q44&gt;0))=0),1,0)</f>
      </c>
      <c r="W45" s="31">
        <f>IF(AND(N44&gt;0,SUMPRODUCT(($C$7:$G$7&lt;$D$7)*($M44:$Q44&gt;0))=0),1,0)</f>
      </c>
      <c r="X45" s="31">
        <f>IF(AND(O44&gt;0,SUMPRODUCT(($C$7:$G$7&lt;$E$7)*($M44:$Q44&gt;0))=0),1,0)</f>
      </c>
      <c r="Y45" s="31">
        <f>IF(AND(P44&gt;0,SUMPRODUCT(($C$7:$G$7&lt;$F$7)*($M44:$Q44&gt;0))=0),1,0)</f>
      </c>
      <c r="Z45" s="31">
        <f>IF(AND(Q44&gt;0,SUMPRODUCT(($C$7:$G$7&lt;$G$7)*($M44:$Q44&gt;0))=0),1,0)</f>
      </c>
    </row>
    <row r="46" spans="1:26" x14ac:dyDescent="0.25">
      <c r="A46" s="11">
        <f>A45+1</f>
      </c>
      <c r="B46" s="24">
        <f>EDATE(Debts!$B$14,A46)</f>
      </c>
      <c r="C46" s="25">
        <f>IF(M45&lt;=0,0,ROUND(M45*$C$5/12,2))</f>
      </c>
      <c r="D46" s="25">
        <f>IF(N45&lt;=0,0,ROUND(N45*$D$5/12,2))</f>
      </c>
      <c r="E46" s="25">
        <f>IF(O45&lt;=0,0,ROUND(O45*$E$5/12,2))</f>
      </c>
      <c r="F46" s="25">
        <f>IF(P45&lt;=0,0,ROUND(P45*$F$5/12,2))</f>
      </c>
      <c r="G46" s="25">
        <f>IF(Q45&lt;=0,0,ROUND(Q45*$G$5/12,2))</f>
      </c>
      <c r="H46" s="25">
        <f>IF(M45&lt;=0,0,MIN(M45+C46,$C$6+V46*$U46))</f>
      </c>
      <c r="I46" s="25">
        <f>IF(N45&lt;=0,0,MIN(N45+D46,$D$6+W46*$U46))</f>
      </c>
      <c r="J46" s="25">
        <f>IF(O45&lt;=0,0,MIN(O45+E46,$E$6+X46*$U46))</f>
      </c>
      <c r="K46" s="25">
        <f>IF(P45&lt;=0,0,MIN(P45+F46,$F$6+Y46*$U46))</f>
      </c>
      <c r="L46" s="25">
        <f>IF(Q45&lt;=0,0,MIN(Q45+G46,$G$6+Z46*$U46))</f>
      </c>
      <c r="M46" s="25">
        <f>ROUND(M45+C46-H46,2)</f>
      </c>
      <c r="N46" s="25">
        <f>ROUND(N45+D46-I46,2)</f>
      </c>
      <c r="O46" s="25">
        <f>ROUND(O45+E46-J46,2)</f>
      </c>
      <c r="P46" s="25">
        <f>ROUND(P45+F46-K46,2)</f>
      </c>
      <c r="Q46" s="25">
        <f>ROUND(Q45+G46-L46,2)</f>
      </c>
      <c r="R46" s="25">
        <f>SUM(H46:L46)</f>
      </c>
      <c r="S46" s="25">
        <f>SUM(C46:G46)</f>
      </c>
      <c r="T46" s="25">
        <f>SUM(M46:Q46)</f>
      </c>
      <c r="U46" s="26">
        <f>Debts!$B$13+SUMPRODUCT(($M45:$Q45&lt;=0)*$C$6:$G$6)</f>
      </c>
      <c r="V46" s="27">
        <f>IF(AND(M45&gt;0,SUMPRODUCT(($C$7:$G$7&lt;$C$7)*($M45:$Q45&gt;0))=0),1,0)</f>
      </c>
      <c r="W46" s="27">
        <f>IF(AND(N45&gt;0,SUMPRODUCT(($C$7:$G$7&lt;$D$7)*($M45:$Q45&gt;0))=0),1,0)</f>
      </c>
      <c r="X46" s="27">
        <f>IF(AND(O45&gt;0,SUMPRODUCT(($C$7:$G$7&lt;$E$7)*($M45:$Q45&gt;0))=0),1,0)</f>
      </c>
      <c r="Y46" s="27">
        <f>IF(AND(P45&gt;0,SUMPRODUCT(($C$7:$G$7&lt;$F$7)*($M45:$Q45&gt;0))=0),1,0)</f>
      </c>
      <c r="Z46" s="27">
        <f>IF(AND(Q45&gt;0,SUMPRODUCT(($C$7:$G$7&lt;$G$7)*($M45:$Q45&gt;0))=0),1,0)</f>
      </c>
    </row>
    <row r="47" spans="1:26" x14ac:dyDescent="0.25">
      <c r="A47" s="12">
        <f>A46+1</f>
      </c>
      <c r="B47" s="28">
        <f>EDATE(Debts!$B$14,A47)</f>
      </c>
      <c r="C47" s="29">
        <f>IF(M46&lt;=0,0,ROUND(M46*$C$5/12,2))</f>
      </c>
      <c r="D47" s="29">
        <f>IF(N46&lt;=0,0,ROUND(N46*$D$5/12,2))</f>
      </c>
      <c r="E47" s="29">
        <f>IF(O46&lt;=0,0,ROUND(O46*$E$5/12,2))</f>
      </c>
      <c r="F47" s="29">
        <f>IF(P46&lt;=0,0,ROUND(P46*$F$5/12,2))</f>
      </c>
      <c r="G47" s="29">
        <f>IF(Q46&lt;=0,0,ROUND(Q46*$G$5/12,2))</f>
      </c>
      <c r="H47" s="29">
        <f>IF(M46&lt;=0,0,MIN(M46+C47,$C$6+V47*$U47))</f>
      </c>
      <c r="I47" s="29">
        <f>IF(N46&lt;=0,0,MIN(N46+D47,$D$6+W47*$U47))</f>
      </c>
      <c r="J47" s="29">
        <f>IF(O46&lt;=0,0,MIN(O46+E47,$E$6+X47*$U47))</f>
      </c>
      <c r="K47" s="29">
        <f>IF(P46&lt;=0,0,MIN(P46+F47,$F$6+Y47*$U47))</f>
      </c>
      <c r="L47" s="29">
        <f>IF(Q46&lt;=0,0,MIN(Q46+G47,$G$6+Z47*$U47))</f>
      </c>
      <c r="M47" s="29">
        <f>ROUND(M46+C47-H47,2)</f>
      </c>
      <c r="N47" s="29">
        <f>ROUND(N46+D47-I47,2)</f>
      </c>
      <c r="O47" s="29">
        <f>ROUND(O46+E47-J47,2)</f>
      </c>
      <c r="P47" s="29">
        <f>ROUND(P46+F47-K47,2)</f>
      </c>
      <c r="Q47" s="29">
        <f>ROUND(Q46+G47-L47,2)</f>
      </c>
      <c r="R47" s="29">
        <f>SUM(H47:L47)</f>
      </c>
      <c r="S47" s="29">
        <f>SUM(C47:G47)</f>
      </c>
      <c r="T47" s="29">
        <f>SUM(M47:Q47)</f>
      </c>
      <c r="U47" s="30">
        <f>Debts!$B$13+SUMPRODUCT(($M46:$Q46&lt;=0)*$C$6:$G$6)</f>
      </c>
      <c r="V47" s="31">
        <f>IF(AND(M46&gt;0,SUMPRODUCT(($C$7:$G$7&lt;$C$7)*($M46:$Q46&gt;0))=0),1,0)</f>
      </c>
      <c r="W47" s="31">
        <f>IF(AND(N46&gt;0,SUMPRODUCT(($C$7:$G$7&lt;$D$7)*($M46:$Q46&gt;0))=0),1,0)</f>
      </c>
      <c r="X47" s="31">
        <f>IF(AND(O46&gt;0,SUMPRODUCT(($C$7:$G$7&lt;$E$7)*($M46:$Q46&gt;0))=0),1,0)</f>
      </c>
      <c r="Y47" s="31">
        <f>IF(AND(P46&gt;0,SUMPRODUCT(($C$7:$G$7&lt;$F$7)*($M46:$Q46&gt;0))=0),1,0)</f>
      </c>
      <c r="Z47" s="31">
        <f>IF(AND(Q46&gt;0,SUMPRODUCT(($C$7:$G$7&lt;$G$7)*($M46:$Q46&gt;0))=0),1,0)</f>
      </c>
    </row>
    <row r="48" spans="1:26" x14ac:dyDescent="0.25">
      <c r="A48" s="11">
        <f>A47+1</f>
      </c>
      <c r="B48" s="24">
        <f>EDATE(Debts!$B$14,A48)</f>
      </c>
      <c r="C48" s="25">
        <f>IF(M47&lt;=0,0,ROUND(M47*$C$5/12,2))</f>
      </c>
      <c r="D48" s="25">
        <f>IF(N47&lt;=0,0,ROUND(N47*$D$5/12,2))</f>
      </c>
      <c r="E48" s="25">
        <f>IF(O47&lt;=0,0,ROUND(O47*$E$5/12,2))</f>
      </c>
      <c r="F48" s="25">
        <f>IF(P47&lt;=0,0,ROUND(P47*$F$5/12,2))</f>
      </c>
      <c r="G48" s="25">
        <f>IF(Q47&lt;=0,0,ROUND(Q47*$G$5/12,2))</f>
      </c>
      <c r="H48" s="25">
        <f>IF(M47&lt;=0,0,MIN(M47+C48,$C$6+V48*$U48))</f>
      </c>
      <c r="I48" s="25">
        <f>IF(N47&lt;=0,0,MIN(N47+D48,$D$6+W48*$U48))</f>
      </c>
      <c r="J48" s="25">
        <f>IF(O47&lt;=0,0,MIN(O47+E48,$E$6+X48*$U48))</f>
      </c>
      <c r="K48" s="25">
        <f>IF(P47&lt;=0,0,MIN(P47+F48,$F$6+Y48*$U48))</f>
      </c>
      <c r="L48" s="25">
        <f>IF(Q47&lt;=0,0,MIN(Q47+G48,$G$6+Z48*$U48))</f>
      </c>
      <c r="M48" s="25">
        <f>ROUND(M47+C48-H48,2)</f>
      </c>
      <c r="N48" s="25">
        <f>ROUND(N47+D48-I48,2)</f>
      </c>
      <c r="O48" s="25">
        <f>ROUND(O47+E48-J48,2)</f>
      </c>
      <c r="P48" s="25">
        <f>ROUND(P47+F48-K48,2)</f>
      </c>
      <c r="Q48" s="25">
        <f>ROUND(Q47+G48-L48,2)</f>
      </c>
      <c r="R48" s="25">
        <f>SUM(H48:L48)</f>
      </c>
      <c r="S48" s="25">
        <f>SUM(C48:G48)</f>
      </c>
      <c r="T48" s="25">
        <f>SUM(M48:Q48)</f>
      </c>
      <c r="U48" s="26">
        <f>Debts!$B$13+SUMPRODUCT(($M47:$Q47&lt;=0)*$C$6:$G$6)</f>
      </c>
      <c r="V48" s="27">
        <f>IF(AND(M47&gt;0,SUMPRODUCT(($C$7:$G$7&lt;$C$7)*($M47:$Q47&gt;0))=0),1,0)</f>
      </c>
      <c r="W48" s="27">
        <f>IF(AND(N47&gt;0,SUMPRODUCT(($C$7:$G$7&lt;$D$7)*($M47:$Q47&gt;0))=0),1,0)</f>
      </c>
      <c r="X48" s="27">
        <f>IF(AND(O47&gt;0,SUMPRODUCT(($C$7:$G$7&lt;$E$7)*($M47:$Q47&gt;0))=0),1,0)</f>
      </c>
      <c r="Y48" s="27">
        <f>IF(AND(P47&gt;0,SUMPRODUCT(($C$7:$G$7&lt;$F$7)*($M47:$Q47&gt;0))=0),1,0)</f>
      </c>
      <c r="Z48" s="27">
        <f>IF(AND(Q47&gt;0,SUMPRODUCT(($C$7:$G$7&lt;$G$7)*($M47:$Q47&gt;0))=0),1,0)</f>
      </c>
    </row>
    <row r="49" spans="1:26" x14ac:dyDescent="0.25">
      <c r="A49" s="12">
        <f>A48+1</f>
      </c>
      <c r="B49" s="28">
        <f>EDATE(Debts!$B$14,A49)</f>
      </c>
      <c r="C49" s="29">
        <f>IF(M48&lt;=0,0,ROUND(M48*$C$5/12,2))</f>
      </c>
      <c r="D49" s="29">
        <f>IF(N48&lt;=0,0,ROUND(N48*$D$5/12,2))</f>
      </c>
      <c r="E49" s="29">
        <f>IF(O48&lt;=0,0,ROUND(O48*$E$5/12,2))</f>
      </c>
      <c r="F49" s="29">
        <f>IF(P48&lt;=0,0,ROUND(P48*$F$5/12,2))</f>
      </c>
      <c r="G49" s="29">
        <f>IF(Q48&lt;=0,0,ROUND(Q48*$G$5/12,2))</f>
      </c>
      <c r="H49" s="29">
        <f>IF(M48&lt;=0,0,MIN(M48+C49,$C$6+V49*$U49))</f>
      </c>
      <c r="I49" s="29">
        <f>IF(N48&lt;=0,0,MIN(N48+D49,$D$6+W49*$U49))</f>
      </c>
      <c r="J49" s="29">
        <f>IF(O48&lt;=0,0,MIN(O48+E49,$E$6+X49*$U49))</f>
      </c>
      <c r="K49" s="29">
        <f>IF(P48&lt;=0,0,MIN(P48+F49,$F$6+Y49*$U49))</f>
      </c>
      <c r="L49" s="29">
        <f>IF(Q48&lt;=0,0,MIN(Q48+G49,$G$6+Z49*$U49))</f>
      </c>
      <c r="M49" s="29">
        <f>ROUND(M48+C49-H49,2)</f>
      </c>
      <c r="N49" s="29">
        <f>ROUND(N48+D49-I49,2)</f>
      </c>
      <c r="O49" s="29">
        <f>ROUND(O48+E49-J49,2)</f>
      </c>
      <c r="P49" s="29">
        <f>ROUND(P48+F49-K49,2)</f>
      </c>
      <c r="Q49" s="29">
        <f>ROUND(Q48+G49-L49,2)</f>
      </c>
      <c r="R49" s="29">
        <f>SUM(H49:L49)</f>
      </c>
      <c r="S49" s="29">
        <f>SUM(C49:G49)</f>
      </c>
      <c r="T49" s="29">
        <f>SUM(M49:Q49)</f>
      </c>
      <c r="U49" s="30">
        <f>Debts!$B$13+SUMPRODUCT(($M48:$Q48&lt;=0)*$C$6:$G$6)</f>
      </c>
      <c r="V49" s="31">
        <f>IF(AND(M48&gt;0,SUMPRODUCT(($C$7:$G$7&lt;$C$7)*($M48:$Q48&gt;0))=0),1,0)</f>
      </c>
      <c r="W49" s="31">
        <f>IF(AND(N48&gt;0,SUMPRODUCT(($C$7:$G$7&lt;$D$7)*($M48:$Q48&gt;0))=0),1,0)</f>
      </c>
      <c r="X49" s="31">
        <f>IF(AND(O48&gt;0,SUMPRODUCT(($C$7:$G$7&lt;$E$7)*($M48:$Q48&gt;0))=0),1,0)</f>
      </c>
      <c r="Y49" s="31">
        <f>IF(AND(P48&gt;0,SUMPRODUCT(($C$7:$G$7&lt;$F$7)*($M48:$Q48&gt;0))=0),1,0)</f>
      </c>
      <c r="Z49" s="31">
        <f>IF(AND(Q48&gt;0,SUMPRODUCT(($C$7:$G$7&lt;$G$7)*($M48:$Q48&gt;0))=0),1,0)</f>
      </c>
    </row>
    <row r="50" spans="1:26" x14ac:dyDescent="0.25">
      <c r="A50" s="11">
        <f>A49+1</f>
      </c>
      <c r="B50" s="24">
        <f>EDATE(Debts!$B$14,A50)</f>
      </c>
      <c r="C50" s="25">
        <f>IF(M49&lt;=0,0,ROUND(M49*$C$5/12,2))</f>
      </c>
      <c r="D50" s="25">
        <f>IF(N49&lt;=0,0,ROUND(N49*$D$5/12,2))</f>
      </c>
      <c r="E50" s="25">
        <f>IF(O49&lt;=0,0,ROUND(O49*$E$5/12,2))</f>
      </c>
      <c r="F50" s="25">
        <f>IF(P49&lt;=0,0,ROUND(P49*$F$5/12,2))</f>
      </c>
      <c r="G50" s="25">
        <f>IF(Q49&lt;=0,0,ROUND(Q49*$G$5/12,2))</f>
      </c>
      <c r="H50" s="25">
        <f>IF(M49&lt;=0,0,MIN(M49+C50,$C$6+V50*$U50))</f>
      </c>
      <c r="I50" s="25">
        <f>IF(N49&lt;=0,0,MIN(N49+D50,$D$6+W50*$U50))</f>
      </c>
      <c r="J50" s="25">
        <f>IF(O49&lt;=0,0,MIN(O49+E50,$E$6+X50*$U50))</f>
      </c>
      <c r="K50" s="25">
        <f>IF(P49&lt;=0,0,MIN(P49+F50,$F$6+Y50*$U50))</f>
      </c>
      <c r="L50" s="25">
        <f>IF(Q49&lt;=0,0,MIN(Q49+G50,$G$6+Z50*$U50))</f>
      </c>
      <c r="M50" s="25">
        <f>ROUND(M49+C50-H50,2)</f>
      </c>
      <c r="N50" s="25">
        <f>ROUND(N49+D50-I50,2)</f>
      </c>
      <c r="O50" s="25">
        <f>ROUND(O49+E50-J50,2)</f>
      </c>
      <c r="P50" s="25">
        <f>ROUND(P49+F50-K50,2)</f>
      </c>
      <c r="Q50" s="25">
        <f>ROUND(Q49+G50-L50,2)</f>
      </c>
      <c r="R50" s="25">
        <f>SUM(H50:L50)</f>
      </c>
      <c r="S50" s="25">
        <f>SUM(C50:G50)</f>
      </c>
      <c r="T50" s="25">
        <f>SUM(M50:Q50)</f>
      </c>
      <c r="U50" s="26">
        <f>Debts!$B$13+SUMPRODUCT(($M49:$Q49&lt;=0)*$C$6:$G$6)</f>
      </c>
      <c r="V50" s="27">
        <f>IF(AND(M49&gt;0,SUMPRODUCT(($C$7:$G$7&lt;$C$7)*($M49:$Q49&gt;0))=0),1,0)</f>
      </c>
      <c r="W50" s="27">
        <f>IF(AND(N49&gt;0,SUMPRODUCT(($C$7:$G$7&lt;$D$7)*($M49:$Q49&gt;0))=0),1,0)</f>
      </c>
      <c r="X50" s="27">
        <f>IF(AND(O49&gt;0,SUMPRODUCT(($C$7:$G$7&lt;$E$7)*($M49:$Q49&gt;0))=0),1,0)</f>
      </c>
      <c r="Y50" s="27">
        <f>IF(AND(P49&gt;0,SUMPRODUCT(($C$7:$G$7&lt;$F$7)*($M49:$Q49&gt;0))=0),1,0)</f>
      </c>
      <c r="Z50" s="27">
        <f>IF(AND(Q49&gt;0,SUMPRODUCT(($C$7:$G$7&lt;$G$7)*($M49:$Q49&gt;0))=0),1,0)</f>
      </c>
    </row>
    <row r="51" spans="1:26" x14ac:dyDescent="0.25">
      <c r="A51" s="12">
        <f>A50+1</f>
      </c>
      <c r="B51" s="28">
        <f>EDATE(Debts!$B$14,A51)</f>
      </c>
      <c r="C51" s="29">
        <f>IF(M50&lt;=0,0,ROUND(M50*$C$5/12,2))</f>
      </c>
      <c r="D51" s="29">
        <f>IF(N50&lt;=0,0,ROUND(N50*$D$5/12,2))</f>
      </c>
      <c r="E51" s="29">
        <f>IF(O50&lt;=0,0,ROUND(O50*$E$5/12,2))</f>
      </c>
      <c r="F51" s="29">
        <f>IF(P50&lt;=0,0,ROUND(P50*$F$5/12,2))</f>
      </c>
      <c r="G51" s="29">
        <f>IF(Q50&lt;=0,0,ROUND(Q50*$G$5/12,2))</f>
      </c>
      <c r="H51" s="29">
        <f>IF(M50&lt;=0,0,MIN(M50+C51,$C$6+V51*$U51))</f>
      </c>
      <c r="I51" s="29">
        <f>IF(N50&lt;=0,0,MIN(N50+D51,$D$6+W51*$U51))</f>
      </c>
      <c r="J51" s="29">
        <f>IF(O50&lt;=0,0,MIN(O50+E51,$E$6+X51*$U51))</f>
      </c>
      <c r="K51" s="29">
        <f>IF(P50&lt;=0,0,MIN(P50+F51,$F$6+Y51*$U51))</f>
      </c>
      <c r="L51" s="29">
        <f>IF(Q50&lt;=0,0,MIN(Q50+G51,$G$6+Z51*$U51))</f>
      </c>
      <c r="M51" s="29">
        <f>ROUND(M50+C51-H51,2)</f>
      </c>
      <c r="N51" s="29">
        <f>ROUND(N50+D51-I51,2)</f>
      </c>
      <c r="O51" s="29">
        <f>ROUND(O50+E51-J51,2)</f>
      </c>
      <c r="P51" s="29">
        <f>ROUND(P50+F51-K51,2)</f>
      </c>
      <c r="Q51" s="29">
        <f>ROUND(Q50+G51-L51,2)</f>
      </c>
      <c r="R51" s="29">
        <f>SUM(H51:L51)</f>
      </c>
      <c r="S51" s="29">
        <f>SUM(C51:G51)</f>
      </c>
      <c r="T51" s="29">
        <f>SUM(M51:Q51)</f>
      </c>
      <c r="U51" s="30">
        <f>Debts!$B$13+SUMPRODUCT(($M50:$Q50&lt;=0)*$C$6:$G$6)</f>
      </c>
      <c r="V51" s="31">
        <f>IF(AND(M50&gt;0,SUMPRODUCT(($C$7:$G$7&lt;$C$7)*($M50:$Q50&gt;0))=0),1,0)</f>
      </c>
      <c r="W51" s="31">
        <f>IF(AND(N50&gt;0,SUMPRODUCT(($C$7:$G$7&lt;$D$7)*($M50:$Q50&gt;0))=0),1,0)</f>
      </c>
      <c r="X51" s="31">
        <f>IF(AND(O50&gt;0,SUMPRODUCT(($C$7:$G$7&lt;$E$7)*($M50:$Q50&gt;0))=0),1,0)</f>
      </c>
      <c r="Y51" s="31">
        <f>IF(AND(P50&gt;0,SUMPRODUCT(($C$7:$G$7&lt;$F$7)*($M50:$Q50&gt;0))=0),1,0)</f>
      </c>
      <c r="Z51" s="31">
        <f>IF(AND(Q50&gt;0,SUMPRODUCT(($C$7:$G$7&lt;$G$7)*($M50:$Q50&gt;0))=0),1,0)</f>
      </c>
    </row>
    <row r="52" spans="1:26" x14ac:dyDescent="0.25">
      <c r="A52" s="11">
        <f>A51+1</f>
      </c>
      <c r="B52" s="24">
        <f>EDATE(Debts!$B$14,A52)</f>
      </c>
      <c r="C52" s="25">
        <f>IF(M51&lt;=0,0,ROUND(M51*$C$5/12,2))</f>
      </c>
      <c r="D52" s="25">
        <f>IF(N51&lt;=0,0,ROUND(N51*$D$5/12,2))</f>
      </c>
      <c r="E52" s="25">
        <f>IF(O51&lt;=0,0,ROUND(O51*$E$5/12,2))</f>
      </c>
      <c r="F52" s="25">
        <f>IF(P51&lt;=0,0,ROUND(P51*$F$5/12,2))</f>
      </c>
      <c r="G52" s="25">
        <f>IF(Q51&lt;=0,0,ROUND(Q51*$G$5/12,2))</f>
      </c>
      <c r="H52" s="25">
        <f>IF(M51&lt;=0,0,MIN(M51+C52,$C$6+V52*$U52))</f>
      </c>
      <c r="I52" s="25">
        <f>IF(N51&lt;=0,0,MIN(N51+D52,$D$6+W52*$U52))</f>
      </c>
      <c r="J52" s="25">
        <f>IF(O51&lt;=0,0,MIN(O51+E52,$E$6+X52*$U52))</f>
      </c>
      <c r="K52" s="25">
        <f>IF(P51&lt;=0,0,MIN(P51+F52,$F$6+Y52*$U52))</f>
      </c>
      <c r="L52" s="25">
        <f>IF(Q51&lt;=0,0,MIN(Q51+G52,$G$6+Z52*$U52))</f>
      </c>
      <c r="M52" s="25">
        <f>ROUND(M51+C52-H52,2)</f>
      </c>
      <c r="N52" s="25">
        <f>ROUND(N51+D52-I52,2)</f>
      </c>
      <c r="O52" s="25">
        <f>ROUND(O51+E52-J52,2)</f>
      </c>
      <c r="P52" s="25">
        <f>ROUND(P51+F52-K52,2)</f>
      </c>
      <c r="Q52" s="25">
        <f>ROUND(Q51+G52-L52,2)</f>
      </c>
      <c r="R52" s="25">
        <f>SUM(H52:L52)</f>
      </c>
      <c r="S52" s="25">
        <f>SUM(C52:G52)</f>
      </c>
      <c r="T52" s="25">
        <f>SUM(M52:Q52)</f>
      </c>
      <c r="U52" s="26">
        <f>Debts!$B$13+SUMPRODUCT(($M51:$Q51&lt;=0)*$C$6:$G$6)</f>
      </c>
      <c r="V52" s="27">
        <f>IF(AND(M51&gt;0,SUMPRODUCT(($C$7:$G$7&lt;$C$7)*($M51:$Q51&gt;0))=0),1,0)</f>
      </c>
      <c r="W52" s="27">
        <f>IF(AND(N51&gt;0,SUMPRODUCT(($C$7:$G$7&lt;$D$7)*($M51:$Q51&gt;0))=0),1,0)</f>
      </c>
      <c r="X52" s="27">
        <f>IF(AND(O51&gt;0,SUMPRODUCT(($C$7:$G$7&lt;$E$7)*($M51:$Q51&gt;0))=0),1,0)</f>
      </c>
      <c r="Y52" s="27">
        <f>IF(AND(P51&gt;0,SUMPRODUCT(($C$7:$G$7&lt;$F$7)*($M51:$Q51&gt;0))=0),1,0)</f>
      </c>
      <c r="Z52" s="27">
        <f>IF(AND(Q51&gt;0,SUMPRODUCT(($C$7:$G$7&lt;$G$7)*($M51:$Q51&gt;0))=0),1,0)</f>
      </c>
    </row>
    <row r="53" spans="1:26" x14ac:dyDescent="0.25">
      <c r="A53" s="12">
        <f>A52+1</f>
      </c>
      <c r="B53" s="28">
        <f>EDATE(Debts!$B$14,A53)</f>
      </c>
      <c r="C53" s="29">
        <f>IF(M52&lt;=0,0,ROUND(M52*$C$5/12,2))</f>
      </c>
      <c r="D53" s="29">
        <f>IF(N52&lt;=0,0,ROUND(N52*$D$5/12,2))</f>
      </c>
      <c r="E53" s="29">
        <f>IF(O52&lt;=0,0,ROUND(O52*$E$5/12,2))</f>
      </c>
      <c r="F53" s="29">
        <f>IF(P52&lt;=0,0,ROUND(P52*$F$5/12,2))</f>
      </c>
      <c r="G53" s="29">
        <f>IF(Q52&lt;=0,0,ROUND(Q52*$G$5/12,2))</f>
      </c>
      <c r="H53" s="29">
        <f>IF(M52&lt;=0,0,MIN(M52+C53,$C$6+V53*$U53))</f>
      </c>
      <c r="I53" s="29">
        <f>IF(N52&lt;=0,0,MIN(N52+D53,$D$6+W53*$U53))</f>
      </c>
      <c r="J53" s="29">
        <f>IF(O52&lt;=0,0,MIN(O52+E53,$E$6+X53*$U53))</f>
      </c>
      <c r="K53" s="29">
        <f>IF(P52&lt;=0,0,MIN(P52+F53,$F$6+Y53*$U53))</f>
      </c>
      <c r="L53" s="29">
        <f>IF(Q52&lt;=0,0,MIN(Q52+G53,$G$6+Z53*$U53))</f>
      </c>
      <c r="M53" s="29">
        <f>ROUND(M52+C53-H53,2)</f>
      </c>
      <c r="N53" s="29">
        <f>ROUND(N52+D53-I53,2)</f>
      </c>
      <c r="O53" s="29">
        <f>ROUND(O52+E53-J53,2)</f>
      </c>
      <c r="P53" s="29">
        <f>ROUND(P52+F53-K53,2)</f>
      </c>
      <c r="Q53" s="29">
        <f>ROUND(Q52+G53-L53,2)</f>
      </c>
      <c r="R53" s="29">
        <f>SUM(H53:L53)</f>
      </c>
      <c r="S53" s="29">
        <f>SUM(C53:G53)</f>
      </c>
      <c r="T53" s="29">
        <f>SUM(M53:Q53)</f>
      </c>
      <c r="U53" s="30">
        <f>Debts!$B$13+SUMPRODUCT(($M52:$Q52&lt;=0)*$C$6:$G$6)</f>
      </c>
      <c r="V53" s="31">
        <f>IF(AND(M52&gt;0,SUMPRODUCT(($C$7:$G$7&lt;$C$7)*($M52:$Q52&gt;0))=0),1,0)</f>
      </c>
      <c r="W53" s="31">
        <f>IF(AND(N52&gt;0,SUMPRODUCT(($C$7:$G$7&lt;$D$7)*($M52:$Q52&gt;0))=0),1,0)</f>
      </c>
      <c r="X53" s="31">
        <f>IF(AND(O52&gt;0,SUMPRODUCT(($C$7:$G$7&lt;$E$7)*($M52:$Q52&gt;0))=0),1,0)</f>
      </c>
      <c r="Y53" s="31">
        <f>IF(AND(P52&gt;0,SUMPRODUCT(($C$7:$G$7&lt;$F$7)*($M52:$Q52&gt;0))=0),1,0)</f>
      </c>
      <c r="Z53" s="31">
        <f>IF(AND(Q52&gt;0,SUMPRODUCT(($C$7:$G$7&lt;$G$7)*($M52:$Q52&gt;0))=0),1,0)</f>
      </c>
    </row>
    <row r="54" spans="1:26" x14ac:dyDescent="0.25">
      <c r="A54" s="11">
        <f>A53+1</f>
      </c>
      <c r="B54" s="24">
        <f>EDATE(Debts!$B$14,A54)</f>
      </c>
      <c r="C54" s="25">
        <f>IF(M53&lt;=0,0,ROUND(M53*$C$5/12,2))</f>
      </c>
      <c r="D54" s="25">
        <f>IF(N53&lt;=0,0,ROUND(N53*$D$5/12,2))</f>
      </c>
      <c r="E54" s="25">
        <f>IF(O53&lt;=0,0,ROUND(O53*$E$5/12,2))</f>
      </c>
      <c r="F54" s="25">
        <f>IF(P53&lt;=0,0,ROUND(P53*$F$5/12,2))</f>
      </c>
      <c r="G54" s="25">
        <f>IF(Q53&lt;=0,0,ROUND(Q53*$G$5/12,2))</f>
      </c>
      <c r="H54" s="25">
        <f>IF(M53&lt;=0,0,MIN(M53+C54,$C$6+V54*$U54))</f>
      </c>
      <c r="I54" s="25">
        <f>IF(N53&lt;=0,0,MIN(N53+D54,$D$6+W54*$U54))</f>
      </c>
      <c r="J54" s="25">
        <f>IF(O53&lt;=0,0,MIN(O53+E54,$E$6+X54*$U54))</f>
      </c>
      <c r="K54" s="25">
        <f>IF(P53&lt;=0,0,MIN(P53+F54,$F$6+Y54*$U54))</f>
      </c>
      <c r="L54" s="25">
        <f>IF(Q53&lt;=0,0,MIN(Q53+G54,$G$6+Z54*$U54))</f>
      </c>
      <c r="M54" s="25">
        <f>ROUND(M53+C54-H54,2)</f>
      </c>
      <c r="N54" s="25">
        <f>ROUND(N53+D54-I54,2)</f>
      </c>
      <c r="O54" s="25">
        <f>ROUND(O53+E54-J54,2)</f>
      </c>
      <c r="P54" s="25">
        <f>ROUND(P53+F54-K54,2)</f>
      </c>
      <c r="Q54" s="25">
        <f>ROUND(Q53+G54-L54,2)</f>
      </c>
      <c r="R54" s="25">
        <f>SUM(H54:L54)</f>
      </c>
      <c r="S54" s="25">
        <f>SUM(C54:G54)</f>
      </c>
      <c r="T54" s="25">
        <f>SUM(M54:Q54)</f>
      </c>
      <c r="U54" s="26">
        <f>Debts!$B$13+SUMPRODUCT(($M53:$Q53&lt;=0)*$C$6:$G$6)</f>
      </c>
      <c r="V54" s="27">
        <f>IF(AND(M53&gt;0,SUMPRODUCT(($C$7:$G$7&lt;$C$7)*($M53:$Q53&gt;0))=0),1,0)</f>
      </c>
      <c r="W54" s="27">
        <f>IF(AND(N53&gt;0,SUMPRODUCT(($C$7:$G$7&lt;$D$7)*($M53:$Q53&gt;0))=0),1,0)</f>
      </c>
      <c r="X54" s="27">
        <f>IF(AND(O53&gt;0,SUMPRODUCT(($C$7:$G$7&lt;$E$7)*($M53:$Q53&gt;0))=0),1,0)</f>
      </c>
      <c r="Y54" s="27">
        <f>IF(AND(P53&gt;0,SUMPRODUCT(($C$7:$G$7&lt;$F$7)*($M53:$Q53&gt;0))=0),1,0)</f>
      </c>
      <c r="Z54" s="27">
        <f>IF(AND(Q53&gt;0,SUMPRODUCT(($C$7:$G$7&lt;$G$7)*($M53:$Q53&gt;0))=0),1,0)</f>
      </c>
    </row>
    <row r="55" spans="1:26" x14ac:dyDescent="0.25">
      <c r="A55" s="12">
        <f>A54+1</f>
      </c>
      <c r="B55" s="28">
        <f>EDATE(Debts!$B$14,A55)</f>
      </c>
      <c r="C55" s="29">
        <f>IF(M54&lt;=0,0,ROUND(M54*$C$5/12,2))</f>
      </c>
      <c r="D55" s="29">
        <f>IF(N54&lt;=0,0,ROUND(N54*$D$5/12,2))</f>
      </c>
      <c r="E55" s="29">
        <f>IF(O54&lt;=0,0,ROUND(O54*$E$5/12,2))</f>
      </c>
      <c r="F55" s="29">
        <f>IF(P54&lt;=0,0,ROUND(P54*$F$5/12,2))</f>
      </c>
      <c r="G55" s="29">
        <f>IF(Q54&lt;=0,0,ROUND(Q54*$G$5/12,2))</f>
      </c>
      <c r="H55" s="29">
        <f>IF(M54&lt;=0,0,MIN(M54+C55,$C$6+V55*$U55))</f>
      </c>
      <c r="I55" s="29">
        <f>IF(N54&lt;=0,0,MIN(N54+D55,$D$6+W55*$U55))</f>
      </c>
      <c r="J55" s="29">
        <f>IF(O54&lt;=0,0,MIN(O54+E55,$E$6+X55*$U55))</f>
      </c>
      <c r="K55" s="29">
        <f>IF(P54&lt;=0,0,MIN(P54+F55,$F$6+Y55*$U55))</f>
      </c>
      <c r="L55" s="29">
        <f>IF(Q54&lt;=0,0,MIN(Q54+G55,$G$6+Z55*$U55))</f>
      </c>
      <c r="M55" s="29">
        <f>ROUND(M54+C55-H55,2)</f>
      </c>
      <c r="N55" s="29">
        <f>ROUND(N54+D55-I55,2)</f>
      </c>
      <c r="O55" s="29">
        <f>ROUND(O54+E55-J55,2)</f>
      </c>
      <c r="P55" s="29">
        <f>ROUND(P54+F55-K55,2)</f>
      </c>
      <c r="Q55" s="29">
        <f>ROUND(Q54+G55-L55,2)</f>
      </c>
      <c r="R55" s="29">
        <f>SUM(H55:L55)</f>
      </c>
      <c r="S55" s="29">
        <f>SUM(C55:G55)</f>
      </c>
      <c r="T55" s="29">
        <f>SUM(M55:Q55)</f>
      </c>
      <c r="U55" s="30">
        <f>Debts!$B$13+SUMPRODUCT(($M54:$Q54&lt;=0)*$C$6:$G$6)</f>
      </c>
      <c r="V55" s="31">
        <f>IF(AND(M54&gt;0,SUMPRODUCT(($C$7:$G$7&lt;$C$7)*($M54:$Q54&gt;0))=0),1,0)</f>
      </c>
      <c r="W55" s="31">
        <f>IF(AND(N54&gt;0,SUMPRODUCT(($C$7:$G$7&lt;$D$7)*($M54:$Q54&gt;0))=0),1,0)</f>
      </c>
      <c r="X55" s="31">
        <f>IF(AND(O54&gt;0,SUMPRODUCT(($C$7:$G$7&lt;$E$7)*($M54:$Q54&gt;0))=0),1,0)</f>
      </c>
      <c r="Y55" s="31">
        <f>IF(AND(P54&gt;0,SUMPRODUCT(($C$7:$G$7&lt;$F$7)*($M54:$Q54&gt;0))=0),1,0)</f>
      </c>
      <c r="Z55" s="31">
        <f>IF(AND(Q54&gt;0,SUMPRODUCT(($C$7:$G$7&lt;$G$7)*($M54:$Q54&gt;0))=0),1,0)</f>
      </c>
    </row>
    <row r="56" spans="1:26" x14ac:dyDescent="0.25">
      <c r="A56" s="11">
        <f>A55+1</f>
      </c>
      <c r="B56" s="24">
        <f>EDATE(Debts!$B$14,A56)</f>
      </c>
      <c r="C56" s="25">
        <f>IF(M55&lt;=0,0,ROUND(M55*$C$5/12,2))</f>
      </c>
      <c r="D56" s="25">
        <f>IF(N55&lt;=0,0,ROUND(N55*$D$5/12,2))</f>
      </c>
      <c r="E56" s="25">
        <f>IF(O55&lt;=0,0,ROUND(O55*$E$5/12,2))</f>
      </c>
      <c r="F56" s="25">
        <f>IF(P55&lt;=0,0,ROUND(P55*$F$5/12,2))</f>
      </c>
      <c r="G56" s="25">
        <f>IF(Q55&lt;=0,0,ROUND(Q55*$G$5/12,2))</f>
      </c>
      <c r="H56" s="25">
        <f>IF(M55&lt;=0,0,MIN(M55+C56,$C$6+V56*$U56))</f>
      </c>
      <c r="I56" s="25">
        <f>IF(N55&lt;=0,0,MIN(N55+D56,$D$6+W56*$U56))</f>
      </c>
      <c r="J56" s="25">
        <f>IF(O55&lt;=0,0,MIN(O55+E56,$E$6+X56*$U56))</f>
      </c>
      <c r="K56" s="25">
        <f>IF(P55&lt;=0,0,MIN(P55+F56,$F$6+Y56*$U56))</f>
      </c>
      <c r="L56" s="25">
        <f>IF(Q55&lt;=0,0,MIN(Q55+G56,$G$6+Z56*$U56))</f>
      </c>
      <c r="M56" s="25">
        <f>ROUND(M55+C56-H56,2)</f>
      </c>
      <c r="N56" s="25">
        <f>ROUND(N55+D56-I56,2)</f>
      </c>
      <c r="O56" s="25">
        <f>ROUND(O55+E56-J56,2)</f>
      </c>
      <c r="P56" s="25">
        <f>ROUND(P55+F56-K56,2)</f>
      </c>
      <c r="Q56" s="25">
        <f>ROUND(Q55+G56-L56,2)</f>
      </c>
      <c r="R56" s="25">
        <f>SUM(H56:L56)</f>
      </c>
      <c r="S56" s="25">
        <f>SUM(C56:G56)</f>
      </c>
      <c r="T56" s="25">
        <f>SUM(M56:Q56)</f>
      </c>
      <c r="U56" s="26">
        <f>Debts!$B$13+SUMPRODUCT(($M55:$Q55&lt;=0)*$C$6:$G$6)</f>
      </c>
      <c r="V56" s="27">
        <f>IF(AND(M55&gt;0,SUMPRODUCT(($C$7:$G$7&lt;$C$7)*($M55:$Q55&gt;0))=0),1,0)</f>
      </c>
      <c r="W56" s="27">
        <f>IF(AND(N55&gt;0,SUMPRODUCT(($C$7:$G$7&lt;$D$7)*($M55:$Q55&gt;0))=0),1,0)</f>
      </c>
      <c r="X56" s="27">
        <f>IF(AND(O55&gt;0,SUMPRODUCT(($C$7:$G$7&lt;$E$7)*($M55:$Q55&gt;0))=0),1,0)</f>
      </c>
      <c r="Y56" s="27">
        <f>IF(AND(P55&gt;0,SUMPRODUCT(($C$7:$G$7&lt;$F$7)*($M55:$Q55&gt;0))=0),1,0)</f>
      </c>
      <c r="Z56" s="27">
        <f>IF(AND(Q55&gt;0,SUMPRODUCT(($C$7:$G$7&lt;$G$7)*($M55:$Q55&gt;0))=0),1,0)</f>
      </c>
    </row>
    <row r="57" spans="1:26" x14ac:dyDescent="0.25">
      <c r="A57" s="12">
        <f>A56+1</f>
      </c>
      <c r="B57" s="28">
        <f>EDATE(Debts!$B$14,A57)</f>
      </c>
      <c r="C57" s="29">
        <f>IF(M56&lt;=0,0,ROUND(M56*$C$5/12,2))</f>
      </c>
      <c r="D57" s="29">
        <f>IF(N56&lt;=0,0,ROUND(N56*$D$5/12,2))</f>
      </c>
      <c r="E57" s="29">
        <f>IF(O56&lt;=0,0,ROUND(O56*$E$5/12,2))</f>
      </c>
      <c r="F57" s="29">
        <f>IF(P56&lt;=0,0,ROUND(P56*$F$5/12,2))</f>
      </c>
      <c r="G57" s="29">
        <f>IF(Q56&lt;=0,0,ROUND(Q56*$G$5/12,2))</f>
      </c>
      <c r="H57" s="29">
        <f>IF(M56&lt;=0,0,MIN(M56+C57,$C$6+V57*$U57))</f>
      </c>
      <c r="I57" s="29">
        <f>IF(N56&lt;=0,0,MIN(N56+D57,$D$6+W57*$U57))</f>
      </c>
      <c r="J57" s="29">
        <f>IF(O56&lt;=0,0,MIN(O56+E57,$E$6+X57*$U57))</f>
      </c>
      <c r="K57" s="29">
        <f>IF(P56&lt;=0,0,MIN(P56+F57,$F$6+Y57*$U57))</f>
      </c>
      <c r="L57" s="29">
        <f>IF(Q56&lt;=0,0,MIN(Q56+G57,$G$6+Z57*$U57))</f>
      </c>
      <c r="M57" s="29">
        <f>ROUND(M56+C57-H57,2)</f>
      </c>
      <c r="N57" s="29">
        <f>ROUND(N56+D57-I57,2)</f>
      </c>
      <c r="O57" s="29">
        <f>ROUND(O56+E57-J57,2)</f>
      </c>
      <c r="P57" s="29">
        <f>ROUND(P56+F57-K57,2)</f>
      </c>
      <c r="Q57" s="29">
        <f>ROUND(Q56+G57-L57,2)</f>
      </c>
      <c r="R57" s="29">
        <f>SUM(H57:L57)</f>
      </c>
      <c r="S57" s="29">
        <f>SUM(C57:G57)</f>
      </c>
      <c r="T57" s="29">
        <f>SUM(M57:Q57)</f>
      </c>
      <c r="U57" s="30">
        <f>Debts!$B$13+SUMPRODUCT(($M56:$Q56&lt;=0)*$C$6:$G$6)</f>
      </c>
      <c r="V57" s="31">
        <f>IF(AND(M56&gt;0,SUMPRODUCT(($C$7:$G$7&lt;$C$7)*($M56:$Q56&gt;0))=0),1,0)</f>
      </c>
      <c r="W57" s="31">
        <f>IF(AND(N56&gt;0,SUMPRODUCT(($C$7:$G$7&lt;$D$7)*($M56:$Q56&gt;0))=0),1,0)</f>
      </c>
      <c r="X57" s="31">
        <f>IF(AND(O56&gt;0,SUMPRODUCT(($C$7:$G$7&lt;$E$7)*($M56:$Q56&gt;0))=0),1,0)</f>
      </c>
      <c r="Y57" s="31">
        <f>IF(AND(P56&gt;0,SUMPRODUCT(($C$7:$G$7&lt;$F$7)*($M56:$Q56&gt;0))=0),1,0)</f>
      </c>
      <c r="Z57" s="31">
        <f>IF(AND(Q56&gt;0,SUMPRODUCT(($C$7:$G$7&lt;$G$7)*($M56:$Q56&gt;0))=0),1,0)</f>
      </c>
    </row>
    <row r="58" spans="1:26" x14ac:dyDescent="0.25">
      <c r="A58" s="11">
        <f>A57+1</f>
      </c>
      <c r="B58" s="24">
        <f>EDATE(Debts!$B$14,A58)</f>
      </c>
      <c r="C58" s="25">
        <f>IF(M57&lt;=0,0,ROUND(M57*$C$5/12,2))</f>
      </c>
      <c r="D58" s="25">
        <f>IF(N57&lt;=0,0,ROUND(N57*$D$5/12,2))</f>
      </c>
      <c r="E58" s="25">
        <f>IF(O57&lt;=0,0,ROUND(O57*$E$5/12,2))</f>
      </c>
      <c r="F58" s="25">
        <f>IF(P57&lt;=0,0,ROUND(P57*$F$5/12,2))</f>
      </c>
      <c r="G58" s="25">
        <f>IF(Q57&lt;=0,0,ROUND(Q57*$G$5/12,2))</f>
      </c>
      <c r="H58" s="25">
        <f>IF(M57&lt;=0,0,MIN(M57+C58,$C$6+V58*$U58))</f>
      </c>
      <c r="I58" s="25">
        <f>IF(N57&lt;=0,0,MIN(N57+D58,$D$6+W58*$U58))</f>
      </c>
      <c r="J58" s="25">
        <f>IF(O57&lt;=0,0,MIN(O57+E58,$E$6+X58*$U58))</f>
      </c>
      <c r="K58" s="25">
        <f>IF(P57&lt;=0,0,MIN(P57+F58,$F$6+Y58*$U58))</f>
      </c>
      <c r="L58" s="25">
        <f>IF(Q57&lt;=0,0,MIN(Q57+G58,$G$6+Z58*$U58))</f>
      </c>
      <c r="M58" s="25">
        <f>ROUND(M57+C58-H58,2)</f>
      </c>
      <c r="N58" s="25">
        <f>ROUND(N57+D58-I58,2)</f>
      </c>
      <c r="O58" s="25">
        <f>ROUND(O57+E58-J58,2)</f>
      </c>
      <c r="P58" s="25">
        <f>ROUND(P57+F58-K58,2)</f>
      </c>
      <c r="Q58" s="25">
        <f>ROUND(Q57+G58-L58,2)</f>
      </c>
      <c r="R58" s="25">
        <f>SUM(H58:L58)</f>
      </c>
      <c r="S58" s="25">
        <f>SUM(C58:G58)</f>
      </c>
      <c r="T58" s="25">
        <f>SUM(M58:Q58)</f>
      </c>
      <c r="U58" s="26">
        <f>Debts!$B$13+SUMPRODUCT(($M57:$Q57&lt;=0)*$C$6:$G$6)</f>
      </c>
      <c r="V58" s="27">
        <f>IF(AND(M57&gt;0,SUMPRODUCT(($C$7:$G$7&lt;$C$7)*($M57:$Q57&gt;0))=0),1,0)</f>
      </c>
      <c r="W58" s="27">
        <f>IF(AND(N57&gt;0,SUMPRODUCT(($C$7:$G$7&lt;$D$7)*($M57:$Q57&gt;0))=0),1,0)</f>
      </c>
      <c r="X58" s="27">
        <f>IF(AND(O57&gt;0,SUMPRODUCT(($C$7:$G$7&lt;$E$7)*($M57:$Q57&gt;0))=0),1,0)</f>
      </c>
      <c r="Y58" s="27">
        <f>IF(AND(P57&gt;0,SUMPRODUCT(($C$7:$G$7&lt;$F$7)*($M57:$Q57&gt;0))=0),1,0)</f>
      </c>
      <c r="Z58" s="27">
        <f>IF(AND(Q57&gt;0,SUMPRODUCT(($C$7:$G$7&lt;$G$7)*($M57:$Q57&gt;0))=0),1,0)</f>
      </c>
    </row>
    <row r="59" spans="1:26" x14ac:dyDescent="0.25">
      <c r="A59" s="12">
        <f>A58+1</f>
      </c>
      <c r="B59" s="28">
        <f>EDATE(Debts!$B$14,A59)</f>
      </c>
      <c r="C59" s="29">
        <f>IF(M58&lt;=0,0,ROUND(M58*$C$5/12,2))</f>
      </c>
      <c r="D59" s="29">
        <f>IF(N58&lt;=0,0,ROUND(N58*$D$5/12,2))</f>
      </c>
      <c r="E59" s="29">
        <f>IF(O58&lt;=0,0,ROUND(O58*$E$5/12,2))</f>
      </c>
      <c r="F59" s="29">
        <f>IF(P58&lt;=0,0,ROUND(P58*$F$5/12,2))</f>
      </c>
      <c r="G59" s="29">
        <f>IF(Q58&lt;=0,0,ROUND(Q58*$G$5/12,2))</f>
      </c>
      <c r="H59" s="29">
        <f>IF(M58&lt;=0,0,MIN(M58+C59,$C$6+V59*$U59))</f>
      </c>
      <c r="I59" s="29">
        <f>IF(N58&lt;=0,0,MIN(N58+D59,$D$6+W59*$U59))</f>
      </c>
      <c r="J59" s="29">
        <f>IF(O58&lt;=0,0,MIN(O58+E59,$E$6+X59*$U59))</f>
      </c>
      <c r="K59" s="29">
        <f>IF(P58&lt;=0,0,MIN(P58+F59,$F$6+Y59*$U59))</f>
      </c>
      <c r="L59" s="29">
        <f>IF(Q58&lt;=0,0,MIN(Q58+G59,$G$6+Z59*$U59))</f>
      </c>
      <c r="M59" s="29">
        <f>ROUND(M58+C59-H59,2)</f>
      </c>
      <c r="N59" s="29">
        <f>ROUND(N58+D59-I59,2)</f>
      </c>
      <c r="O59" s="29">
        <f>ROUND(O58+E59-J59,2)</f>
      </c>
      <c r="P59" s="29">
        <f>ROUND(P58+F59-K59,2)</f>
      </c>
      <c r="Q59" s="29">
        <f>ROUND(Q58+G59-L59,2)</f>
      </c>
      <c r="R59" s="29">
        <f>SUM(H59:L59)</f>
      </c>
      <c r="S59" s="29">
        <f>SUM(C59:G59)</f>
      </c>
      <c r="T59" s="29">
        <f>SUM(M59:Q59)</f>
      </c>
      <c r="U59" s="30">
        <f>Debts!$B$13+SUMPRODUCT(($M58:$Q58&lt;=0)*$C$6:$G$6)</f>
      </c>
      <c r="V59" s="31">
        <f>IF(AND(M58&gt;0,SUMPRODUCT(($C$7:$G$7&lt;$C$7)*($M58:$Q58&gt;0))=0),1,0)</f>
      </c>
      <c r="W59" s="31">
        <f>IF(AND(N58&gt;0,SUMPRODUCT(($C$7:$G$7&lt;$D$7)*($M58:$Q58&gt;0))=0),1,0)</f>
      </c>
      <c r="X59" s="31">
        <f>IF(AND(O58&gt;0,SUMPRODUCT(($C$7:$G$7&lt;$E$7)*($M58:$Q58&gt;0))=0),1,0)</f>
      </c>
      <c r="Y59" s="31">
        <f>IF(AND(P58&gt;0,SUMPRODUCT(($C$7:$G$7&lt;$F$7)*($M58:$Q58&gt;0))=0),1,0)</f>
      </c>
      <c r="Z59" s="31">
        <f>IF(AND(Q58&gt;0,SUMPRODUCT(($C$7:$G$7&lt;$G$7)*($M58:$Q58&gt;0))=0),1,0)</f>
      </c>
    </row>
    <row r="60" spans="1:26" x14ac:dyDescent="0.25">
      <c r="A60" s="11">
        <f>A59+1</f>
      </c>
      <c r="B60" s="24">
        <f>EDATE(Debts!$B$14,A60)</f>
      </c>
      <c r="C60" s="25">
        <f>IF(M59&lt;=0,0,ROUND(M59*$C$5/12,2))</f>
      </c>
      <c r="D60" s="25">
        <f>IF(N59&lt;=0,0,ROUND(N59*$D$5/12,2))</f>
      </c>
      <c r="E60" s="25">
        <f>IF(O59&lt;=0,0,ROUND(O59*$E$5/12,2))</f>
      </c>
      <c r="F60" s="25">
        <f>IF(P59&lt;=0,0,ROUND(P59*$F$5/12,2))</f>
      </c>
      <c r="G60" s="25">
        <f>IF(Q59&lt;=0,0,ROUND(Q59*$G$5/12,2))</f>
      </c>
      <c r="H60" s="25">
        <f>IF(M59&lt;=0,0,MIN(M59+C60,$C$6+V60*$U60))</f>
      </c>
      <c r="I60" s="25">
        <f>IF(N59&lt;=0,0,MIN(N59+D60,$D$6+W60*$U60))</f>
      </c>
      <c r="J60" s="25">
        <f>IF(O59&lt;=0,0,MIN(O59+E60,$E$6+X60*$U60))</f>
      </c>
      <c r="K60" s="25">
        <f>IF(P59&lt;=0,0,MIN(P59+F60,$F$6+Y60*$U60))</f>
      </c>
      <c r="L60" s="25">
        <f>IF(Q59&lt;=0,0,MIN(Q59+G60,$G$6+Z60*$U60))</f>
      </c>
      <c r="M60" s="25">
        <f>ROUND(M59+C60-H60,2)</f>
      </c>
      <c r="N60" s="25">
        <f>ROUND(N59+D60-I60,2)</f>
      </c>
      <c r="O60" s="25">
        <f>ROUND(O59+E60-J60,2)</f>
      </c>
      <c r="P60" s="25">
        <f>ROUND(P59+F60-K60,2)</f>
      </c>
      <c r="Q60" s="25">
        <f>ROUND(Q59+G60-L60,2)</f>
      </c>
      <c r="R60" s="25">
        <f>SUM(H60:L60)</f>
      </c>
      <c r="S60" s="25">
        <f>SUM(C60:G60)</f>
      </c>
      <c r="T60" s="25">
        <f>SUM(M60:Q60)</f>
      </c>
      <c r="U60" s="26">
        <f>Debts!$B$13+SUMPRODUCT(($M59:$Q59&lt;=0)*$C$6:$G$6)</f>
      </c>
      <c r="V60" s="27">
        <f>IF(AND(M59&gt;0,SUMPRODUCT(($C$7:$G$7&lt;$C$7)*($M59:$Q59&gt;0))=0),1,0)</f>
      </c>
      <c r="W60" s="27">
        <f>IF(AND(N59&gt;0,SUMPRODUCT(($C$7:$G$7&lt;$D$7)*($M59:$Q59&gt;0))=0),1,0)</f>
      </c>
      <c r="X60" s="27">
        <f>IF(AND(O59&gt;0,SUMPRODUCT(($C$7:$G$7&lt;$E$7)*($M59:$Q59&gt;0))=0),1,0)</f>
      </c>
      <c r="Y60" s="27">
        <f>IF(AND(P59&gt;0,SUMPRODUCT(($C$7:$G$7&lt;$F$7)*($M59:$Q59&gt;0))=0),1,0)</f>
      </c>
      <c r="Z60" s="27">
        <f>IF(AND(Q59&gt;0,SUMPRODUCT(($C$7:$G$7&lt;$G$7)*($M59:$Q59&gt;0))=0),1,0)</f>
      </c>
    </row>
    <row r="61" spans="1:26" x14ac:dyDescent="0.25">
      <c r="A61" s="12">
        <f>A60+1</f>
      </c>
      <c r="B61" s="28">
        <f>EDATE(Debts!$B$14,A61)</f>
      </c>
      <c r="C61" s="29">
        <f>IF(M60&lt;=0,0,ROUND(M60*$C$5/12,2))</f>
      </c>
      <c r="D61" s="29">
        <f>IF(N60&lt;=0,0,ROUND(N60*$D$5/12,2))</f>
      </c>
      <c r="E61" s="29">
        <f>IF(O60&lt;=0,0,ROUND(O60*$E$5/12,2))</f>
      </c>
      <c r="F61" s="29">
        <f>IF(P60&lt;=0,0,ROUND(P60*$F$5/12,2))</f>
      </c>
      <c r="G61" s="29">
        <f>IF(Q60&lt;=0,0,ROUND(Q60*$G$5/12,2))</f>
      </c>
      <c r="H61" s="29">
        <f>IF(M60&lt;=0,0,MIN(M60+C61,$C$6+V61*$U61))</f>
      </c>
      <c r="I61" s="29">
        <f>IF(N60&lt;=0,0,MIN(N60+D61,$D$6+W61*$U61))</f>
      </c>
      <c r="J61" s="29">
        <f>IF(O60&lt;=0,0,MIN(O60+E61,$E$6+X61*$U61))</f>
      </c>
      <c r="K61" s="29">
        <f>IF(P60&lt;=0,0,MIN(P60+F61,$F$6+Y61*$U61))</f>
      </c>
      <c r="L61" s="29">
        <f>IF(Q60&lt;=0,0,MIN(Q60+G61,$G$6+Z61*$U61))</f>
      </c>
      <c r="M61" s="29">
        <f>ROUND(M60+C61-H61,2)</f>
      </c>
      <c r="N61" s="29">
        <f>ROUND(N60+D61-I61,2)</f>
      </c>
      <c r="O61" s="29">
        <f>ROUND(O60+E61-J61,2)</f>
      </c>
      <c r="P61" s="29">
        <f>ROUND(P60+F61-K61,2)</f>
      </c>
      <c r="Q61" s="29">
        <f>ROUND(Q60+G61-L61,2)</f>
      </c>
      <c r="R61" s="29">
        <f>SUM(H61:L61)</f>
      </c>
      <c r="S61" s="29">
        <f>SUM(C61:G61)</f>
      </c>
      <c r="T61" s="29">
        <f>SUM(M61:Q61)</f>
      </c>
      <c r="U61" s="30">
        <f>Debts!$B$13+SUMPRODUCT(($M60:$Q60&lt;=0)*$C$6:$G$6)</f>
      </c>
      <c r="V61" s="31">
        <f>IF(AND(M60&gt;0,SUMPRODUCT(($C$7:$G$7&lt;$C$7)*($M60:$Q60&gt;0))=0),1,0)</f>
      </c>
      <c r="W61" s="31">
        <f>IF(AND(N60&gt;0,SUMPRODUCT(($C$7:$G$7&lt;$D$7)*($M60:$Q60&gt;0))=0),1,0)</f>
      </c>
      <c r="X61" s="31">
        <f>IF(AND(O60&gt;0,SUMPRODUCT(($C$7:$G$7&lt;$E$7)*($M60:$Q60&gt;0))=0),1,0)</f>
      </c>
      <c r="Y61" s="31">
        <f>IF(AND(P60&gt;0,SUMPRODUCT(($C$7:$G$7&lt;$F$7)*($M60:$Q60&gt;0))=0),1,0)</f>
      </c>
      <c r="Z61" s="31">
        <f>IF(AND(Q60&gt;0,SUMPRODUCT(($C$7:$G$7&lt;$G$7)*($M60:$Q60&gt;0))=0),1,0)</f>
      </c>
    </row>
    <row r="62" spans="1:26" x14ac:dyDescent="0.25">
      <c r="A62" s="11">
        <f>A61+1</f>
      </c>
      <c r="B62" s="24">
        <f>EDATE(Debts!$B$14,A62)</f>
      </c>
      <c r="C62" s="25">
        <f>IF(M61&lt;=0,0,ROUND(M61*$C$5/12,2))</f>
      </c>
      <c r="D62" s="25">
        <f>IF(N61&lt;=0,0,ROUND(N61*$D$5/12,2))</f>
      </c>
      <c r="E62" s="25">
        <f>IF(O61&lt;=0,0,ROUND(O61*$E$5/12,2))</f>
      </c>
      <c r="F62" s="25">
        <f>IF(P61&lt;=0,0,ROUND(P61*$F$5/12,2))</f>
      </c>
      <c r="G62" s="25">
        <f>IF(Q61&lt;=0,0,ROUND(Q61*$G$5/12,2))</f>
      </c>
      <c r="H62" s="25">
        <f>IF(M61&lt;=0,0,MIN(M61+C62,$C$6+V62*$U62))</f>
      </c>
      <c r="I62" s="25">
        <f>IF(N61&lt;=0,0,MIN(N61+D62,$D$6+W62*$U62))</f>
      </c>
      <c r="J62" s="25">
        <f>IF(O61&lt;=0,0,MIN(O61+E62,$E$6+X62*$U62))</f>
      </c>
      <c r="K62" s="25">
        <f>IF(P61&lt;=0,0,MIN(P61+F62,$F$6+Y62*$U62))</f>
      </c>
      <c r="L62" s="25">
        <f>IF(Q61&lt;=0,0,MIN(Q61+G62,$G$6+Z62*$U62))</f>
      </c>
      <c r="M62" s="25">
        <f>ROUND(M61+C62-H62,2)</f>
      </c>
      <c r="N62" s="25">
        <f>ROUND(N61+D62-I62,2)</f>
      </c>
      <c r="O62" s="25">
        <f>ROUND(O61+E62-J62,2)</f>
      </c>
      <c r="P62" s="25">
        <f>ROUND(P61+F62-K62,2)</f>
      </c>
      <c r="Q62" s="25">
        <f>ROUND(Q61+G62-L62,2)</f>
      </c>
      <c r="R62" s="25">
        <f>SUM(H62:L62)</f>
      </c>
      <c r="S62" s="25">
        <f>SUM(C62:G62)</f>
      </c>
      <c r="T62" s="25">
        <f>SUM(M62:Q62)</f>
      </c>
      <c r="U62" s="26">
        <f>Debts!$B$13+SUMPRODUCT(($M61:$Q61&lt;=0)*$C$6:$G$6)</f>
      </c>
      <c r="V62" s="27">
        <f>IF(AND(M61&gt;0,SUMPRODUCT(($C$7:$G$7&lt;$C$7)*($M61:$Q61&gt;0))=0),1,0)</f>
      </c>
      <c r="W62" s="27">
        <f>IF(AND(N61&gt;0,SUMPRODUCT(($C$7:$G$7&lt;$D$7)*($M61:$Q61&gt;0))=0),1,0)</f>
      </c>
      <c r="X62" s="27">
        <f>IF(AND(O61&gt;0,SUMPRODUCT(($C$7:$G$7&lt;$E$7)*($M61:$Q61&gt;0))=0),1,0)</f>
      </c>
      <c r="Y62" s="27">
        <f>IF(AND(P61&gt;0,SUMPRODUCT(($C$7:$G$7&lt;$F$7)*($M61:$Q61&gt;0))=0),1,0)</f>
      </c>
      <c r="Z62" s="27">
        <f>IF(AND(Q61&gt;0,SUMPRODUCT(($C$7:$G$7&lt;$G$7)*($M61:$Q61&gt;0))=0),1,0)</f>
      </c>
    </row>
    <row r="63" spans="1:26" x14ac:dyDescent="0.25">
      <c r="A63" s="12">
        <f>A62+1</f>
      </c>
      <c r="B63" s="28">
        <f>EDATE(Debts!$B$14,A63)</f>
      </c>
      <c r="C63" s="29">
        <f>IF(M62&lt;=0,0,ROUND(M62*$C$5/12,2))</f>
      </c>
      <c r="D63" s="29">
        <f>IF(N62&lt;=0,0,ROUND(N62*$D$5/12,2))</f>
      </c>
      <c r="E63" s="29">
        <f>IF(O62&lt;=0,0,ROUND(O62*$E$5/12,2))</f>
      </c>
      <c r="F63" s="29">
        <f>IF(P62&lt;=0,0,ROUND(P62*$F$5/12,2))</f>
      </c>
      <c r="G63" s="29">
        <f>IF(Q62&lt;=0,0,ROUND(Q62*$G$5/12,2))</f>
      </c>
      <c r="H63" s="29">
        <f>IF(M62&lt;=0,0,MIN(M62+C63,$C$6+V63*$U63))</f>
      </c>
      <c r="I63" s="29">
        <f>IF(N62&lt;=0,0,MIN(N62+D63,$D$6+W63*$U63))</f>
      </c>
      <c r="J63" s="29">
        <f>IF(O62&lt;=0,0,MIN(O62+E63,$E$6+X63*$U63))</f>
      </c>
      <c r="K63" s="29">
        <f>IF(P62&lt;=0,0,MIN(P62+F63,$F$6+Y63*$U63))</f>
      </c>
      <c r="L63" s="29">
        <f>IF(Q62&lt;=0,0,MIN(Q62+G63,$G$6+Z63*$U63))</f>
      </c>
      <c r="M63" s="29">
        <f>ROUND(M62+C63-H63,2)</f>
      </c>
      <c r="N63" s="29">
        <f>ROUND(N62+D63-I63,2)</f>
      </c>
      <c r="O63" s="29">
        <f>ROUND(O62+E63-J63,2)</f>
      </c>
      <c r="P63" s="29">
        <f>ROUND(P62+F63-K63,2)</f>
      </c>
      <c r="Q63" s="29">
        <f>ROUND(Q62+G63-L63,2)</f>
      </c>
      <c r="R63" s="29">
        <f>SUM(H63:L63)</f>
      </c>
      <c r="S63" s="29">
        <f>SUM(C63:G63)</f>
      </c>
      <c r="T63" s="29">
        <f>SUM(M63:Q63)</f>
      </c>
      <c r="U63" s="30">
        <f>Debts!$B$13+SUMPRODUCT(($M62:$Q62&lt;=0)*$C$6:$G$6)</f>
      </c>
      <c r="V63" s="31">
        <f>IF(AND(M62&gt;0,SUMPRODUCT(($C$7:$G$7&lt;$C$7)*($M62:$Q62&gt;0))=0),1,0)</f>
      </c>
      <c r="W63" s="31">
        <f>IF(AND(N62&gt;0,SUMPRODUCT(($C$7:$G$7&lt;$D$7)*($M62:$Q62&gt;0))=0),1,0)</f>
      </c>
      <c r="X63" s="31">
        <f>IF(AND(O62&gt;0,SUMPRODUCT(($C$7:$G$7&lt;$E$7)*($M62:$Q62&gt;0))=0),1,0)</f>
      </c>
      <c r="Y63" s="31">
        <f>IF(AND(P62&gt;0,SUMPRODUCT(($C$7:$G$7&lt;$F$7)*($M62:$Q62&gt;0))=0),1,0)</f>
      </c>
      <c r="Z63" s="31">
        <f>IF(AND(Q62&gt;0,SUMPRODUCT(($C$7:$G$7&lt;$G$7)*($M62:$Q62&gt;0))=0),1,0)</f>
      </c>
    </row>
    <row r="64" spans="1:26" x14ac:dyDescent="0.25">
      <c r="A64" s="11">
        <f>A63+1</f>
      </c>
      <c r="B64" s="24">
        <f>EDATE(Debts!$B$14,A64)</f>
      </c>
      <c r="C64" s="25">
        <f>IF(M63&lt;=0,0,ROUND(M63*$C$5/12,2))</f>
      </c>
      <c r="D64" s="25">
        <f>IF(N63&lt;=0,0,ROUND(N63*$D$5/12,2))</f>
      </c>
      <c r="E64" s="25">
        <f>IF(O63&lt;=0,0,ROUND(O63*$E$5/12,2))</f>
      </c>
      <c r="F64" s="25">
        <f>IF(P63&lt;=0,0,ROUND(P63*$F$5/12,2))</f>
      </c>
      <c r="G64" s="25">
        <f>IF(Q63&lt;=0,0,ROUND(Q63*$G$5/12,2))</f>
      </c>
      <c r="H64" s="25">
        <f>IF(M63&lt;=0,0,MIN(M63+C64,$C$6+V64*$U64))</f>
      </c>
      <c r="I64" s="25">
        <f>IF(N63&lt;=0,0,MIN(N63+D64,$D$6+W64*$U64))</f>
      </c>
      <c r="J64" s="25">
        <f>IF(O63&lt;=0,0,MIN(O63+E64,$E$6+X64*$U64))</f>
      </c>
      <c r="K64" s="25">
        <f>IF(P63&lt;=0,0,MIN(P63+F64,$F$6+Y64*$U64))</f>
      </c>
      <c r="L64" s="25">
        <f>IF(Q63&lt;=0,0,MIN(Q63+G64,$G$6+Z64*$U64))</f>
      </c>
      <c r="M64" s="25">
        <f>ROUND(M63+C64-H64,2)</f>
      </c>
      <c r="N64" s="25">
        <f>ROUND(N63+D64-I64,2)</f>
      </c>
      <c r="O64" s="25">
        <f>ROUND(O63+E64-J64,2)</f>
      </c>
      <c r="P64" s="25">
        <f>ROUND(P63+F64-K64,2)</f>
      </c>
      <c r="Q64" s="25">
        <f>ROUND(Q63+G64-L64,2)</f>
      </c>
      <c r="R64" s="25">
        <f>SUM(H64:L64)</f>
      </c>
      <c r="S64" s="25">
        <f>SUM(C64:G64)</f>
      </c>
      <c r="T64" s="25">
        <f>SUM(M64:Q64)</f>
      </c>
      <c r="U64" s="26">
        <f>Debts!$B$13+SUMPRODUCT(($M63:$Q63&lt;=0)*$C$6:$G$6)</f>
      </c>
      <c r="V64" s="27">
        <f>IF(AND(M63&gt;0,SUMPRODUCT(($C$7:$G$7&lt;$C$7)*($M63:$Q63&gt;0))=0),1,0)</f>
      </c>
      <c r="W64" s="27">
        <f>IF(AND(N63&gt;0,SUMPRODUCT(($C$7:$G$7&lt;$D$7)*($M63:$Q63&gt;0))=0),1,0)</f>
      </c>
      <c r="X64" s="27">
        <f>IF(AND(O63&gt;0,SUMPRODUCT(($C$7:$G$7&lt;$E$7)*($M63:$Q63&gt;0))=0),1,0)</f>
      </c>
      <c r="Y64" s="27">
        <f>IF(AND(P63&gt;0,SUMPRODUCT(($C$7:$G$7&lt;$F$7)*($M63:$Q63&gt;0))=0),1,0)</f>
      </c>
      <c r="Z64" s="27">
        <f>IF(AND(Q63&gt;0,SUMPRODUCT(($C$7:$G$7&lt;$G$7)*($M63:$Q63&gt;0))=0),1,0)</f>
      </c>
    </row>
    <row r="65" spans="1:26" x14ac:dyDescent="0.25">
      <c r="A65" s="12">
        <f>A64+1</f>
      </c>
      <c r="B65" s="28">
        <f>EDATE(Debts!$B$14,A65)</f>
      </c>
      <c r="C65" s="29">
        <f>IF(M64&lt;=0,0,ROUND(M64*$C$5/12,2))</f>
      </c>
      <c r="D65" s="29">
        <f>IF(N64&lt;=0,0,ROUND(N64*$D$5/12,2))</f>
      </c>
      <c r="E65" s="29">
        <f>IF(O64&lt;=0,0,ROUND(O64*$E$5/12,2))</f>
      </c>
      <c r="F65" s="29">
        <f>IF(P64&lt;=0,0,ROUND(P64*$F$5/12,2))</f>
      </c>
      <c r="G65" s="29">
        <f>IF(Q64&lt;=0,0,ROUND(Q64*$G$5/12,2))</f>
      </c>
      <c r="H65" s="29">
        <f>IF(M64&lt;=0,0,MIN(M64+C65,$C$6+V65*$U65))</f>
      </c>
      <c r="I65" s="29">
        <f>IF(N64&lt;=0,0,MIN(N64+D65,$D$6+W65*$U65))</f>
      </c>
      <c r="J65" s="29">
        <f>IF(O64&lt;=0,0,MIN(O64+E65,$E$6+X65*$U65))</f>
      </c>
      <c r="K65" s="29">
        <f>IF(P64&lt;=0,0,MIN(P64+F65,$F$6+Y65*$U65))</f>
      </c>
      <c r="L65" s="29">
        <f>IF(Q64&lt;=0,0,MIN(Q64+G65,$G$6+Z65*$U65))</f>
      </c>
      <c r="M65" s="29">
        <f>ROUND(M64+C65-H65,2)</f>
      </c>
      <c r="N65" s="29">
        <f>ROUND(N64+D65-I65,2)</f>
      </c>
      <c r="O65" s="29">
        <f>ROUND(O64+E65-J65,2)</f>
      </c>
      <c r="P65" s="29">
        <f>ROUND(P64+F65-K65,2)</f>
      </c>
      <c r="Q65" s="29">
        <f>ROUND(Q64+G65-L65,2)</f>
      </c>
      <c r="R65" s="29">
        <f>SUM(H65:L65)</f>
      </c>
      <c r="S65" s="29">
        <f>SUM(C65:G65)</f>
      </c>
      <c r="T65" s="29">
        <f>SUM(M65:Q65)</f>
      </c>
      <c r="U65" s="30">
        <f>Debts!$B$13+SUMPRODUCT(($M64:$Q64&lt;=0)*$C$6:$G$6)</f>
      </c>
      <c r="V65" s="31">
        <f>IF(AND(M64&gt;0,SUMPRODUCT(($C$7:$G$7&lt;$C$7)*($M64:$Q64&gt;0))=0),1,0)</f>
      </c>
      <c r="W65" s="31">
        <f>IF(AND(N64&gt;0,SUMPRODUCT(($C$7:$G$7&lt;$D$7)*($M64:$Q64&gt;0))=0),1,0)</f>
      </c>
      <c r="X65" s="31">
        <f>IF(AND(O64&gt;0,SUMPRODUCT(($C$7:$G$7&lt;$E$7)*($M64:$Q64&gt;0))=0),1,0)</f>
      </c>
      <c r="Y65" s="31">
        <f>IF(AND(P64&gt;0,SUMPRODUCT(($C$7:$G$7&lt;$F$7)*($M64:$Q64&gt;0))=0),1,0)</f>
      </c>
      <c r="Z65" s="31">
        <f>IF(AND(Q64&gt;0,SUMPRODUCT(($C$7:$G$7&lt;$G$7)*($M64:$Q64&gt;0))=0),1,0)</f>
      </c>
    </row>
    <row r="66" spans="1:26" x14ac:dyDescent="0.25">
      <c r="A66" s="11">
        <f>A65+1</f>
      </c>
      <c r="B66" s="24">
        <f>EDATE(Debts!$B$14,A66)</f>
      </c>
      <c r="C66" s="25">
        <f>IF(M65&lt;=0,0,ROUND(M65*$C$5/12,2))</f>
      </c>
      <c r="D66" s="25">
        <f>IF(N65&lt;=0,0,ROUND(N65*$D$5/12,2))</f>
      </c>
      <c r="E66" s="25">
        <f>IF(O65&lt;=0,0,ROUND(O65*$E$5/12,2))</f>
      </c>
      <c r="F66" s="25">
        <f>IF(P65&lt;=0,0,ROUND(P65*$F$5/12,2))</f>
      </c>
      <c r="G66" s="25">
        <f>IF(Q65&lt;=0,0,ROUND(Q65*$G$5/12,2))</f>
      </c>
      <c r="H66" s="25">
        <f>IF(M65&lt;=0,0,MIN(M65+C66,$C$6+V66*$U66))</f>
      </c>
      <c r="I66" s="25">
        <f>IF(N65&lt;=0,0,MIN(N65+D66,$D$6+W66*$U66))</f>
      </c>
      <c r="J66" s="25">
        <f>IF(O65&lt;=0,0,MIN(O65+E66,$E$6+X66*$U66))</f>
      </c>
      <c r="K66" s="25">
        <f>IF(P65&lt;=0,0,MIN(P65+F66,$F$6+Y66*$U66))</f>
      </c>
      <c r="L66" s="25">
        <f>IF(Q65&lt;=0,0,MIN(Q65+G66,$G$6+Z66*$U66))</f>
      </c>
      <c r="M66" s="25">
        <f>ROUND(M65+C66-H66,2)</f>
      </c>
      <c r="N66" s="25">
        <f>ROUND(N65+D66-I66,2)</f>
      </c>
      <c r="O66" s="25">
        <f>ROUND(O65+E66-J66,2)</f>
      </c>
      <c r="P66" s="25">
        <f>ROUND(P65+F66-K66,2)</f>
      </c>
      <c r="Q66" s="25">
        <f>ROUND(Q65+G66-L66,2)</f>
      </c>
      <c r="R66" s="25">
        <f>SUM(H66:L66)</f>
      </c>
      <c r="S66" s="25">
        <f>SUM(C66:G66)</f>
      </c>
      <c r="T66" s="25">
        <f>SUM(M66:Q66)</f>
      </c>
      <c r="U66" s="26">
        <f>Debts!$B$13+SUMPRODUCT(($M65:$Q65&lt;=0)*$C$6:$G$6)</f>
      </c>
      <c r="V66" s="27">
        <f>IF(AND(M65&gt;0,SUMPRODUCT(($C$7:$G$7&lt;$C$7)*($M65:$Q65&gt;0))=0),1,0)</f>
      </c>
      <c r="W66" s="27">
        <f>IF(AND(N65&gt;0,SUMPRODUCT(($C$7:$G$7&lt;$D$7)*($M65:$Q65&gt;0))=0),1,0)</f>
      </c>
      <c r="X66" s="27">
        <f>IF(AND(O65&gt;0,SUMPRODUCT(($C$7:$G$7&lt;$E$7)*($M65:$Q65&gt;0))=0),1,0)</f>
      </c>
      <c r="Y66" s="27">
        <f>IF(AND(P65&gt;0,SUMPRODUCT(($C$7:$G$7&lt;$F$7)*($M65:$Q65&gt;0))=0),1,0)</f>
      </c>
      <c r="Z66" s="27">
        <f>IF(AND(Q65&gt;0,SUMPRODUCT(($C$7:$G$7&lt;$G$7)*($M65:$Q65&gt;0))=0),1,0)</f>
      </c>
    </row>
    <row r="67" spans="1:26" x14ac:dyDescent="0.25">
      <c r="A67" s="12">
        <f>A66+1</f>
      </c>
      <c r="B67" s="28">
        <f>EDATE(Debts!$B$14,A67)</f>
      </c>
      <c r="C67" s="29">
        <f>IF(M66&lt;=0,0,ROUND(M66*$C$5/12,2))</f>
      </c>
      <c r="D67" s="29">
        <f>IF(N66&lt;=0,0,ROUND(N66*$D$5/12,2))</f>
      </c>
      <c r="E67" s="29">
        <f>IF(O66&lt;=0,0,ROUND(O66*$E$5/12,2))</f>
      </c>
      <c r="F67" s="29">
        <f>IF(P66&lt;=0,0,ROUND(P66*$F$5/12,2))</f>
      </c>
      <c r="G67" s="29">
        <f>IF(Q66&lt;=0,0,ROUND(Q66*$G$5/12,2))</f>
      </c>
      <c r="H67" s="29">
        <f>IF(M66&lt;=0,0,MIN(M66+C67,$C$6+V67*$U67))</f>
      </c>
      <c r="I67" s="29">
        <f>IF(N66&lt;=0,0,MIN(N66+D67,$D$6+W67*$U67))</f>
      </c>
      <c r="J67" s="29">
        <f>IF(O66&lt;=0,0,MIN(O66+E67,$E$6+X67*$U67))</f>
      </c>
      <c r="K67" s="29">
        <f>IF(P66&lt;=0,0,MIN(P66+F67,$F$6+Y67*$U67))</f>
      </c>
      <c r="L67" s="29">
        <f>IF(Q66&lt;=0,0,MIN(Q66+G67,$G$6+Z67*$U67))</f>
      </c>
      <c r="M67" s="29">
        <f>ROUND(M66+C67-H67,2)</f>
      </c>
      <c r="N67" s="29">
        <f>ROUND(N66+D67-I67,2)</f>
      </c>
      <c r="O67" s="29">
        <f>ROUND(O66+E67-J67,2)</f>
      </c>
      <c r="P67" s="29">
        <f>ROUND(P66+F67-K67,2)</f>
      </c>
      <c r="Q67" s="29">
        <f>ROUND(Q66+G67-L67,2)</f>
      </c>
      <c r="R67" s="29">
        <f>SUM(H67:L67)</f>
      </c>
      <c r="S67" s="29">
        <f>SUM(C67:G67)</f>
      </c>
      <c r="T67" s="29">
        <f>SUM(M67:Q67)</f>
      </c>
      <c r="U67" s="30">
        <f>Debts!$B$13+SUMPRODUCT(($M66:$Q66&lt;=0)*$C$6:$G$6)</f>
      </c>
      <c r="V67" s="31">
        <f>IF(AND(M66&gt;0,SUMPRODUCT(($C$7:$G$7&lt;$C$7)*($M66:$Q66&gt;0))=0),1,0)</f>
      </c>
      <c r="W67" s="31">
        <f>IF(AND(N66&gt;0,SUMPRODUCT(($C$7:$G$7&lt;$D$7)*($M66:$Q66&gt;0))=0),1,0)</f>
      </c>
      <c r="X67" s="31">
        <f>IF(AND(O66&gt;0,SUMPRODUCT(($C$7:$G$7&lt;$E$7)*($M66:$Q66&gt;0))=0),1,0)</f>
      </c>
      <c r="Y67" s="31">
        <f>IF(AND(P66&gt;0,SUMPRODUCT(($C$7:$G$7&lt;$F$7)*($M66:$Q66&gt;0))=0),1,0)</f>
      </c>
      <c r="Z67" s="31">
        <f>IF(AND(Q66&gt;0,SUMPRODUCT(($C$7:$G$7&lt;$G$7)*($M66:$Q66&gt;0))=0),1,0)</f>
      </c>
    </row>
    <row r="68" spans="1:26" x14ac:dyDescent="0.25">
      <c r="A68" s="11">
        <f>A67+1</f>
      </c>
      <c r="B68" s="24">
        <f>EDATE(Debts!$B$14,A68)</f>
      </c>
      <c r="C68" s="25">
        <f>IF(M67&lt;=0,0,ROUND(M67*$C$5/12,2))</f>
      </c>
      <c r="D68" s="25">
        <f>IF(N67&lt;=0,0,ROUND(N67*$D$5/12,2))</f>
      </c>
      <c r="E68" s="25">
        <f>IF(O67&lt;=0,0,ROUND(O67*$E$5/12,2))</f>
      </c>
      <c r="F68" s="25">
        <f>IF(P67&lt;=0,0,ROUND(P67*$F$5/12,2))</f>
      </c>
      <c r="G68" s="25">
        <f>IF(Q67&lt;=0,0,ROUND(Q67*$G$5/12,2))</f>
      </c>
      <c r="H68" s="25">
        <f>IF(M67&lt;=0,0,MIN(M67+C68,$C$6+V68*$U68))</f>
      </c>
      <c r="I68" s="25">
        <f>IF(N67&lt;=0,0,MIN(N67+D68,$D$6+W68*$U68))</f>
      </c>
      <c r="J68" s="25">
        <f>IF(O67&lt;=0,0,MIN(O67+E68,$E$6+X68*$U68))</f>
      </c>
      <c r="K68" s="25">
        <f>IF(P67&lt;=0,0,MIN(P67+F68,$F$6+Y68*$U68))</f>
      </c>
      <c r="L68" s="25">
        <f>IF(Q67&lt;=0,0,MIN(Q67+G68,$G$6+Z68*$U68))</f>
      </c>
      <c r="M68" s="25">
        <f>ROUND(M67+C68-H68,2)</f>
      </c>
      <c r="N68" s="25">
        <f>ROUND(N67+D68-I68,2)</f>
      </c>
      <c r="O68" s="25">
        <f>ROUND(O67+E68-J68,2)</f>
      </c>
      <c r="P68" s="25">
        <f>ROUND(P67+F68-K68,2)</f>
      </c>
      <c r="Q68" s="25">
        <f>ROUND(Q67+G68-L68,2)</f>
      </c>
      <c r="R68" s="25">
        <f>SUM(H68:L68)</f>
      </c>
      <c r="S68" s="25">
        <f>SUM(C68:G68)</f>
      </c>
      <c r="T68" s="25">
        <f>SUM(M68:Q68)</f>
      </c>
      <c r="U68" s="26">
        <f>Debts!$B$13+SUMPRODUCT(($M67:$Q67&lt;=0)*$C$6:$G$6)</f>
      </c>
      <c r="V68" s="27">
        <f>IF(AND(M67&gt;0,SUMPRODUCT(($C$7:$G$7&lt;$C$7)*($M67:$Q67&gt;0))=0),1,0)</f>
      </c>
      <c r="W68" s="27">
        <f>IF(AND(N67&gt;0,SUMPRODUCT(($C$7:$G$7&lt;$D$7)*($M67:$Q67&gt;0))=0),1,0)</f>
      </c>
      <c r="X68" s="27">
        <f>IF(AND(O67&gt;0,SUMPRODUCT(($C$7:$G$7&lt;$E$7)*($M67:$Q67&gt;0))=0),1,0)</f>
      </c>
      <c r="Y68" s="27">
        <f>IF(AND(P67&gt;0,SUMPRODUCT(($C$7:$G$7&lt;$F$7)*($M67:$Q67&gt;0))=0),1,0)</f>
      </c>
      <c r="Z68" s="27">
        <f>IF(AND(Q67&gt;0,SUMPRODUCT(($C$7:$G$7&lt;$G$7)*($M67:$Q67&gt;0))=0),1,0)</f>
      </c>
    </row>
    <row r="69" spans="1:26" x14ac:dyDescent="0.25">
      <c r="A69" s="12">
        <f>A68+1</f>
      </c>
      <c r="B69" s="28">
        <f>EDATE(Debts!$B$14,A69)</f>
      </c>
      <c r="C69" s="29">
        <f>IF(M68&lt;=0,0,ROUND(M68*$C$5/12,2))</f>
      </c>
      <c r="D69" s="29">
        <f>IF(N68&lt;=0,0,ROUND(N68*$D$5/12,2))</f>
      </c>
      <c r="E69" s="29">
        <f>IF(O68&lt;=0,0,ROUND(O68*$E$5/12,2))</f>
      </c>
      <c r="F69" s="29">
        <f>IF(P68&lt;=0,0,ROUND(P68*$F$5/12,2))</f>
      </c>
      <c r="G69" s="29">
        <f>IF(Q68&lt;=0,0,ROUND(Q68*$G$5/12,2))</f>
      </c>
      <c r="H69" s="29">
        <f>IF(M68&lt;=0,0,MIN(M68+C69,$C$6+V69*$U69))</f>
      </c>
      <c r="I69" s="29">
        <f>IF(N68&lt;=0,0,MIN(N68+D69,$D$6+W69*$U69))</f>
      </c>
      <c r="J69" s="29">
        <f>IF(O68&lt;=0,0,MIN(O68+E69,$E$6+X69*$U69))</f>
      </c>
      <c r="K69" s="29">
        <f>IF(P68&lt;=0,0,MIN(P68+F69,$F$6+Y69*$U69))</f>
      </c>
      <c r="L69" s="29">
        <f>IF(Q68&lt;=0,0,MIN(Q68+G69,$G$6+Z69*$U69))</f>
      </c>
      <c r="M69" s="29">
        <f>ROUND(M68+C69-H69,2)</f>
      </c>
      <c r="N69" s="29">
        <f>ROUND(N68+D69-I69,2)</f>
      </c>
      <c r="O69" s="29">
        <f>ROUND(O68+E69-J69,2)</f>
      </c>
      <c r="P69" s="29">
        <f>ROUND(P68+F69-K69,2)</f>
      </c>
      <c r="Q69" s="29">
        <f>ROUND(Q68+G69-L69,2)</f>
      </c>
      <c r="R69" s="29">
        <f>SUM(H69:L69)</f>
      </c>
      <c r="S69" s="29">
        <f>SUM(C69:G69)</f>
      </c>
      <c r="T69" s="29">
        <f>SUM(M69:Q69)</f>
      </c>
      <c r="U69" s="30">
        <f>Debts!$B$13+SUMPRODUCT(($M68:$Q68&lt;=0)*$C$6:$G$6)</f>
      </c>
      <c r="V69" s="31">
        <f>IF(AND(M68&gt;0,SUMPRODUCT(($C$7:$G$7&lt;$C$7)*($M68:$Q68&gt;0))=0),1,0)</f>
      </c>
      <c r="W69" s="31">
        <f>IF(AND(N68&gt;0,SUMPRODUCT(($C$7:$G$7&lt;$D$7)*($M68:$Q68&gt;0))=0),1,0)</f>
      </c>
      <c r="X69" s="31">
        <f>IF(AND(O68&gt;0,SUMPRODUCT(($C$7:$G$7&lt;$E$7)*($M68:$Q68&gt;0))=0),1,0)</f>
      </c>
      <c r="Y69" s="31">
        <f>IF(AND(P68&gt;0,SUMPRODUCT(($C$7:$G$7&lt;$F$7)*($M68:$Q68&gt;0))=0),1,0)</f>
      </c>
      <c r="Z69" s="31">
        <f>IF(AND(Q68&gt;0,SUMPRODUCT(($C$7:$G$7&lt;$G$7)*($M68:$Q68&gt;0))=0),1,0)</f>
      </c>
    </row>
    <row r="70" spans="1:26" x14ac:dyDescent="0.25">
      <c r="A70" s="11">
        <f>A69+1</f>
      </c>
      <c r="B70" s="24">
        <f>EDATE(Debts!$B$14,A70)</f>
      </c>
      <c r="C70" s="25">
        <f>IF(M69&lt;=0,0,ROUND(M69*$C$5/12,2))</f>
      </c>
      <c r="D70" s="25">
        <f>IF(N69&lt;=0,0,ROUND(N69*$D$5/12,2))</f>
      </c>
      <c r="E70" s="25">
        <f>IF(O69&lt;=0,0,ROUND(O69*$E$5/12,2))</f>
      </c>
      <c r="F70" s="25">
        <f>IF(P69&lt;=0,0,ROUND(P69*$F$5/12,2))</f>
      </c>
      <c r="G70" s="25">
        <f>IF(Q69&lt;=0,0,ROUND(Q69*$G$5/12,2))</f>
      </c>
      <c r="H70" s="25">
        <f>IF(M69&lt;=0,0,MIN(M69+C70,$C$6+V70*$U70))</f>
      </c>
      <c r="I70" s="25">
        <f>IF(N69&lt;=0,0,MIN(N69+D70,$D$6+W70*$U70))</f>
      </c>
      <c r="J70" s="25">
        <f>IF(O69&lt;=0,0,MIN(O69+E70,$E$6+X70*$U70))</f>
      </c>
      <c r="K70" s="25">
        <f>IF(P69&lt;=0,0,MIN(P69+F70,$F$6+Y70*$U70))</f>
      </c>
      <c r="L70" s="25">
        <f>IF(Q69&lt;=0,0,MIN(Q69+G70,$G$6+Z70*$U70))</f>
      </c>
      <c r="M70" s="25">
        <f>ROUND(M69+C70-H70,2)</f>
      </c>
      <c r="N70" s="25">
        <f>ROUND(N69+D70-I70,2)</f>
      </c>
      <c r="O70" s="25">
        <f>ROUND(O69+E70-J70,2)</f>
      </c>
      <c r="P70" s="25">
        <f>ROUND(P69+F70-K70,2)</f>
      </c>
      <c r="Q70" s="25">
        <f>ROUND(Q69+G70-L70,2)</f>
      </c>
      <c r="R70" s="25">
        <f>SUM(H70:L70)</f>
      </c>
      <c r="S70" s="25">
        <f>SUM(C70:G70)</f>
      </c>
      <c r="T70" s="25">
        <f>SUM(M70:Q70)</f>
      </c>
      <c r="U70" s="26">
        <f>Debts!$B$13+SUMPRODUCT(($M69:$Q69&lt;=0)*$C$6:$G$6)</f>
      </c>
      <c r="V70" s="27">
        <f>IF(AND(M69&gt;0,SUMPRODUCT(($C$7:$G$7&lt;$C$7)*($M69:$Q69&gt;0))=0),1,0)</f>
      </c>
      <c r="W70" s="27">
        <f>IF(AND(N69&gt;0,SUMPRODUCT(($C$7:$G$7&lt;$D$7)*($M69:$Q69&gt;0))=0),1,0)</f>
      </c>
      <c r="X70" s="27">
        <f>IF(AND(O69&gt;0,SUMPRODUCT(($C$7:$G$7&lt;$E$7)*($M69:$Q69&gt;0))=0),1,0)</f>
      </c>
      <c r="Y70" s="27">
        <f>IF(AND(P69&gt;0,SUMPRODUCT(($C$7:$G$7&lt;$F$7)*($M69:$Q69&gt;0))=0),1,0)</f>
      </c>
      <c r="Z70" s="27">
        <f>IF(AND(Q69&gt;0,SUMPRODUCT(($C$7:$G$7&lt;$G$7)*($M69:$Q69&gt;0))=0),1,0)</f>
      </c>
    </row>
    <row r="71" spans="1:26" x14ac:dyDescent="0.25">
      <c r="A71" s="12">
        <f>A70+1</f>
      </c>
      <c r="B71" s="28">
        <f>EDATE(Debts!$B$14,A71)</f>
      </c>
      <c r="C71" s="29">
        <f>IF(M70&lt;=0,0,ROUND(M70*$C$5/12,2))</f>
      </c>
      <c r="D71" s="29">
        <f>IF(N70&lt;=0,0,ROUND(N70*$D$5/12,2))</f>
      </c>
      <c r="E71" s="29">
        <f>IF(O70&lt;=0,0,ROUND(O70*$E$5/12,2))</f>
      </c>
      <c r="F71" s="29">
        <f>IF(P70&lt;=0,0,ROUND(P70*$F$5/12,2))</f>
      </c>
      <c r="G71" s="29">
        <f>IF(Q70&lt;=0,0,ROUND(Q70*$G$5/12,2))</f>
      </c>
      <c r="H71" s="29">
        <f>IF(M70&lt;=0,0,MIN(M70+C71,$C$6+V71*$U71))</f>
      </c>
      <c r="I71" s="29">
        <f>IF(N70&lt;=0,0,MIN(N70+D71,$D$6+W71*$U71))</f>
      </c>
      <c r="J71" s="29">
        <f>IF(O70&lt;=0,0,MIN(O70+E71,$E$6+X71*$U71))</f>
      </c>
      <c r="K71" s="29">
        <f>IF(P70&lt;=0,0,MIN(P70+F71,$F$6+Y71*$U71))</f>
      </c>
      <c r="L71" s="29">
        <f>IF(Q70&lt;=0,0,MIN(Q70+G71,$G$6+Z71*$U71))</f>
      </c>
      <c r="M71" s="29">
        <f>ROUND(M70+C71-H71,2)</f>
      </c>
      <c r="N71" s="29">
        <f>ROUND(N70+D71-I71,2)</f>
      </c>
      <c r="O71" s="29">
        <f>ROUND(O70+E71-J71,2)</f>
      </c>
      <c r="P71" s="29">
        <f>ROUND(P70+F71-K71,2)</f>
      </c>
      <c r="Q71" s="29">
        <f>ROUND(Q70+G71-L71,2)</f>
      </c>
      <c r="R71" s="29">
        <f>SUM(H71:L71)</f>
      </c>
      <c r="S71" s="29">
        <f>SUM(C71:G71)</f>
      </c>
      <c r="T71" s="29">
        <f>SUM(M71:Q71)</f>
      </c>
      <c r="U71" s="30">
        <f>Debts!$B$13+SUMPRODUCT(($M70:$Q70&lt;=0)*$C$6:$G$6)</f>
      </c>
      <c r="V71" s="31">
        <f>IF(AND(M70&gt;0,SUMPRODUCT(($C$7:$G$7&lt;$C$7)*($M70:$Q70&gt;0))=0),1,0)</f>
      </c>
      <c r="W71" s="31">
        <f>IF(AND(N70&gt;0,SUMPRODUCT(($C$7:$G$7&lt;$D$7)*($M70:$Q70&gt;0))=0),1,0)</f>
      </c>
      <c r="X71" s="31">
        <f>IF(AND(O70&gt;0,SUMPRODUCT(($C$7:$G$7&lt;$E$7)*($M70:$Q70&gt;0))=0),1,0)</f>
      </c>
      <c r="Y71" s="31">
        <f>IF(AND(P70&gt;0,SUMPRODUCT(($C$7:$G$7&lt;$F$7)*($M70:$Q70&gt;0))=0),1,0)</f>
      </c>
      <c r="Z71" s="31">
        <f>IF(AND(Q70&gt;0,SUMPRODUCT(($C$7:$G$7&lt;$G$7)*($M70:$Q70&gt;0))=0),1,0)</f>
      </c>
    </row>
    <row r="72" spans="1:26" x14ac:dyDescent="0.25">
      <c r="A72" s="11">
        <f>A71+1</f>
      </c>
      <c r="B72" s="24">
        <f>EDATE(Debts!$B$14,A72)</f>
      </c>
      <c r="C72" s="25">
        <f>IF(M71&lt;=0,0,ROUND(M71*$C$5/12,2))</f>
      </c>
      <c r="D72" s="25">
        <f>IF(N71&lt;=0,0,ROUND(N71*$D$5/12,2))</f>
      </c>
      <c r="E72" s="25">
        <f>IF(O71&lt;=0,0,ROUND(O71*$E$5/12,2))</f>
      </c>
      <c r="F72" s="25">
        <f>IF(P71&lt;=0,0,ROUND(P71*$F$5/12,2))</f>
      </c>
      <c r="G72" s="25">
        <f>IF(Q71&lt;=0,0,ROUND(Q71*$G$5/12,2))</f>
      </c>
      <c r="H72" s="25">
        <f>IF(M71&lt;=0,0,MIN(M71+C72,$C$6+V72*$U72))</f>
      </c>
      <c r="I72" s="25">
        <f>IF(N71&lt;=0,0,MIN(N71+D72,$D$6+W72*$U72))</f>
      </c>
      <c r="J72" s="25">
        <f>IF(O71&lt;=0,0,MIN(O71+E72,$E$6+X72*$U72))</f>
      </c>
      <c r="K72" s="25">
        <f>IF(P71&lt;=0,0,MIN(P71+F72,$F$6+Y72*$U72))</f>
      </c>
      <c r="L72" s="25">
        <f>IF(Q71&lt;=0,0,MIN(Q71+G72,$G$6+Z72*$U72))</f>
      </c>
      <c r="M72" s="25">
        <f>ROUND(M71+C72-H72,2)</f>
      </c>
      <c r="N72" s="25">
        <f>ROUND(N71+D72-I72,2)</f>
      </c>
      <c r="O72" s="25">
        <f>ROUND(O71+E72-J72,2)</f>
      </c>
      <c r="P72" s="25">
        <f>ROUND(P71+F72-K72,2)</f>
      </c>
      <c r="Q72" s="25">
        <f>ROUND(Q71+G72-L72,2)</f>
      </c>
      <c r="R72" s="25">
        <f>SUM(H72:L72)</f>
      </c>
      <c r="S72" s="25">
        <f>SUM(C72:G72)</f>
      </c>
      <c r="T72" s="25">
        <f>SUM(M72:Q72)</f>
      </c>
      <c r="U72" s="26">
        <f>Debts!$B$13+SUMPRODUCT(($M71:$Q71&lt;=0)*$C$6:$G$6)</f>
      </c>
      <c r="V72" s="27">
        <f>IF(AND(M71&gt;0,SUMPRODUCT(($C$7:$G$7&lt;$C$7)*($M71:$Q71&gt;0))=0),1,0)</f>
      </c>
      <c r="W72" s="27">
        <f>IF(AND(N71&gt;0,SUMPRODUCT(($C$7:$G$7&lt;$D$7)*($M71:$Q71&gt;0))=0),1,0)</f>
      </c>
      <c r="X72" s="27">
        <f>IF(AND(O71&gt;0,SUMPRODUCT(($C$7:$G$7&lt;$E$7)*($M71:$Q71&gt;0))=0),1,0)</f>
      </c>
      <c r="Y72" s="27">
        <f>IF(AND(P71&gt;0,SUMPRODUCT(($C$7:$G$7&lt;$F$7)*($M71:$Q71&gt;0))=0),1,0)</f>
      </c>
      <c r="Z72" s="27">
        <f>IF(AND(Q71&gt;0,SUMPRODUCT(($C$7:$G$7&lt;$G$7)*($M71:$Q71&gt;0))=0),1,0)</f>
      </c>
    </row>
    <row r="73" spans="1:26" x14ac:dyDescent="0.25">
      <c r="A73" s="12">
        <f>A72+1</f>
      </c>
      <c r="B73" s="28">
        <f>EDATE(Debts!$B$14,A73)</f>
      </c>
      <c r="C73" s="29">
        <f>IF(M72&lt;=0,0,ROUND(M72*$C$5/12,2))</f>
      </c>
      <c r="D73" s="29">
        <f>IF(N72&lt;=0,0,ROUND(N72*$D$5/12,2))</f>
      </c>
      <c r="E73" s="29">
        <f>IF(O72&lt;=0,0,ROUND(O72*$E$5/12,2))</f>
      </c>
      <c r="F73" s="29">
        <f>IF(P72&lt;=0,0,ROUND(P72*$F$5/12,2))</f>
      </c>
      <c r="G73" s="29">
        <f>IF(Q72&lt;=0,0,ROUND(Q72*$G$5/12,2))</f>
      </c>
      <c r="H73" s="29">
        <f>IF(M72&lt;=0,0,MIN(M72+C73,$C$6+V73*$U73))</f>
      </c>
      <c r="I73" s="29">
        <f>IF(N72&lt;=0,0,MIN(N72+D73,$D$6+W73*$U73))</f>
      </c>
      <c r="J73" s="29">
        <f>IF(O72&lt;=0,0,MIN(O72+E73,$E$6+X73*$U73))</f>
      </c>
      <c r="K73" s="29">
        <f>IF(P72&lt;=0,0,MIN(P72+F73,$F$6+Y73*$U73))</f>
      </c>
      <c r="L73" s="29">
        <f>IF(Q72&lt;=0,0,MIN(Q72+G73,$G$6+Z73*$U73))</f>
      </c>
      <c r="M73" s="29">
        <f>ROUND(M72+C73-H73,2)</f>
      </c>
      <c r="N73" s="29">
        <f>ROUND(N72+D73-I73,2)</f>
      </c>
      <c r="O73" s="29">
        <f>ROUND(O72+E73-J73,2)</f>
      </c>
      <c r="P73" s="29">
        <f>ROUND(P72+F73-K73,2)</f>
      </c>
      <c r="Q73" s="29">
        <f>ROUND(Q72+G73-L73,2)</f>
      </c>
      <c r="R73" s="29">
        <f>SUM(H73:L73)</f>
      </c>
      <c r="S73" s="29">
        <f>SUM(C73:G73)</f>
      </c>
      <c r="T73" s="29">
        <f>SUM(M73:Q73)</f>
      </c>
      <c r="U73" s="30">
        <f>Debts!$B$13+SUMPRODUCT(($M72:$Q72&lt;=0)*$C$6:$G$6)</f>
      </c>
      <c r="V73" s="31">
        <f>IF(AND(M72&gt;0,SUMPRODUCT(($C$7:$G$7&lt;$C$7)*($M72:$Q72&gt;0))=0),1,0)</f>
      </c>
      <c r="W73" s="31">
        <f>IF(AND(N72&gt;0,SUMPRODUCT(($C$7:$G$7&lt;$D$7)*($M72:$Q72&gt;0))=0),1,0)</f>
      </c>
      <c r="X73" s="31">
        <f>IF(AND(O72&gt;0,SUMPRODUCT(($C$7:$G$7&lt;$E$7)*($M72:$Q72&gt;0))=0),1,0)</f>
      </c>
      <c r="Y73" s="31">
        <f>IF(AND(P72&gt;0,SUMPRODUCT(($C$7:$G$7&lt;$F$7)*($M72:$Q72&gt;0))=0),1,0)</f>
      </c>
      <c r="Z73" s="31">
        <f>IF(AND(Q72&gt;0,SUMPRODUCT(($C$7:$G$7&lt;$G$7)*($M72:$Q72&gt;0))=0),1,0)</f>
      </c>
    </row>
    <row r="74" spans="1:26" x14ac:dyDescent="0.25">
      <c r="A74" s="11">
        <f>A73+1</f>
      </c>
      <c r="B74" s="24">
        <f>EDATE(Debts!$B$14,A74)</f>
      </c>
      <c r="C74" s="25">
        <f>IF(M73&lt;=0,0,ROUND(M73*$C$5/12,2))</f>
      </c>
      <c r="D74" s="25">
        <f>IF(N73&lt;=0,0,ROUND(N73*$D$5/12,2))</f>
      </c>
      <c r="E74" s="25">
        <f>IF(O73&lt;=0,0,ROUND(O73*$E$5/12,2))</f>
      </c>
      <c r="F74" s="25">
        <f>IF(P73&lt;=0,0,ROUND(P73*$F$5/12,2))</f>
      </c>
      <c r="G74" s="25">
        <f>IF(Q73&lt;=0,0,ROUND(Q73*$G$5/12,2))</f>
      </c>
      <c r="H74" s="25">
        <f>IF(M73&lt;=0,0,MIN(M73+C74,$C$6+V74*$U74))</f>
      </c>
      <c r="I74" s="25">
        <f>IF(N73&lt;=0,0,MIN(N73+D74,$D$6+W74*$U74))</f>
      </c>
      <c r="J74" s="25">
        <f>IF(O73&lt;=0,0,MIN(O73+E74,$E$6+X74*$U74))</f>
      </c>
      <c r="K74" s="25">
        <f>IF(P73&lt;=0,0,MIN(P73+F74,$F$6+Y74*$U74))</f>
      </c>
      <c r="L74" s="25">
        <f>IF(Q73&lt;=0,0,MIN(Q73+G74,$G$6+Z74*$U74))</f>
      </c>
      <c r="M74" s="25">
        <f>ROUND(M73+C74-H74,2)</f>
      </c>
      <c r="N74" s="25">
        <f>ROUND(N73+D74-I74,2)</f>
      </c>
      <c r="O74" s="25">
        <f>ROUND(O73+E74-J74,2)</f>
      </c>
      <c r="P74" s="25">
        <f>ROUND(P73+F74-K74,2)</f>
      </c>
      <c r="Q74" s="25">
        <f>ROUND(Q73+G74-L74,2)</f>
      </c>
      <c r="R74" s="25">
        <f>SUM(H74:L74)</f>
      </c>
      <c r="S74" s="25">
        <f>SUM(C74:G74)</f>
      </c>
      <c r="T74" s="25">
        <f>SUM(M74:Q74)</f>
      </c>
      <c r="U74" s="26">
        <f>Debts!$B$13+SUMPRODUCT(($M73:$Q73&lt;=0)*$C$6:$G$6)</f>
      </c>
      <c r="V74" s="27">
        <f>IF(AND(M73&gt;0,SUMPRODUCT(($C$7:$G$7&lt;$C$7)*($M73:$Q73&gt;0))=0),1,0)</f>
      </c>
      <c r="W74" s="27">
        <f>IF(AND(N73&gt;0,SUMPRODUCT(($C$7:$G$7&lt;$D$7)*($M73:$Q73&gt;0))=0),1,0)</f>
      </c>
      <c r="X74" s="27">
        <f>IF(AND(O73&gt;0,SUMPRODUCT(($C$7:$G$7&lt;$E$7)*($M73:$Q73&gt;0))=0),1,0)</f>
      </c>
      <c r="Y74" s="27">
        <f>IF(AND(P73&gt;0,SUMPRODUCT(($C$7:$G$7&lt;$F$7)*($M73:$Q73&gt;0))=0),1,0)</f>
      </c>
      <c r="Z74" s="27">
        <f>IF(AND(Q73&gt;0,SUMPRODUCT(($C$7:$G$7&lt;$G$7)*($M73:$Q73&gt;0))=0),1,0)</f>
      </c>
    </row>
    <row r="75" spans="1:26" x14ac:dyDescent="0.25">
      <c r="A75" s="12">
        <f>A74+1</f>
      </c>
      <c r="B75" s="28">
        <f>EDATE(Debts!$B$14,A75)</f>
      </c>
      <c r="C75" s="29">
        <f>IF(M74&lt;=0,0,ROUND(M74*$C$5/12,2))</f>
      </c>
      <c r="D75" s="29">
        <f>IF(N74&lt;=0,0,ROUND(N74*$D$5/12,2))</f>
      </c>
      <c r="E75" s="29">
        <f>IF(O74&lt;=0,0,ROUND(O74*$E$5/12,2))</f>
      </c>
      <c r="F75" s="29">
        <f>IF(P74&lt;=0,0,ROUND(P74*$F$5/12,2))</f>
      </c>
      <c r="G75" s="29">
        <f>IF(Q74&lt;=0,0,ROUND(Q74*$G$5/12,2))</f>
      </c>
      <c r="H75" s="29">
        <f>IF(M74&lt;=0,0,MIN(M74+C75,$C$6+V75*$U75))</f>
      </c>
      <c r="I75" s="29">
        <f>IF(N74&lt;=0,0,MIN(N74+D75,$D$6+W75*$U75))</f>
      </c>
      <c r="J75" s="29">
        <f>IF(O74&lt;=0,0,MIN(O74+E75,$E$6+X75*$U75))</f>
      </c>
      <c r="K75" s="29">
        <f>IF(P74&lt;=0,0,MIN(P74+F75,$F$6+Y75*$U75))</f>
      </c>
      <c r="L75" s="29">
        <f>IF(Q74&lt;=0,0,MIN(Q74+G75,$G$6+Z75*$U75))</f>
      </c>
      <c r="M75" s="29">
        <f>ROUND(M74+C75-H75,2)</f>
      </c>
      <c r="N75" s="29">
        <f>ROUND(N74+D75-I75,2)</f>
      </c>
      <c r="O75" s="29">
        <f>ROUND(O74+E75-J75,2)</f>
      </c>
      <c r="P75" s="29">
        <f>ROUND(P74+F75-K75,2)</f>
      </c>
      <c r="Q75" s="29">
        <f>ROUND(Q74+G75-L75,2)</f>
      </c>
      <c r="R75" s="29">
        <f>SUM(H75:L75)</f>
      </c>
      <c r="S75" s="29">
        <f>SUM(C75:G75)</f>
      </c>
      <c r="T75" s="29">
        <f>SUM(M75:Q75)</f>
      </c>
      <c r="U75" s="30">
        <f>Debts!$B$13+SUMPRODUCT(($M74:$Q74&lt;=0)*$C$6:$G$6)</f>
      </c>
      <c r="V75" s="31">
        <f>IF(AND(M74&gt;0,SUMPRODUCT(($C$7:$G$7&lt;$C$7)*($M74:$Q74&gt;0))=0),1,0)</f>
      </c>
      <c r="W75" s="31">
        <f>IF(AND(N74&gt;0,SUMPRODUCT(($C$7:$G$7&lt;$D$7)*($M74:$Q74&gt;0))=0),1,0)</f>
      </c>
      <c r="X75" s="31">
        <f>IF(AND(O74&gt;0,SUMPRODUCT(($C$7:$G$7&lt;$E$7)*($M74:$Q74&gt;0))=0),1,0)</f>
      </c>
      <c r="Y75" s="31">
        <f>IF(AND(P74&gt;0,SUMPRODUCT(($C$7:$G$7&lt;$F$7)*($M74:$Q74&gt;0))=0),1,0)</f>
      </c>
      <c r="Z75" s="31">
        <f>IF(AND(Q74&gt;0,SUMPRODUCT(($C$7:$G$7&lt;$G$7)*($M74:$Q74&gt;0))=0),1,0)</f>
      </c>
    </row>
    <row r="76" spans="1:26" x14ac:dyDescent="0.25">
      <c r="A76" s="11">
        <f>A75+1</f>
      </c>
      <c r="B76" s="24">
        <f>EDATE(Debts!$B$14,A76)</f>
      </c>
      <c r="C76" s="25">
        <f>IF(M75&lt;=0,0,ROUND(M75*$C$5/12,2))</f>
      </c>
      <c r="D76" s="25">
        <f>IF(N75&lt;=0,0,ROUND(N75*$D$5/12,2))</f>
      </c>
      <c r="E76" s="25">
        <f>IF(O75&lt;=0,0,ROUND(O75*$E$5/12,2))</f>
      </c>
      <c r="F76" s="25">
        <f>IF(P75&lt;=0,0,ROUND(P75*$F$5/12,2))</f>
      </c>
      <c r="G76" s="25">
        <f>IF(Q75&lt;=0,0,ROUND(Q75*$G$5/12,2))</f>
      </c>
      <c r="H76" s="25">
        <f>IF(M75&lt;=0,0,MIN(M75+C76,$C$6+V76*$U76))</f>
      </c>
      <c r="I76" s="25">
        <f>IF(N75&lt;=0,0,MIN(N75+D76,$D$6+W76*$U76))</f>
      </c>
      <c r="J76" s="25">
        <f>IF(O75&lt;=0,0,MIN(O75+E76,$E$6+X76*$U76))</f>
      </c>
      <c r="K76" s="25">
        <f>IF(P75&lt;=0,0,MIN(P75+F76,$F$6+Y76*$U76))</f>
      </c>
      <c r="L76" s="25">
        <f>IF(Q75&lt;=0,0,MIN(Q75+G76,$G$6+Z76*$U76))</f>
      </c>
      <c r="M76" s="25">
        <f>ROUND(M75+C76-H76,2)</f>
      </c>
      <c r="N76" s="25">
        <f>ROUND(N75+D76-I76,2)</f>
      </c>
      <c r="O76" s="25">
        <f>ROUND(O75+E76-J76,2)</f>
      </c>
      <c r="P76" s="25">
        <f>ROUND(P75+F76-K76,2)</f>
      </c>
      <c r="Q76" s="25">
        <f>ROUND(Q75+G76-L76,2)</f>
      </c>
      <c r="R76" s="25">
        <f>SUM(H76:L76)</f>
      </c>
      <c r="S76" s="25">
        <f>SUM(C76:G76)</f>
      </c>
      <c r="T76" s="25">
        <f>SUM(M76:Q76)</f>
      </c>
      <c r="U76" s="26">
        <f>Debts!$B$13+SUMPRODUCT(($M75:$Q75&lt;=0)*$C$6:$G$6)</f>
      </c>
      <c r="V76" s="27">
        <f>IF(AND(M75&gt;0,SUMPRODUCT(($C$7:$G$7&lt;$C$7)*($M75:$Q75&gt;0))=0),1,0)</f>
      </c>
      <c r="W76" s="27">
        <f>IF(AND(N75&gt;0,SUMPRODUCT(($C$7:$G$7&lt;$D$7)*($M75:$Q75&gt;0))=0),1,0)</f>
      </c>
      <c r="X76" s="27">
        <f>IF(AND(O75&gt;0,SUMPRODUCT(($C$7:$G$7&lt;$E$7)*($M75:$Q75&gt;0))=0),1,0)</f>
      </c>
      <c r="Y76" s="27">
        <f>IF(AND(P75&gt;0,SUMPRODUCT(($C$7:$G$7&lt;$F$7)*($M75:$Q75&gt;0))=0),1,0)</f>
      </c>
      <c r="Z76" s="27">
        <f>IF(AND(Q75&gt;0,SUMPRODUCT(($C$7:$G$7&lt;$G$7)*($M75:$Q75&gt;0))=0),1,0)</f>
      </c>
    </row>
    <row r="77" spans="1:26" x14ac:dyDescent="0.25">
      <c r="A77" s="12">
        <f>A76+1</f>
      </c>
      <c r="B77" s="28">
        <f>EDATE(Debts!$B$14,A77)</f>
      </c>
      <c r="C77" s="29">
        <f>IF(M76&lt;=0,0,ROUND(M76*$C$5/12,2))</f>
      </c>
      <c r="D77" s="29">
        <f>IF(N76&lt;=0,0,ROUND(N76*$D$5/12,2))</f>
      </c>
      <c r="E77" s="29">
        <f>IF(O76&lt;=0,0,ROUND(O76*$E$5/12,2))</f>
      </c>
      <c r="F77" s="29">
        <f>IF(P76&lt;=0,0,ROUND(P76*$F$5/12,2))</f>
      </c>
      <c r="G77" s="29">
        <f>IF(Q76&lt;=0,0,ROUND(Q76*$G$5/12,2))</f>
      </c>
      <c r="H77" s="29">
        <f>IF(M76&lt;=0,0,MIN(M76+C77,$C$6+V77*$U77))</f>
      </c>
      <c r="I77" s="29">
        <f>IF(N76&lt;=0,0,MIN(N76+D77,$D$6+W77*$U77))</f>
      </c>
      <c r="J77" s="29">
        <f>IF(O76&lt;=0,0,MIN(O76+E77,$E$6+X77*$U77))</f>
      </c>
      <c r="K77" s="29">
        <f>IF(P76&lt;=0,0,MIN(P76+F77,$F$6+Y77*$U77))</f>
      </c>
      <c r="L77" s="29">
        <f>IF(Q76&lt;=0,0,MIN(Q76+G77,$G$6+Z77*$U77))</f>
      </c>
      <c r="M77" s="29">
        <f>ROUND(M76+C77-H77,2)</f>
      </c>
      <c r="N77" s="29">
        <f>ROUND(N76+D77-I77,2)</f>
      </c>
      <c r="O77" s="29">
        <f>ROUND(O76+E77-J77,2)</f>
      </c>
      <c r="P77" s="29">
        <f>ROUND(P76+F77-K77,2)</f>
      </c>
      <c r="Q77" s="29">
        <f>ROUND(Q76+G77-L77,2)</f>
      </c>
      <c r="R77" s="29">
        <f>SUM(H77:L77)</f>
      </c>
      <c r="S77" s="29">
        <f>SUM(C77:G77)</f>
      </c>
      <c r="T77" s="29">
        <f>SUM(M77:Q77)</f>
      </c>
      <c r="U77" s="30">
        <f>Debts!$B$13+SUMPRODUCT(($M76:$Q76&lt;=0)*$C$6:$G$6)</f>
      </c>
      <c r="V77" s="31">
        <f>IF(AND(M76&gt;0,SUMPRODUCT(($C$7:$G$7&lt;$C$7)*($M76:$Q76&gt;0))=0),1,0)</f>
      </c>
      <c r="W77" s="31">
        <f>IF(AND(N76&gt;0,SUMPRODUCT(($C$7:$G$7&lt;$D$7)*($M76:$Q76&gt;0))=0),1,0)</f>
      </c>
      <c r="X77" s="31">
        <f>IF(AND(O76&gt;0,SUMPRODUCT(($C$7:$G$7&lt;$E$7)*($M76:$Q76&gt;0))=0),1,0)</f>
      </c>
      <c r="Y77" s="31">
        <f>IF(AND(P76&gt;0,SUMPRODUCT(($C$7:$G$7&lt;$F$7)*($M76:$Q76&gt;0))=0),1,0)</f>
      </c>
      <c r="Z77" s="31">
        <f>IF(AND(Q76&gt;0,SUMPRODUCT(($C$7:$G$7&lt;$G$7)*($M76:$Q76&gt;0))=0),1,0)</f>
      </c>
    </row>
    <row r="78" spans="1:26" x14ac:dyDescent="0.25">
      <c r="A78" s="11">
        <f>A77+1</f>
      </c>
      <c r="B78" s="24">
        <f>EDATE(Debts!$B$14,A78)</f>
      </c>
      <c r="C78" s="25">
        <f>IF(M77&lt;=0,0,ROUND(M77*$C$5/12,2))</f>
      </c>
      <c r="D78" s="25">
        <f>IF(N77&lt;=0,0,ROUND(N77*$D$5/12,2))</f>
      </c>
      <c r="E78" s="25">
        <f>IF(O77&lt;=0,0,ROUND(O77*$E$5/12,2))</f>
      </c>
      <c r="F78" s="25">
        <f>IF(P77&lt;=0,0,ROUND(P77*$F$5/12,2))</f>
      </c>
      <c r="G78" s="25">
        <f>IF(Q77&lt;=0,0,ROUND(Q77*$G$5/12,2))</f>
      </c>
      <c r="H78" s="25">
        <f>IF(M77&lt;=0,0,MIN(M77+C78,$C$6+V78*$U78))</f>
      </c>
      <c r="I78" s="25">
        <f>IF(N77&lt;=0,0,MIN(N77+D78,$D$6+W78*$U78))</f>
      </c>
      <c r="J78" s="25">
        <f>IF(O77&lt;=0,0,MIN(O77+E78,$E$6+X78*$U78))</f>
      </c>
      <c r="K78" s="25">
        <f>IF(P77&lt;=0,0,MIN(P77+F78,$F$6+Y78*$U78))</f>
      </c>
      <c r="L78" s="25">
        <f>IF(Q77&lt;=0,0,MIN(Q77+G78,$G$6+Z78*$U78))</f>
      </c>
      <c r="M78" s="25">
        <f>ROUND(M77+C78-H78,2)</f>
      </c>
      <c r="N78" s="25">
        <f>ROUND(N77+D78-I78,2)</f>
      </c>
      <c r="O78" s="25">
        <f>ROUND(O77+E78-J78,2)</f>
      </c>
      <c r="P78" s="25">
        <f>ROUND(P77+F78-K78,2)</f>
      </c>
      <c r="Q78" s="25">
        <f>ROUND(Q77+G78-L78,2)</f>
      </c>
      <c r="R78" s="25">
        <f>SUM(H78:L78)</f>
      </c>
      <c r="S78" s="25">
        <f>SUM(C78:G78)</f>
      </c>
      <c r="T78" s="25">
        <f>SUM(M78:Q78)</f>
      </c>
      <c r="U78" s="26">
        <f>Debts!$B$13+SUMPRODUCT(($M77:$Q77&lt;=0)*$C$6:$G$6)</f>
      </c>
      <c r="V78" s="27">
        <f>IF(AND(M77&gt;0,SUMPRODUCT(($C$7:$G$7&lt;$C$7)*($M77:$Q77&gt;0))=0),1,0)</f>
      </c>
      <c r="W78" s="27">
        <f>IF(AND(N77&gt;0,SUMPRODUCT(($C$7:$G$7&lt;$D$7)*($M77:$Q77&gt;0))=0),1,0)</f>
      </c>
      <c r="X78" s="27">
        <f>IF(AND(O77&gt;0,SUMPRODUCT(($C$7:$G$7&lt;$E$7)*($M77:$Q77&gt;0))=0),1,0)</f>
      </c>
      <c r="Y78" s="27">
        <f>IF(AND(P77&gt;0,SUMPRODUCT(($C$7:$G$7&lt;$F$7)*($M77:$Q77&gt;0))=0),1,0)</f>
      </c>
      <c r="Z78" s="27">
        <f>IF(AND(Q77&gt;0,SUMPRODUCT(($C$7:$G$7&lt;$G$7)*($M77:$Q77&gt;0))=0),1,0)</f>
      </c>
    </row>
    <row r="79" spans="1:26" x14ac:dyDescent="0.25">
      <c r="A79" s="12">
        <f>A78+1</f>
      </c>
      <c r="B79" s="28">
        <f>EDATE(Debts!$B$14,A79)</f>
      </c>
      <c r="C79" s="29">
        <f>IF(M78&lt;=0,0,ROUND(M78*$C$5/12,2))</f>
      </c>
      <c r="D79" s="29">
        <f>IF(N78&lt;=0,0,ROUND(N78*$D$5/12,2))</f>
      </c>
      <c r="E79" s="29">
        <f>IF(O78&lt;=0,0,ROUND(O78*$E$5/12,2))</f>
      </c>
      <c r="F79" s="29">
        <f>IF(P78&lt;=0,0,ROUND(P78*$F$5/12,2))</f>
      </c>
      <c r="G79" s="29">
        <f>IF(Q78&lt;=0,0,ROUND(Q78*$G$5/12,2))</f>
      </c>
      <c r="H79" s="29">
        <f>IF(M78&lt;=0,0,MIN(M78+C79,$C$6+V79*$U79))</f>
      </c>
      <c r="I79" s="29">
        <f>IF(N78&lt;=0,0,MIN(N78+D79,$D$6+W79*$U79))</f>
      </c>
      <c r="J79" s="29">
        <f>IF(O78&lt;=0,0,MIN(O78+E79,$E$6+X79*$U79))</f>
      </c>
      <c r="K79" s="29">
        <f>IF(P78&lt;=0,0,MIN(P78+F79,$F$6+Y79*$U79))</f>
      </c>
      <c r="L79" s="29">
        <f>IF(Q78&lt;=0,0,MIN(Q78+G79,$G$6+Z79*$U79))</f>
      </c>
      <c r="M79" s="29">
        <f>ROUND(M78+C79-H79,2)</f>
      </c>
      <c r="N79" s="29">
        <f>ROUND(N78+D79-I79,2)</f>
      </c>
      <c r="O79" s="29">
        <f>ROUND(O78+E79-J79,2)</f>
      </c>
      <c r="P79" s="29">
        <f>ROUND(P78+F79-K79,2)</f>
      </c>
      <c r="Q79" s="29">
        <f>ROUND(Q78+G79-L79,2)</f>
      </c>
      <c r="R79" s="29">
        <f>SUM(H79:L79)</f>
      </c>
      <c r="S79" s="29">
        <f>SUM(C79:G79)</f>
      </c>
      <c r="T79" s="29">
        <f>SUM(M79:Q79)</f>
      </c>
      <c r="U79" s="30">
        <f>Debts!$B$13+SUMPRODUCT(($M78:$Q78&lt;=0)*$C$6:$G$6)</f>
      </c>
      <c r="V79" s="31">
        <f>IF(AND(M78&gt;0,SUMPRODUCT(($C$7:$G$7&lt;$C$7)*($M78:$Q78&gt;0))=0),1,0)</f>
      </c>
      <c r="W79" s="31">
        <f>IF(AND(N78&gt;0,SUMPRODUCT(($C$7:$G$7&lt;$D$7)*($M78:$Q78&gt;0))=0),1,0)</f>
      </c>
      <c r="X79" s="31">
        <f>IF(AND(O78&gt;0,SUMPRODUCT(($C$7:$G$7&lt;$E$7)*($M78:$Q78&gt;0))=0),1,0)</f>
      </c>
      <c r="Y79" s="31">
        <f>IF(AND(P78&gt;0,SUMPRODUCT(($C$7:$G$7&lt;$F$7)*($M78:$Q78&gt;0))=0),1,0)</f>
      </c>
      <c r="Z79" s="31">
        <f>IF(AND(Q78&gt;0,SUMPRODUCT(($C$7:$G$7&lt;$G$7)*($M78:$Q78&gt;0))=0),1,0)</f>
      </c>
    </row>
    <row r="80" spans="1:26" x14ac:dyDescent="0.25">
      <c r="A80" s="11">
        <f>A79+1</f>
      </c>
      <c r="B80" s="24">
        <f>EDATE(Debts!$B$14,A80)</f>
      </c>
      <c r="C80" s="25">
        <f>IF(M79&lt;=0,0,ROUND(M79*$C$5/12,2))</f>
      </c>
      <c r="D80" s="25">
        <f>IF(N79&lt;=0,0,ROUND(N79*$D$5/12,2))</f>
      </c>
      <c r="E80" s="25">
        <f>IF(O79&lt;=0,0,ROUND(O79*$E$5/12,2))</f>
      </c>
      <c r="F80" s="25">
        <f>IF(P79&lt;=0,0,ROUND(P79*$F$5/12,2))</f>
      </c>
      <c r="G80" s="25">
        <f>IF(Q79&lt;=0,0,ROUND(Q79*$G$5/12,2))</f>
      </c>
      <c r="H80" s="25">
        <f>IF(M79&lt;=0,0,MIN(M79+C80,$C$6+V80*$U80))</f>
      </c>
      <c r="I80" s="25">
        <f>IF(N79&lt;=0,0,MIN(N79+D80,$D$6+W80*$U80))</f>
      </c>
      <c r="J80" s="25">
        <f>IF(O79&lt;=0,0,MIN(O79+E80,$E$6+X80*$U80))</f>
      </c>
      <c r="K80" s="25">
        <f>IF(P79&lt;=0,0,MIN(P79+F80,$F$6+Y80*$U80))</f>
      </c>
      <c r="L80" s="25">
        <f>IF(Q79&lt;=0,0,MIN(Q79+G80,$G$6+Z80*$U80))</f>
      </c>
      <c r="M80" s="25">
        <f>ROUND(M79+C80-H80,2)</f>
      </c>
      <c r="N80" s="25">
        <f>ROUND(N79+D80-I80,2)</f>
      </c>
      <c r="O80" s="25">
        <f>ROUND(O79+E80-J80,2)</f>
      </c>
      <c r="P80" s="25">
        <f>ROUND(P79+F80-K80,2)</f>
      </c>
      <c r="Q80" s="25">
        <f>ROUND(Q79+G80-L80,2)</f>
      </c>
      <c r="R80" s="25">
        <f>SUM(H80:L80)</f>
      </c>
      <c r="S80" s="25">
        <f>SUM(C80:G80)</f>
      </c>
      <c r="T80" s="25">
        <f>SUM(M80:Q80)</f>
      </c>
      <c r="U80" s="26">
        <f>Debts!$B$13+SUMPRODUCT(($M79:$Q79&lt;=0)*$C$6:$G$6)</f>
      </c>
      <c r="V80" s="27">
        <f>IF(AND(M79&gt;0,SUMPRODUCT(($C$7:$G$7&lt;$C$7)*($M79:$Q79&gt;0))=0),1,0)</f>
      </c>
      <c r="W80" s="27">
        <f>IF(AND(N79&gt;0,SUMPRODUCT(($C$7:$G$7&lt;$D$7)*($M79:$Q79&gt;0))=0),1,0)</f>
      </c>
      <c r="X80" s="27">
        <f>IF(AND(O79&gt;0,SUMPRODUCT(($C$7:$G$7&lt;$E$7)*($M79:$Q79&gt;0))=0),1,0)</f>
      </c>
      <c r="Y80" s="27">
        <f>IF(AND(P79&gt;0,SUMPRODUCT(($C$7:$G$7&lt;$F$7)*($M79:$Q79&gt;0))=0),1,0)</f>
      </c>
      <c r="Z80" s="27">
        <f>IF(AND(Q79&gt;0,SUMPRODUCT(($C$7:$G$7&lt;$G$7)*($M79:$Q79&gt;0))=0),1,0)</f>
      </c>
    </row>
    <row r="81" spans="1:26" x14ac:dyDescent="0.25">
      <c r="A81" s="12">
        <f>A80+1</f>
      </c>
      <c r="B81" s="28">
        <f>EDATE(Debts!$B$14,A81)</f>
      </c>
      <c r="C81" s="29">
        <f>IF(M80&lt;=0,0,ROUND(M80*$C$5/12,2))</f>
      </c>
      <c r="D81" s="29">
        <f>IF(N80&lt;=0,0,ROUND(N80*$D$5/12,2))</f>
      </c>
      <c r="E81" s="29">
        <f>IF(O80&lt;=0,0,ROUND(O80*$E$5/12,2))</f>
      </c>
      <c r="F81" s="29">
        <f>IF(P80&lt;=0,0,ROUND(P80*$F$5/12,2))</f>
      </c>
      <c r="G81" s="29">
        <f>IF(Q80&lt;=0,0,ROUND(Q80*$G$5/12,2))</f>
      </c>
      <c r="H81" s="29">
        <f>IF(M80&lt;=0,0,MIN(M80+C81,$C$6+V81*$U81))</f>
      </c>
      <c r="I81" s="29">
        <f>IF(N80&lt;=0,0,MIN(N80+D81,$D$6+W81*$U81))</f>
      </c>
      <c r="J81" s="29">
        <f>IF(O80&lt;=0,0,MIN(O80+E81,$E$6+X81*$U81))</f>
      </c>
      <c r="K81" s="29">
        <f>IF(P80&lt;=0,0,MIN(P80+F81,$F$6+Y81*$U81))</f>
      </c>
      <c r="L81" s="29">
        <f>IF(Q80&lt;=0,0,MIN(Q80+G81,$G$6+Z81*$U81))</f>
      </c>
      <c r="M81" s="29">
        <f>ROUND(M80+C81-H81,2)</f>
      </c>
      <c r="N81" s="29">
        <f>ROUND(N80+D81-I81,2)</f>
      </c>
      <c r="O81" s="29">
        <f>ROUND(O80+E81-J81,2)</f>
      </c>
      <c r="P81" s="29">
        <f>ROUND(P80+F81-K81,2)</f>
      </c>
      <c r="Q81" s="29">
        <f>ROUND(Q80+G81-L81,2)</f>
      </c>
      <c r="R81" s="29">
        <f>SUM(H81:L81)</f>
      </c>
      <c r="S81" s="29">
        <f>SUM(C81:G81)</f>
      </c>
      <c r="T81" s="29">
        <f>SUM(M81:Q81)</f>
      </c>
      <c r="U81" s="30">
        <f>Debts!$B$13+SUMPRODUCT(($M80:$Q80&lt;=0)*$C$6:$G$6)</f>
      </c>
      <c r="V81" s="31">
        <f>IF(AND(M80&gt;0,SUMPRODUCT(($C$7:$G$7&lt;$C$7)*($M80:$Q80&gt;0))=0),1,0)</f>
      </c>
      <c r="W81" s="31">
        <f>IF(AND(N80&gt;0,SUMPRODUCT(($C$7:$G$7&lt;$D$7)*($M80:$Q80&gt;0))=0),1,0)</f>
      </c>
      <c r="X81" s="31">
        <f>IF(AND(O80&gt;0,SUMPRODUCT(($C$7:$G$7&lt;$E$7)*($M80:$Q80&gt;0))=0),1,0)</f>
      </c>
      <c r="Y81" s="31">
        <f>IF(AND(P80&gt;0,SUMPRODUCT(($C$7:$G$7&lt;$F$7)*($M80:$Q80&gt;0))=0),1,0)</f>
      </c>
      <c r="Z81" s="31">
        <f>IF(AND(Q80&gt;0,SUMPRODUCT(($C$7:$G$7&lt;$G$7)*($M80:$Q80&gt;0))=0),1,0)</f>
      </c>
    </row>
    <row r="82" spans="1:26" x14ac:dyDescent="0.25">
      <c r="A82" s="11">
        <f>A81+1</f>
      </c>
      <c r="B82" s="24">
        <f>EDATE(Debts!$B$14,A82)</f>
      </c>
      <c r="C82" s="25">
        <f>IF(M81&lt;=0,0,ROUND(M81*$C$5/12,2))</f>
      </c>
      <c r="D82" s="25">
        <f>IF(N81&lt;=0,0,ROUND(N81*$D$5/12,2))</f>
      </c>
      <c r="E82" s="25">
        <f>IF(O81&lt;=0,0,ROUND(O81*$E$5/12,2))</f>
      </c>
      <c r="F82" s="25">
        <f>IF(P81&lt;=0,0,ROUND(P81*$F$5/12,2))</f>
      </c>
      <c r="G82" s="25">
        <f>IF(Q81&lt;=0,0,ROUND(Q81*$G$5/12,2))</f>
      </c>
      <c r="H82" s="25">
        <f>IF(M81&lt;=0,0,MIN(M81+C82,$C$6+V82*$U82))</f>
      </c>
      <c r="I82" s="25">
        <f>IF(N81&lt;=0,0,MIN(N81+D82,$D$6+W82*$U82))</f>
      </c>
      <c r="J82" s="25">
        <f>IF(O81&lt;=0,0,MIN(O81+E82,$E$6+X82*$U82))</f>
      </c>
      <c r="K82" s="25">
        <f>IF(P81&lt;=0,0,MIN(P81+F82,$F$6+Y82*$U82))</f>
      </c>
      <c r="L82" s="25">
        <f>IF(Q81&lt;=0,0,MIN(Q81+G82,$G$6+Z82*$U82))</f>
      </c>
      <c r="M82" s="25">
        <f>ROUND(M81+C82-H82,2)</f>
      </c>
      <c r="N82" s="25">
        <f>ROUND(N81+D82-I82,2)</f>
      </c>
      <c r="O82" s="25">
        <f>ROUND(O81+E82-J82,2)</f>
      </c>
      <c r="P82" s="25">
        <f>ROUND(P81+F82-K82,2)</f>
      </c>
      <c r="Q82" s="25">
        <f>ROUND(Q81+G82-L82,2)</f>
      </c>
      <c r="R82" s="25">
        <f>SUM(H82:L82)</f>
      </c>
      <c r="S82" s="25">
        <f>SUM(C82:G82)</f>
      </c>
      <c r="T82" s="25">
        <f>SUM(M82:Q82)</f>
      </c>
      <c r="U82" s="26">
        <f>Debts!$B$13+SUMPRODUCT(($M81:$Q81&lt;=0)*$C$6:$G$6)</f>
      </c>
      <c r="V82" s="27">
        <f>IF(AND(M81&gt;0,SUMPRODUCT(($C$7:$G$7&lt;$C$7)*($M81:$Q81&gt;0))=0),1,0)</f>
      </c>
      <c r="W82" s="27">
        <f>IF(AND(N81&gt;0,SUMPRODUCT(($C$7:$G$7&lt;$D$7)*($M81:$Q81&gt;0))=0),1,0)</f>
      </c>
      <c r="X82" s="27">
        <f>IF(AND(O81&gt;0,SUMPRODUCT(($C$7:$G$7&lt;$E$7)*($M81:$Q81&gt;0))=0),1,0)</f>
      </c>
      <c r="Y82" s="27">
        <f>IF(AND(P81&gt;0,SUMPRODUCT(($C$7:$G$7&lt;$F$7)*($M81:$Q81&gt;0))=0),1,0)</f>
      </c>
      <c r="Z82" s="27">
        <f>IF(AND(Q81&gt;0,SUMPRODUCT(($C$7:$G$7&lt;$G$7)*($M81:$Q81&gt;0))=0),1,0)</f>
      </c>
    </row>
    <row r="83" spans="1:26" x14ac:dyDescent="0.25">
      <c r="A83" s="12">
        <f>A82+1</f>
      </c>
      <c r="B83" s="28">
        <f>EDATE(Debts!$B$14,A83)</f>
      </c>
      <c r="C83" s="29">
        <f>IF(M82&lt;=0,0,ROUND(M82*$C$5/12,2))</f>
      </c>
      <c r="D83" s="29">
        <f>IF(N82&lt;=0,0,ROUND(N82*$D$5/12,2))</f>
      </c>
      <c r="E83" s="29">
        <f>IF(O82&lt;=0,0,ROUND(O82*$E$5/12,2))</f>
      </c>
      <c r="F83" s="29">
        <f>IF(P82&lt;=0,0,ROUND(P82*$F$5/12,2))</f>
      </c>
      <c r="G83" s="29">
        <f>IF(Q82&lt;=0,0,ROUND(Q82*$G$5/12,2))</f>
      </c>
      <c r="H83" s="29">
        <f>IF(M82&lt;=0,0,MIN(M82+C83,$C$6+V83*$U83))</f>
      </c>
      <c r="I83" s="29">
        <f>IF(N82&lt;=0,0,MIN(N82+D83,$D$6+W83*$U83))</f>
      </c>
      <c r="J83" s="29">
        <f>IF(O82&lt;=0,0,MIN(O82+E83,$E$6+X83*$U83))</f>
      </c>
      <c r="K83" s="29">
        <f>IF(P82&lt;=0,0,MIN(P82+F83,$F$6+Y83*$U83))</f>
      </c>
      <c r="L83" s="29">
        <f>IF(Q82&lt;=0,0,MIN(Q82+G83,$G$6+Z83*$U83))</f>
      </c>
      <c r="M83" s="29">
        <f>ROUND(M82+C83-H83,2)</f>
      </c>
      <c r="N83" s="29">
        <f>ROUND(N82+D83-I83,2)</f>
      </c>
      <c r="O83" s="29">
        <f>ROUND(O82+E83-J83,2)</f>
      </c>
      <c r="P83" s="29">
        <f>ROUND(P82+F83-K83,2)</f>
      </c>
      <c r="Q83" s="29">
        <f>ROUND(Q82+G83-L83,2)</f>
      </c>
      <c r="R83" s="29">
        <f>SUM(H83:L83)</f>
      </c>
      <c r="S83" s="29">
        <f>SUM(C83:G83)</f>
      </c>
      <c r="T83" s="29">
        <f>SUM(M83:Q83)</f>
      </c>
      <c r="U83" s="30">
        <f>Debts!$B$13+SUMPRODUCT(($M82:$Q82&lt;=0)*$C$6:$G$6)</f>
      </c>
      <c r="V83" s="31">
        <f>IF(AND(M82&gt;0,SUMPRODUCT(($C$7:$G$7&lt;$C$7)*($M82:$Q82&gt;0))=0),1,0)</f>
      </c>
      <c r="W83" s="31">
        <f>IF(AND(N82&gt;0,SUMPRODUCT(($C$7:$G$7&lt;$D$7)*($M82:$Q82&gt;0))=0),1,0)</f>
      </c>
      <c r="X83" s="31">
        <f>IF(AND(O82&gt;0,SUMPRODUCT(($C$7:$G$7&lt;$E$7)*($M82:$Q82&gt;0))=0),1,0)</f>
      </c>
      <c r="Y83" s="31">
        <f>IF(AND(P82&gt;0,SUMPRODUCT(($C$7:$G$7&lt;$F$7)*($M82:$Q82&gt;0))=0),1,0)</f>
      </c>
      <c r="Z83" s="31">
        <f>IF(AND(Q82&gt;0,SUMPRODUCT(($C$7:$G$7&lt;$G$7)*($M82:$Q82&gt;0))=0),1,0)</f>
      </c>
    </row>
    <row r="84" spans="1:26" x14ac:dyDescent="0.25">
      <c r="A84" s="11">
        <f>A83+1</f>
      </c>
      <c r="B84" s="24">
        <f>EDATE(Debts!$B$14,A84)</f>
      </c>
      <c r="C84" s="25">
        <f>IF(M83&lt;=0,0,ROUND(M83*$C$5/12,2))</f>
      </c>
      <c r="D84" s="25">
        <f>IF(N83&lt;=0,0,ROUND(N83*$D$5/12,2))</f>
      </c>
      <c r="E84" s="25">
        <f>IF(O83&lt;=0,0,ROUND(O83*$E$5/12,2))</f>
      </c>
      <c r="F84" s="25">
        <f>IF(P83&lt;=0,0,ROUND(P83*$F$5/12,2))</f>
      </c>
      <c r="G84" s="25">
        <f>IF(Q83&lt;=0,0,ROUND(Q83*$G$5/12,2))</f>
      </c>
      <c r="H84" s="25">
        <f>IF(M83&lt;=0,0,MIN(M83+C84,$C$6+V84*$U84))</f>
      </c>
      <c r="I84" s="25">
        <f>IF(N83&lt;=0,0,MIN(N83+D84,$D$6+W84*$U84))</f>
      </c>
      <c r="J84" s="25">
        <f>IF(O83&lt;=0,0,MIN(O83+E84,$E$6+X84*$U84))</f>
      </c>
      <c r="K84" s="25">
        <f>IF(P83&lt;=0,0,MIN(P83+F84,$F$6+Y84*$U84))</f>
      </c>
      <c r="L84" s="25">
        <f>IF(Q83&lt;=0,0,MIN(Q83+G84,$G$6+Z84*$U84))</f>
      </c>
      <c r="M84" s="25">
        <f>ROUND(M83+C84-H84,2)</f>
      </c>
      <c r="N84" s="25">
        <f>ROUND(N83+D84-I84,2)</f>
      </c>
      <c r="O84" s="25">
        <f>ROUND(O83+E84-J84,2)</f>
      </c>
      <c r="P84" s="25">
        <f>ROUND(P83+F84-K84,2)</f>
      </c>
      <c r="Q84" s="25">
        <f>ROUND(Q83+G84-L84,2)</f>
      </c>
      <c r="R84" s="25">
        <f>SUM(H84:L84)</f>
      </c>
      <c r="S84" s="25">
        <f>SUM(C84:G84)</f>
      </c>
      <c r="T84" s="25">
        <f>SUM(M84:Q84)</f>
      </c>
      <c r="U84" s="26">
        <f>Debts!$B$13+SUMPRODUCT(($M83:$Q83&lt;=0)*$C$6:$G$6)</f>
      </c>
      <c r="V84" s="27">
        <f>IF(AND(M83&gt;0,SUMPRODUCT(($C$7:$G$7&lt;$C$7)*($M83:$Q83&gt;0))=0),1,0)</f>
      </c>
      <c r="W84" s="27">
        <f>IF(AND(N83&gt;0,SUMPRODUCT(($C$7:$G$7&lt;$D$7)*($M83:$Q83&gt;0))=0),1,0)</f>
      </c>
      <c r="X84" s="27">
        <f>IF(AND(O83&gt;0,SUMPRODUCT(($C$7:$G$7&lt;$E$7)*($M83:$Q83&gt;0))=0),1,0)</f>
      </c>
      <c r="Y84" s="27">
        <f>IF(AND(P83&gt;0,SUMPRODUCT(($C$7:$G$7&lt;$F$7)*($M83:$Q83&gt;0))=0),1,0)</f>
      </c>
      <c r="Z84" s="27">
        <f>IF(AND(Q83&gt;0,SUMPRODUCT(($C$7:$G$7&lt;$G$7)*($M83:$Q83&gt;0))=0),1,0)</f>
      </c>
    </row>
    <row r="85" spans="1:26" x14ac:dyDescent="0.25">
      <c r="A85" s="12">
        <f>A84+1</f>
      </c>
      <c r="B85" s="28">
        <f>EDATE(Debts!$B$14,A85)</f>
      </c>
      <c r="C85" s="29">
        <f>IF(M84&lt;=0,0,ROUND(M84*$C$5/12,2))</f>
      </c>
      <c r="D85" s="29">
        <f>IF(N84&lt;=0,0,ROUND(N84*$D$5/12,2))</f>
      </c>
      <c r="E85" s="29">
        <f>IF(O84&lt;=0,0,ROUND(O84*$E$5/12,2))</f>
      </c>
      <c r="F85" s="29">
        <f>IF(P84&lt;=0,0,ROUND(P84*$F$5/12,2))</f>
      </c>
      <c r="G85" s="29">
        <f>IF(Q84&lt;=0,0,ROUND(Q84*$G$5/12,2))</f>
      </c>
      <c r="H85" s="29">
        <f>IF(M84&lt;=0,0,MIN(M84+C85,$C$6+V85*$U85))</f>
      </c>
      <c r="I85" s="29">
        <f>IF(N84&lt;=0,0,MIN(N84+D85,$D$6+W85*$U85))</f>
      </c>
      <c r="J85" s="29">
        <f>IF(O84&lt;=0,0,MIN(O84+E85,$E$6+X85*$U85))</f>
      </c>
      <c r="K85" s="29">
        <f>IF(P84&lt;=0,0,MIN(P84+F85,$F$6+Y85*$U85))</f>
      </c>
      <c r="L85" s="29">
        <f>IF(Q84&lt;=0,0,MIN(Q84+G85,$G$6+Z85*$U85))</f>
      </c>
      <c r="M85" s="29">
        <f>ROUND(M84+C85-H85,2)</f>
      </c>
      <c r="N85" s="29">
        <f>ROUND(N84+D85-I85,2)</f>
      </c>
      <c r="O85" s="29">
        <f>ROUND(O84+E85-J85,2)</f>
      </c>
      <c r="P85" s="29">
        <f>ROUND(P84+F85-K85,2)</f>
      </c>
      <c r="Q85" s="29">
        <f>ROUND(Q84+G85-L85,2)</f>
      </c>
      <c r="R85" s="29">
        <f>SUM(H85:L85)</f>
      </c>
      <c r="S85" s="29">
        <f>SUM(C85:G85)</f>
      </c>
      <c r="T85" s="29">
        <f>SUM(M85:Q85)</f>
      </c>
      <c r="U85" s="30">
        <f>Debts!$B$13+SUMPRODUCT(($M84:$Q84&lt;=0)*$C$6:$G$6)</f>
      </c>
      <c r="V85" s="31">
        <f>IF(AND(M84&gt;0,SUMPRODUCT(($C$7:$G$7&lt;$C$7)*($M84:$Q84&gt;0))=0),1,0)</f>
      </c>
      <c r="W85" s="31">
        <f>IF(AND(N84&gt;0,SUMPRODUCT(($C$7:$G$7&lt;$D$7)*($M84:$Q84&gt;0))=0),1,0)</f>
      </c>
      <c r="X85" s="31">
        <f>IF(AND(O84&gt;0,SUMPRODUCT(($C$7:$G$7&lt;$E$7)*($M84:$Q84&gt;0))=0),1,0)</f>
      </c>
      <c r="Y85" s="31">
        <f>IF(AND(P84&gt;0,SUMPRODUCT(($C$7:$G$7&lt;$F$7)*($M84:$Q84&gt;0))=0),1,0)</f>
      </c>
      <c r="Z85" s="31">
        <f>IF(AND(Q84&gt;0,SUMPRODUCT(($C$7:$G$7&lt;$G$7)*($M84:$Q84&gt;0))=0),1,0)</f>
      </c>
    </row>
    <row r="86" spans="1:26" x14ac:dyDescent="0.25">
      <c r="A86" s="11">
        <f>A85+1</f>
      </c>
      <c r="B86" s="24">
        <f>EDATE(Debts!$B$14,A86)</f>
      </c>
      <c r="C86" s="25">
        <f>IF(M85&lt;=0,0,ROUND(M85*$C$5/12,2))</f>
      </c>
      <c r="D86" s="25">
        <f>IF(N85&lt;=0,0,ROUND(N85*$D$5/12,2))</f>
      </c>
      <c r="E86" s="25">
        <f>IF(O85&lt;=0,0,ROUND(O85*$E$5/12,2))</f>
      </c>
      <c r="F86" s="25">
        <f>IF(P85&lt;=0,0,ROUND(P85*$F$5/12,2))</f>
      </c>
      <c r="G86" s="25">
        <f>IF(Q85&lt;=0,0,ROUND(Q85*$G$5/12,2))</f>
      </c>
      <c r="H86" s="25">
        <f>IF(M85&lt;=0,0,MIN(M85+C86,$C$6+V86*$U86))</f>
      </c>
      <c r="I86" s="25">
        <f>IF(N85&lt;=0,0,MIN(N85+D86,$D$6+W86*$U86))</f>
      </c>
      <c r="J86" s="25">
        <f>IF(O85&lt;=0,0,MIN(O85+E86,$E$6+X86*$U86))</f>
      </c>
      <c r="K86" s="25">
        <f>IF(P85&lt;=0,0,MIN(P85+F86,$F$6+Y86*$U86))</f>
      </c>
      <c r="L86" s="25">
        <f>IF(Q85&lt;=0,0,MIN(Q85+G86,$G$6+Z86*$U86))</f>
      </c>
      <c r="M86" s="25">
        <f>ROUND(M85+C86-H86,2)</f>
      </c>
      <c r="N86" s="25">
        <f>ROUND(N85+D86-I86,2)</f>
      </c>
      <c r="O86" s="25">
        <f>ROUND(O85+E86-J86,2)</f>
      </c>
      <c r="P86" s="25">
        <f>ROUND(P85+F86-K86,2)</f>
      </c>
      <c r="Q86" s="25">
        <f>ROUND(Q85+G86-L86,2)</f>
      </c>
      <c r="R86" s="25">
        <f>SUM(H86:L86)</f>
      </c>
      <c r="S86" s="25">
        <f>SUM(C86:G86)</f>
      </c>
      <c r="T86" s="25">
        <f>SUM(M86:Q86)</f>
      </c>
      <c r="U86" s="26">
        <f>Debts!$B$13+SUMPRODUCT(($M85:$Q85&lt;=0)*$C$6:$G$6)</f>
      </c>
      <c r="V86" s="27">
        <f>IF(AND(M85&gt;0,SUMPRODUCT(($C$7:$G$7&lt;$C$7)*($M85:$Q85&gt;0))=0),1,0)</f>
      </c>
      <c r="W86" s="27">
        <f>IF(AND(N85&gt;0,SUMPRODUCT(($C$7:$G$7&lt;$D$7)*($M85:$Q85&gt;0))=0),1,0)</f>
      </c>
      <c r="X86" s="27">
        <f>IF(AND(O85&gt;0,SUMPRODUCT(($C$7:$G$7&lt;$E$7)*($M85:$Q85&gt;0))=0),1,0)</f>
      </c>
      <c r="Y86" s="27">
        <f>IF(AND(P85&gt;0,SUMPRODUCT(($C$7:$G$7&lt;$F$7)*($M85:$Q85&gt;0))=0),1,0)</f>
      </c>
      <c r="Z86" s="27">
        <f>IF(AND(Q85&gt;0,SUMPRODUCT(($C$7:$G$7&lt;$G$7)*($M85:$Q85&gt;0))=0),1,0)</f>
      </c>
    </row>
    <row r="87" spans="1:26" x14ac:dyDescent="0.25">
      <c r="A87" s="12">
        <f>A86+1</f>
      </c>
      <c r="B87" s="28">
        <f>EDATE(Debts!$B$14,A87)</f>
      </c>
      <c r="C87" s="29">
        <f>IF(M86&lt;=0,0,ROUND(M86*$C$5/12,2))</f>
      </c>
      <c r="D87" s="29">
        <f>IF(N86&lt;=0,0,ROUND(N86*$D$5/12,2))</f>
      </c>
      <c r="E87" s="29">
        <f>IF(O86&lt;=0,0,ROUND(O86*$E$5/12,2))</f>
      </c>
      <c r="F87" s="29">
        <f>IF(P86&lt;=0,0,ROUND(P86*$F$5/12,2))</f>
      </c>
      <c r="G87" s="29">
        <f>IF(Q86&lt;=0,0,ROUND(Q86*$G$5/12,2))</f>
      </c>
      <c r="H87" s="29">
        <f>IF(M86&lt;=0,0,MIN(M86+C87,$C$6+V87*$U87))</f>
      </c>
      <c r="I87" s="29">
        <f>IF(N86&lt;=0,0,MIN(N86+D87,$D$6+W87*$U87))</f>
      </c>
      <c r="J87" s="29">
        <f>IF(O86&lt;=0,0,MIN(O86+E87,$E$6+X87*$U87))</f>
      </c>
      <c r="K87" s="29">
        <f>IF(P86&lt;=0,0,MIN(P86+F87,$F$6+Y87*$U87))</f>
      </c>
      <c r="L87" s="29">
        <f>IF(Q86&lt;=0,0,MIN(Q86+G87,$G$6+Z87*$U87))</f>
      </c>
      <c r="M87" s="29">
        <f>ROUND(M86+C87-H87,2)</f>
      </c>
      <c r="N87" s="29">
        <f>ROUND(N86+D87-I87,2)</f>
      </c>
      <c r="O87" s="29">
        <f>ROUND(O86+E87-J87,2)</f>
      </c>
      <c r="P87" s="29">
        <f>ROUND(P86+F87-K87,2)</f>
      </c>
      <c r="Q87" s="29">
        <f>ROUND(Q86+G87-L87,2)</f>
      </c>
      <c r="R87" s="29">
        <f>SUM(H87:L87)</f>
      </c>
      <c r="S87" s="29">
        <f>SUM(C87:G87)</f>
      </c>
      <c r="T87" s="29">
        <f>SUM(M87:Q87)</f>
      </c>
      <c r="U87" s="30">
        <f>Debts!$B$13+SUMPRODUCT(($M86:$Q86&lt;=0)*$C$6:$G$6)</f>
      </c>
      <c r="V87" s="31">
        <f>IF(AND(M86&gt;0,SUMPRODUCT(($C$7:$G$7&lt;$C$7)*($M86:$Q86&gt;0))=0),1,0)</f>
      </c>
      <c r="W87" s="31">
        <f>IF(AND(N86&gt;0,SUMPRODUCT(($C$7:$G$7&lt;$D$7)*($M86:$Q86&gt;0))=0),1,0)</f>
      </c>
      <c r="X87" s="31">
        <f>IF(AND(O86&gt;0,SUMPRODUCT(($C$7:$G$7&lt;$E$7)*($M86:$Q86&gt;0))=0),1,0)</f>
      </c>
      <c r="Y87" s="31">
        <f>IF(AND(P86&gt;0,SUMPRODUCT(($C$7:$G$7&lt;$F$7)*($M86:$Q86&gt;0))=0),1,0)</f>
      </c>
      <c r="Z87" s="31">
        <f>IF(AND(Q86&gt;0,SUMPRODUCT(($C$7:$G$7&lt;$G$7)*($M86:$Q86&gt;0))=0),1,0)</f>
      </c>
    </row>
    <row r="88" spans="1:26" x14ac:dyDescent="0.25">
      <c r="A88" s="11">
        <f>A87+1</f>
      </c>
      <c r="B88" s="24">
        <f>EDATE(Debts!$B$14,A88)</f>
      </c>
      <c r="C88" s="25">
        <f>IF(M87&lt;=0,0,ROUND(M87*$C$5/12,2))</f>
      </c>
      <c r="D88" s="25">
        <f>IF(N87&lt;=0,0,ROUND(N87*$D$5/12,2))</f>
      </c>
      <c r="E88" s="25">
        <f>IF(O87&lt;=0,0,ROUND(O87*$E$5/12,2))</f>
      </c>
      <c r="F88" s="25">
        <f>IF(P87&lt;=0,0,ROUND(P87*$F$5/12,2))</f>
      </c>
      <c r="G88" s="25">
        <f>IF(Q87&lt;=0,0,ROUND(Q87*$G$5/12,2))</f>
      </c>
      <c r="H88" s="25">
        <f>IF(M87&lt;=0,0,MIN(M87+C88,$C$6+V88*$U88))</f>
      </c>
      <c r="I88" s="25">
        <f>IF(N87&lt;=0,0,MIN(N87+D88,$D$6+W88*$U88))</f>
      </c>
      <c r="J88" s="25">
        <f>IF(O87&lt;=0,0,MIN(O87+E88,$E$6+X88*$U88))</f>
      </c>
      <c r="K88" s="25">
        <f>IF(P87&lt;=0,0,MIN(P87+F88,$F$6+Y88*$U88))</f>
      </c>
      <c r="L88" s="25">
        <f>IF(Q87&lt;=0,0,MIN(Q87+G88,$G$6+Z88*$U88))</f>
      </c>
      <c r="M88" s="25">
        <f>ROUND(M87+C88-H88,2)</f>
      </c>
      <c r="N88" s="25">
        <f>ROUND(N87+D88-I88,2)</f>
      </c>
      <c r="O88" s="25">
        <f>ROUND(O87+E88-J88,2)</f>
      </c>
      <c r="P88" s="25">
        <f>ROUND(P87+F88-K88,2)</f>
      </c>
      <c r="Q88" s="25">
        <f>ROUND(Q87+G88-L88,2)</f>
      </c>
      <c r="R88" s="25">
        <f>SUM(H88:L88)</f>
      </c>
      <c r="S88" s="25">
        <f>SUM(C88:G88)</f>
      </c>
      <c r="T88" s="25">
        <f>SUM(M88:Q88)</f>
      </c>
      <c r="U88" s="26">
        <f>Debts!$B$13+SUMPRODUCT(($M87:$Q87&lt;=0)*$C$6:$G$6)</f>
      </c>
      <c r="V88" s="27">
        <f>IF(AND(M87&gt;0,SUMPRODUCT(($C$7:$G$7&lt;$C$7)*($M87:$Q87&gt;0))=0),1,0)</f>
      </c>
      <c r="W88" s="27">
        <f>IF(AND(N87&gt;0,SUMPRODUCT(($C$7:$G$7&lt;$D$7)*($M87:$Q87&gt;0))=0),1,0)</f>
      </c>
      <c r="X88" s="27">
        <f>IF(AND(O87&gt;0,SUMPRODUCT(($C$7:$G$7&lt;$E$7)*($M87:$Q87&gt;0))=0),1,0)</f>
      </c>
      <c r="Y88" s="27">
        <f>IF(AND(P87&gt;0,SUMPRODUCT(($C$7:$G$7&lt;$F$7)*($M87:$Q87&gt;0))=0),1,0)</f>
      </c>
      <c r="Z88" s="27">
        <f>IF(AND(Q87&gt;0,SUMPRODUCT(($C$7:$G$7&lt;$G$7)*($M87:$Q87&gt;0))=0),1,0)</f>
      </c>
    </row>
    <row r="89" spans="1:26" x14ac:dyDescent="0.25">
      <c r="A89" s="12">
        <f>A88+1</f>
      </c>
      <c r="B89" s="28">
        <f>EDATE(Debts!$B$14,A89)</f>
      </c>
      <c r="C89" s="29">
        <f>IF(M88&lt;=0,0,ROUND(M88*$C$5/12,2))</f>
      </c>
      <c r="D89" s="29">
        <f>IF(N88&lt;=0,0,ROUND(N88*$D$5/12,2))</f>
      </c>
      <c r="E89" s="29">
        <f>IF(O88&lt;=0,0,ROUND(O88*$E$5/12,2))</f>
      </c>
      <c r="F89" s="29">
        <f>IF(P88&lt;=0,0,ROUND(P88*$F$5/12,2))</f>
      </c>
      <c r="G89" s="29">
        <f>IF(Q88&lt;=0,0,ROUND(Q88*$G$5/12,2))</f>
      </c>
      <c r="H89" s="29">
        <f>IF(M88&lt;=0,0,MIN(M88+C89,$C$6+V89*$U89))</f>
      </c>
      <c r="I89" s="29">
        <f>IF(N88&lt;=0,0,MIN(N88+D89,$D$6+W89*$U89))</f>
      </c>
      <c r="J89" s="29">
        <f>IF(O88&lt;=0,0,MIN(O88+E89,$E$6+X89*$U89))</f>
      </c>
      <c r="K89" s="29">
        <f>IF(P88&lt;=0,0,MIN(P88+F89,$F$6+Y89*$U89))</f>
      </c>
      <c r="L89" s="29">
        <f>IF(Q88&lt;=0,0,MIN(Q88+G89,$G$6+Z89*$U89))</f>
      </c>
      <c r="M89" s="29">
        <f>ROUND(M88+C89-H89,2)</f>
      </c>
      <c r="N89" s="29">
        <f>ROUND(N88+D89-I89,2)</f>
      </c>
      <c r="O89" s="29">
        <f>ROUND(O88+E89-J89,2)</f>
      </c>
      <c r="P89" s="29">
        <f>ROUND(P88+F89-K89,2)</f>
      </c>
      <c r="Q89" s="29">
        <f>ROUND(Q88+G89-L89,2)</f>
      </c>
      <c r="R89" s="29">
        <f>SUM(H89:L89)</f>
      </c>
      <c r="S89" s="29">
        <f>SUM(C89:G89)</f>
      </c>
      <c r="T89" s="29">
        <f>SUM(M89:Q89)</f>
      </c>
      <c r="U89" s="30">
        <f>Debts!$B$13+SUMPRODUCT(($M88:$Q88&lt;=0)*$C$6:$G$6)</f>
      </c>
      <c r="V89" s="31">
        <f>IF(AND(M88&gt;0,SUMPRODUCT(($C$7:$G$7&lt;$C$7)*($M88:$Q88&gt;0))=0),1,0)</f>
      </c>
      <c r="W89" s="31">
        <f>IF(AND(N88&gt;0,SUMPRODUCT(($C$7:$G$7&lt;$D$7)*($M88:$Q88&gt;0))=0),1,0)</f>
      </c>
      <c r="X89" s="31">
        <f>IF(AND(O88&gt;0,SUMPRODUCT(($C$7:$G$7&lt;$E$7)*($M88:$Q88&gt;0))=0),1,0)</f>
      </c>
      <c r="Y89" s="31">
        <f>IF(AND(P88&gt;0,SUMPRODUCT(($C$7:$G$7&lt;$F$7)*($M88:$Q88&gt;0))=0),1,0)</f>
      </c>
      <c r="Z89" s="31">
        <f>IF(AND(Q88&gt;0,SUMPRODUCT(($C$7:$G$7&lt;$G$7)*($M88:$Q88&gt;0))=0),1,0)</f>
      </c>
    </row>
    <row r="90" spans="1:26" x14ac:dyDescent="0.25">
      <c r="A90" s="11">
        <f>A89+1</f>
      </c>
      <c r="B90" s="24">
        <f>EDATE(Debts!$B$14,A90)</f>
      </c>
      <c r="C90" s="25">
        <f>IF(M89&lt;=0,0,ROUND(M89*$C$5/12,2))</f>
      </c>
      <c r="D90" s="25">
        <f>IF(N89&lt;=0,0,ROUND(N89*$D$5/12,2))</f>
      </c>
      <c r="E90" s="25">
        <f>IF(O89&lt;=0,0,ROUND(O89*$E$5/12,2))</f>
      </c>
      <c r="F90" s="25">
        <f>IF(P89&lt;=0,0,ROUND(P89*$F$5/12,2))</f>
      </c>
      <c r="G90" s="25">
        <f>IF(Q89&lt;=0,0,ROUND(Q89*$G$5/12,2))</f>
      </c>
      <c r="H90" s="25">
        <f>IF(M89&lt;=0,0,MIN(M89+C90,$C$6+V90*$U90))</f>
      </c>
      <c r="I90" s="25">
        <f>IF(N89&lt;=0,0,MIN(N89+D90,$D$6+W90*$U90))</f>
      </c>
      <c r="J90" s="25">
        <f>IF(O89&lt;=0,0,MIN(O89+E90,$E$6+X90*$U90))</f>
      </c>
      <c r="K90" s="25">
        <f>IF(P89&lt;=0,0,MIN(P89+F90,$F$6+Y90*$U90))</f>
      </c>
      <c r="L90" s="25">
        <f>IF(Q89&lt;=0,0,MIN(Q89+G90,$G$6+Z90*$U90))</f>
      </c>
      <c r="M90" s="25">
        <f>ROUND(M89+C90-H90,2)</f>
      </c>
      <c r="N90" s="25">
        <f>ROUND(N89+D90-I90,2)</f>
      </c>
      <c r="O90" s="25">
        <f>ROUND(O89+E90-J90,2)</f>
      </c>
      <c r="P90" s="25">
        <f>ROUND(P89+F90-K90,2)</f>
      </c>
      <c r="Q90" s="25">
        <f>ROUND(Q89+G90-L90,2)</f>
      </c>
      <c r="R90" s="25">
        <f>SUM(H90:L90)</f>
      </c>
      <c r="S90" s="25">
        <f>SUM(C90:G90)</f>
      </c>
      <c r="T90" s="25">
        <f>SUM(M90:Q90)</f>
      </c>
      <c r="U90" s="26">
        <f>Debts!$B$13+SUMPRODUCT(($M89:$Q89&lt;=0)*$C$6:$G$6)</f>
      </c>
      <c r="V90" s="27">
        <f>IF(AND(M89&gt;0,SUMPRODUCT(($C$7:$G$7&lt;$C$7)*($M89:$Q89&gt;0))=0),1,0)</f>
      </c>
      <c r="W90" s="27">
        <f>IF(AND(N89&gt;0,SUMPRODUCT(($C$7:$G$7&lt;$D$7)*($M89:$Q89&gt;0))=0),1,0)</f>
      </c>
      <c r="X90" s="27">
        <f>IF(AND(O89&gt;0,SUMPRODUCT(($C$7:$G$7&lt;$E$7)*($M89:$Q89&gt;0))=0),1,0)</f>
      </c>
      <c r="Y90" s="27">
        <f>IF(AND(P89&gt;0,SUMPRODUCT(($C$7:$G$7&lt;$F$7)*($M89:$Q89&gt;0))=0),1,0)</f>
      </c>
      <c r="Z90" s="27">
        <f>IF(AND(Q89&gt;0,SUMPRODUCT(($C$7:$G$7&lt;$G$7)*($M89:$Q89&gt;0))=0),1,0)</f>
      </c>
    </row>
    <row r="91" spans="1:26" x14ac:dyDescent="0.25">
      <c r="A91" s="12">
        <f>A90+1</f>
      </c>
      <c r="B91" s="28">
        <f>EDATE(Debts!$B$14,A91)</f>
      </c>
      <c r="C91" s="29">
        <f>IF(M90&lt;=0,0,ROUND(M90*$C$5/12,2))</f>
      </c>
      <c r="D91" s="29">
        <f>IF(N90&lt;=0,0,ROUND(N90*$D$5/12,2))</f>
      </c>
      <c r="E91" s="29">
        <f>IF(O90&lt;=0,0,ROUND(O90*$E$5/12,2))</f>
      </c>
      <c r="F91" s="29">
        <f>IF(P90&lt;=0,0,ROUND(P90*$F$5/12,2))</f>
      </c>
      <c r="G91" s="29">
        <f>IF(Q90&lt;=0,0,ROUND(Q90*$G$5/12,2))</f>
      </c>
      <c r="H91" s="29">
        <f>IF(M90&lt;=0,0,MIN(M90+C91,$C$6+V91*$U91))</f>
      </c>
      <c r="I91" s="29">
        <f>IF(N90&lt;=0,0,MIN(N90+D91,$D$6+W91*$U91))</f>
      </c>
      <c r="J91" s="29">
        <f>IF(O90&lt;=0,0,MIN(O90+E91,$E$6+X91*$U91))</f>
      </c>
      <c r="K91" s="29">
        <f>IF(P90&lt;=0,0,MIN(P90+F91,$F$6+Y91*$U91))</f>
      </c>
      <c r="L91" s="29">
        <f>IF(Q90&lt;=0,0,MIN(Q90+G91,$G$6+Z91*$U91))</f>
      </c>
      <c r="M91" s="29">
        <f>ROUND(M90+C91-H91,2)</f>
      </c>
      <c r="N91" s="29">
        <f>ROUND(N90+D91-I91,2)</f>
      </c>
      <c r="O91" s="29">
        <f>ROUND(O90+E91-J91,2)</f>
      </c>
      <c r="P91" s="29">
        <f>ROUND(P90+F91-K91,2)</f>
      </c>
      <c r="Q91" s="29">
        <f>ROUND(Q90+G91-L91,2)</f>
      </c>
      <c r="R91" s="29">
        <f>SUM(H91:L91)</f>
      </c>
      <c r="S91" s="29">
        <f>SUM(C91:G91)</f>
      </c>
      <c r="T91" s="29">
        <f>SUM(M91:Q91)</f>
      </c>
      <c r="U91" s="30">
        <f>Debts!$B$13+SUMPRODUCT(($M90:$Q90&lt;=0)*$C$6:$G$6)</f>
      </c>
      <c r="V91" s="31">
        <f>IF(AND(M90&gt;0,SUMPRODUCT(($C$7:$G$7&lt;$C$7)*($M90:$Q90&gt;0))=0),1,0)</f>
      </c>
      <c r="W91" s="31">
        <f>IF(AND(N90&gt;0,SUMPRODUCT(($C$7:$G$7&lt;$D$7)*($M90:$Q90&gt;0))=0),1,0)</f>
      </c>
      <c r="X91" s="31">
        <f>IF(AND(O90&gt;0,SUMPRODUCT(($C$7:$G$7&lt;$E$7)*($M90:$Q90&gt;0))=0),1,0)</f>
      </c>
      <c r="Y91" s="31">
        <f>IF(AND(P90&gt;0,SUMPRODUCT(($C$7:$G$7&lt;$F$7)*($M90:$Q90&gt;0))=0),1,0)</f>
      </c>
      <c r="Z91" s="31">
        <f>IF(AND(Q90&gt;0,SUMPRODUCT(($C$7:$G$7&lt;$G$7)*($M90:$Q90&gt;0))=0),1,0)</f>
      </c>
    </row>
    <row r="92" spans="1:26" x14ac:dyDescent="0.25">
      <c r="A92" s="11">
        <f>A91+1</f>
      </c>
      <c r="B92" s="24">
        <f>EDATE(Debts!$B$14,A92)</f>
      </c>
      <c r="C92" s="25">
        <f>IF(M91&lt;=0,0,ROUND(M91*$C$5/12,2))</f>
      </c>
      <c r="D92" s="25">
        <f>IF(N91&lt;=0,0,ROUND(N91*$D$5/12,2))</f>
      </c>
      <c r="E92" s="25">
        <f>IF(O91&lt;=0,0,ROUND(O91*$E$5/12,2))</f>
      </c>
      <c r="F92" s="25">
        <f>IF(P91&lt;=0,0,ROUND(P91*$F$5/12,2))</f>
      </c>
      <c r="G92" s="25">
        <f>IF(Q91&lt;=0,0,ROUND(Q91*$G$5/12,2))</f>
      </c>
      <c r="H92" s="25">
        <f>IF(M91&lt;=0,0,MIN(M91+C92,$C$6+V92*$U92))</f>
      </c>
      <c r="I92" s="25">
        <f>IF(N91&lt;=0,0,MIN(N91+D92,$D$6+W92*$U92))</f>
      </c>
      <c r="J92" s="25">
        <f>IF(O91&lt;=0,0,MIN(O91+E92,$E$6+X92*$U92))</f>
      </c>
      <c r="K92" s="25">
        <f>IF(P91&lt;=0,0,MIN(P91+F92,$F$6+Y92*$U92))</f>
      </c>
      <c r="L92" s="25">
        <f>IF(Q91&lt;=0,0,MIN(Q91+G92,$G$6+Z92*$U92))</f>
      </c>
      <c r="M92" s="25">
        <f>ROUND(M91+C92-H92,2)</f>
      </c>
      <c r="N92" s="25">
        <f>ROUND(N91+D92-I92,2)</f>
      </c>
      <c r="O92" s="25">
        <f>ROUND(O91+E92-J92,2)</f>
      </c>
      <c r="P92" s="25">
        <f>ROUND(P91+F92-K92,2)</f>
      </c>
      <c r="Q92" s="25">
        <f>ROUND(Q91+G92-L92,2)</f>
      </c>
      <c r="R92" s="25">
        <f>SUM(H92:L92)</f>
      </c>
      <c r="S92" s="25">
        <f>SUM(C92:G92)</f>
      </c>
      <c r="T92" s="25">
        <f>SUM(M92:Q92)</f>
      </c>
      <c r="U92" s="26">
        <f>Debts!$B$13+SUMPRODUCT(($M91:$Q91&lt;=0)*$C$6:$G$6)</f>
      </c>
      <c r="V92" s="27">
        <f>IF(AND(M91&gt;0,SUMPRODUCT(($C$7:$G$7&lt;$C$7)*($M91:$Q91&gt;0))=0),1,0)</f>
      </c>
      <c r="W92" s="27">
        <f>IF(AND(N91&gt;0,SUMPRODUCT(($C$7:$G$7&lt;$D$7)*($M91:$Q91&gt;0))=0),1,0)</f>
      </c>
      <c r="X92" s="27">
        <f>IF(AND(O91&gt;0,SUMPRODUCT(($C$7:$G$7&lt;$E$7)*($M91:$Q91&gt;0))=0),1,0)</f>
      </c>
      <c r="Y92" s="27">
        <f>IF(AND(P91&gt;0,SUMPRODUCT(($C$7:$G$7&lt;$F$7)*($M91:$Q91&gt;0))=0),1,0)</f>
      </c>
      <c r="Z92" s="27">
        <f>IF(AND(Q91&gt;0,SUMPRODUCT(($C$7:$G$7&lt;$G$7)*($M91:$Q91&gt;0))=0),1,0)</f>
      </c>
    </row>
    <row r="93" spans="1:26" x14ac:dyDescent="0.25">
      <c r="A93" s="12">
        <f>A92+1</f>
      </c>
      <c r="B93" s="28">
        <f>EDATE(Debts!$B$14,A93)</f>
      </c>
      <c r="C93" s="29">
        <f>IF(M92&lt;=0,0,ROUND(M92*$C$5/12,2))</f>
      </c>
      <c r="D93" s="29">
        <f>IF(N92&lt;=0,0,ROUND(N92*$D$5/12,2))</f>
      </c>
      <c r="E93" s="29">
        <f>IF(O92&lt;=0,0,ROUND(O92*$E$5/12,2))</f>
      </c>
      <c r="F93" s="29">
        <f>IF(P92&lt;=0,0,ROUND(P92*$F$5/12,2))</f>
      </c>
      <c r="G93" s="29">
        <f>IF(Q92&lt;=0,0,ROUND(Q92*$G$5/12,2))</f>
      </c>
      <c r="H93" s="29">
        <f>IF(M92&lt;=0,0,MIN(M92+C93,$C$6+V93*$U93))</f>
      </c>
      <c r="I93" s="29">
        <f>IF(N92&lt;=0,0,MIN(N92+D93,$D$6+W93*$U93))</f>
      </c>
      <c r="J93" s="29">
        <f>IF(O92&lt;=0,0,MIN(O92+E93,$E$6+X93*$U93))</f>
      </c>
      <c r="K93" s="29">
        <f>IF(P92&lt;=0,0,MIN(P92+F93,$F$6+Y93*$U93))</f>
      </c>
      <c r="L93" s="29">
        <f>IF(Q92&lt;=0,0,MIN(Q92+G93,$G$6+Z93*$U93))</f>
      </c>
      <c r="M93" s="29">
        <f>ROUND(M92+C93-H93,2)</f>
      </c>
      <c r="N93" s="29">
        <f>ROUND(N92+D93-I93,2)</f>
      </c>
      <c r="O93" s="29">
        <f>ROUND(O92+E93-J93,2)</f>
      </c>
      <c r="P93" s="29">
        <f>ROUND(P92+F93-K93,2)</f>
      </c>
      <c r="Q93" s="29">
        <f>ROUND(Q92+G93-L93,2)</f>
      </c>
      <c r="R93" s="29">
        <f>SUM(H93:L93)</f>
      </c>
      <c r="S93" s="29">
        <f>SUM(C93:G93)</f>
      </c>
      <c r="T93" s="29">
        <f>SUM(M93:Q93)</f>
      </c>
      <c r="U93" s="30">
        <f>Debts!$B$13+SUMPRODUCT(($M92:$Q92&lt;=0)*$C$6:$G$6)</f>
      </c>
      <c r="V93" s="31">
        <f>IF(AND(M92&gt;0,SUMPRODUCT(($C$7:$G$7&lt;$C$7)*($M92:$Q92&gt;0))=0),1,0)</f>
      </c>
      <c r="W93" s="31">
        <f>IF(AND(N92&gt;0,SUMPRODUCT(($C$7:$G$7&lt;$D$7)*($M92:$Q92&gt;0))=0),1,0)</f>
      </c>
      <c r="X93" s="31">
        <f>IF(AND(O92&gt;0,SUMPRODUCT(($C$7:$G$7&lt;$E$7)*($M92:$Q92&gt;0))=0),1,0)</f>
      </c>
      <c r="Y93" s="31">
        <f>IF(AND(P92&gt;0,SUMPRODUCT(($C$7:$G$7&lt;$F$7)*($M92:$Q92&gt;0))=0),1,0)</f>
      </c>
      <c r="Z93" s="31">
        <f>IF(AND(Q92&gt;0,SUMPRODUCT(($C$7:$G$7&lt;$G$7)*($M92:$Q92&gt;0))=0),1,0)</f>
      </c>
    </row>
    <row r="94" spans="1:26" x14ac:dyDescent="0.25">
      <c r="A94" s="11">
        <f>A93+1</f>
      </c>
      <c r="B94" s="24">
        <f>EDATE(Debts!$B$14,A94)</f>
      </c>
      <c r="C94" s="25">
        <f>IF(M93&lt;=0,0,ROUND(M93*$C$5/12,2))</f>
      </c>
      <c r="D94" s="25">
        <f>IF(N93&lt;=0,0,ROUND(N93*$D$5/12,2))</f>
      </c>
      <c r="E94" s="25">
        <f>IF(O93&lt;=0,0,ROUND(O93*$E$5/12,2))</f>
      </c>
      <c r="F94" s="25">
        <f>IF(P93&lt;=0,0,ROUND(P93*$F$5/12,2))</f>
      </c>
      <c r="G94" s="25">
        <f>IF(Q93&lt;=0,0,ROUND(Q93*$G$5/12,2))</f>
      </c>
      <c r="H94" s="25">
        <f>IF(M93&lt;=0,0,MIN(M93+C94,$C$6+V94*$U94))</f>
      </c>
      <c r="I94" s="25">
        <f>IF(N93&lt;=0,0,MIN(N93+D94,$D$6+W94*$U94))</f>
      </c>
      <c r="J94" s="25">
        <f>IF(O93&lt;=0,0,MIN(O93+E94,$E$6+X94*$U94))</f>
      </c>
      <c r="K94" s="25">
        <f>IF(P93&lt;=0,0,MIN(P93+F94,$F$6+Y94*$U94))</f>
      </c>
      <c r="L94" s="25">
        <f>IF(Q93&lt;=0,0,MIN(Q93+G94,$G$6+Z94*$U94))</f>
      </c>
      <c r="M94" s="25">
        <f>ROUND(M93+C94-H94,2)</f>
      </c>
      <c r="N94" s="25">
        <f>ROUND(N93+D94-I94,2)</f>
      </c>
      <c r="O94" s="25">
        <f>ROUND(O93+E94-J94,2)</f>
      </c>
      <c r="P94" s="25">
        <f>ROUND(P93+F94-K94,2)</f>
      </c>
      <c r="Q94" s="25">
        <f>ROUND(Q93+G94-L94,2)</f>
      </c>
      <c r="R94" s="25">
        <f>SUM(H94:L94)</f>
      </c>
      <c r="S94" s="25">
        <f>SUM(C94:G94)</f>
      </c>
      <c r="T94" s="25">
        <f>SUM(M94:Q94)</f>
      </c>
      <c r="U94" s="26">
        <f>Debts!$B$13+SUMPRODUCT(($M93:$Q93&lt;=0)*$C$6:$G$6)</f>
      </c>
      <c r="V94" s="27">
        <f>IF(AND(M93&gt;0,SUMPRODUCT(($C$7:$G$7&lt;$C$7)*($M93:$Q93&gt;0))=0),1,0)</f>
      </c>
      <c r="W94" s="27">
        <f>IF(AND(N93&gt;0,SUMPRODUCT(($C$7:$G$7&lt;$D$7)*($M93:$Q93&gt;0))=0),1,0)</f>
      </c>
      <c r="X94" s="27">
        <f>IF(AND(O93&gt;0,SUMPRODUCT(($C$7:$G$7&lt;$E$7)*($M93:$Q93&gt;0))=0),1,0)</f>
      </c>
      <c r="Y94" s="27">
        <f>IF(AND(P93&gt;0,SUMPRODUCT(($C$7:$G$7&lt;$F$7)*($M93:$Q93&gt;0))=0),1,0)</f>
      </c>
      <c r="Z94" s="27">
        <f>IF(AND(Q93&gt;0,SUMPRODUCT(($C$7:$G$7&lt;$G$7)*($M93:$Q93&gt;0))=0),1,0)</f>
      </c>
    </row>
    <row r="95" spans="1:26" x14ac:dyDescent="0.25">
      <c r="A95" s="12">
        <f>A94+1</f>
      </c>
      <c r="B95" s="28">
        <f>EDATE(Debts!$B$14,A95)</f>
      </c>
      <c r="C95" s="29">
        <f>IF(M94&lt;=0,0,ROUND(M94*$C$5/12,2))</f>
      </c>
      <c r="D95" s="29">
        <f>IF(N94&lt;=0,0,ROUND(N94*$D$5/12,2))</f>
      </c>
      <c r="E95" s="29">
        <f>IF(O94&lt;=0,0,ROUND(O94*$E$5/12,2))</f>
      </c>
      <c r="F95" s="29">
        <f>IF(P94&lt;=0,0,ROUND(P94*$F$5/12,2))</f>
      </c>
      <c r="G95" s="29">
        <f>IF(Q94&lt;=0,0,ROUND(Q94*$G$5/12,2))</f>
      </c>
      <c r="H95" s="29">
        <f>IF(M94&lt;=0,0,MIN(M94+C95,$C$6+V95*$U95))</f>
      </c>
      <c r="I95" s="29">
        <f>IF(N94&lt;=0,0,MIN(N94+D95,$D$6+W95*$U95))</f>
      </c>
      <c r="J95" s="29">
        <f>IF(O94&lt;=0,0,MIN(O94+E95,$E$6+X95*$U95))</f>
      </c>
      <c r="K95" s="29">
        <f>IF(P94&lt;=0,0,MIN(P94+F95,$F$6+Y95*$U95))</f>
      </c>
      <c r="L95" s="29">
        <f>IF(Q94&lt;=0,0,MIN(Q94+G95,$G$6+Z95*$U95))</f>
      </c>
      <c r="M95" s="29">
        <f>ROUND(M94+C95-H95,2)</f>
      </c>
      <c r="N95" s="29">
        <f>ROUND(N94+D95-I95,2)</f>
      </c>
      <c r="O95" s="29">
        <f>ROUND(O94+E95-J95,2)</f>
      </c>
      <c r="P95" s="29">
        <f>ROUND(P94+F95-K95,2)</f>
      </c>
      <c r="Q95" s="29">
        <f>ROUND(Q94+G95-L95,2)</f>
      </c>
      <c r="R95" s="29">
        <f>SUM(H95:L95)</f>
      </c>
      <c r="S95" s="29">
        <f>SUM(C95:G95)</f>
      </c>
      <c r="T95" s="29">
        <f>SUM(M95:Q95)</f>
      </c>
      <c r="U95" s="30">
        <f>Debts!$B$13+SUMPRODUCT(($M94:$Q94&lt;=0)*$C$6:$G$6)</f>
      </c>
      <c r="V95" s="31">
        <f>IF(AND(M94&gt;0,SUMPRODUCT(($C$7:$G$7&lt;$C$7)*($M94:$Q94&gt;0))=0),1,0)</f>
      </c>
      <c r="W95" s="31">
        <f>IF(AND(N94&gt;0,SUMPRODUCT(($C$7:$G$7&lt;$D$7)*($M94:$Q94&gt;0))=0),1,0)</f>
      </c>
      <c r="X95" s="31">
        <f>IF(AND(O94&gt;0,SUMPRODUCT(($C$7:$G$7&lt;$E$7)*($M94:$Q94&gt;0))=0),1,0)</f>
      </c>
      <c r="Y95" s="31">
        <f>IF(AND(P94&gt;0,SUMPRODUCT(($C$7:$G$7&lt;$F$7)*($M94:$Q94&gt;0))=0),1,0)</f>
      </c>
      <c r="Z95" s="31">
        <f>IF(AND(Q94&gt;0,SUMPRODUCT(($C$7:$G$7&lt;$G$7)*($M94:$Q94&gt;0))=0),1,0)</f>
      </c>
    </row>
    <row r="96" spans="1:26" x14ac:dyDescent="0.25">
      <c r="A96" s="11">
        <f>A95+1</f>
      </c>
      <c r="B96" s="24">
        <f>EDATE(Debts!$B$14,A96)</f>
      </c>
      <c r="C96" s="25">
        <f>IF(M95&lt;=0,0,ROUND(M95*$C$5/12,2))</f>
      </c>
      <c r="D96" s="25">
        <f>IF(N95&lt;=0,0,ROUND(N95*$D$5/12,2))</f>
      </c>
      <c r="E96" s="25">
        <f>IF(O95&lt;=0,0,ROUND(O95*$E$5/12,2))</f>
      </c>
      <c r="F96" s="25">
        <f>IF(P95&lt;=0,0,ROUND(P95*$F$5/12,2))</f>
      </c>
      <c r="G96" s="25">
        <f>IF(Q95&lt;=0,0,ROUND(Q95*$G$5/12,2))</f>
      </c>
      <c r="H96" s="25">
        <f>IF(M95&lt;=0,0,MIN(M95+C96,$C$6+V96*$U96))</f>
      </c>
      <c r="I96" s="25">
        <f>IF(N95&lt;=0,0,MIN(N95+D96,$D$6+W96*$U96))</f>
      </c>
      <c r="J96" s="25">
        <f>IF(O95&lt;=0,0,MIN(O95+E96,$E$6+X96*$U96))</f>
      </c>
      <c r="K96" s="25">
        <f>IF(P95&lt;=0,0,MIN(P95+F96,$F$6+Y96*$U96))</f>
      </c>
      <c r="L96" s="25">
        <f>IF(Q95&lt;=0,0,MIN(Q95+G96,$G$6+Z96*$U96))</f>
      </c>
      <c r="M96" s="25">
        <f>ROUND(M95+C96-H96,2)</f>
      </c>
      <c r="N96" s="25">
        <f>ROUND(N95+D96-I96,2)</f>
      </c>
      <c r="O96" s="25">
        <f>ROUND(O95+E96-J96,2)</f>
      </c>
      <c r="P96" s="25">
        <f>ROUND(P95+F96-K96,2)</f>
      </c>
      <c r="Q96" s="25">
        <f>ROUND(Q95+G96-L96,2)</f>
      </c>
      <c r="R96" s="25">
        <f>SUM(H96:L96)</f>
      </c>
      <c r="S96" s="25">
        <f>SUM(C96:G96)</f>
      </c>
      <c r="T96" s="25">
        <f>SUM(M96:Q96)</f>
      </c>
      <c r="U96" s="26">
        <f>Debts!$B$13+SUMPRODUCT(($M95:$Q95&lt;=0)*$C$6:$G$6)</f>
      </c>
      <c r="V96" s="27">
        <f>IF(AND(M95&gt;0,SUMPRODUCT(($C$7:$G$7&lt;$C$7)*($M95:$Q95&gt;0))=0),1,0)</f>
      </c>
      <c r="W96" s="27">
        <f>IF(AND(N95&gt;0,SUMPRODUCT(($C$7:$G$7&lt;$D$7)*($M95:$Q95&gt;0))=0),1,0)</f>
      </c>
      <c r="X96" s="27">
        <f>IF(AND(O95&gt;0,SUMPRODUCT(($C$7:$G$7&lt;$E$7)*($M95:$Q95&gt;0))=0),1,0)</f>
      </c>
      <c r="Y96" s="27">
        <f>IF(AND(P95&gt;0,SUMPRODUCT(($C$7:$G$7&lt;$F$7)*($M95:$Q95&gt;0))=0),1,0)</f>
      </c>
      <c r="Z96" s="27">
        <f>IF(AND(Q95&gt;0,SUMPRODUCT(($C$7:$G$7&lt;$G$7)*($M95:$Q95&gt;0))=0),1,0)</f>
      </c>
    </row>
    <row r="97" spans="1:26" x14ac:dyDescent="0.25">
      <c r="A97" s="12">
        <f>A96+1</f>
      </c>
      <c r="B97" s="28">
        <f>EDATE(Debts!$B$14,A97)</f>
      </c>
      <c r="C97" s="29">
        <f>IF(M96&lt;=0,0,ROUND(M96*$C$5/12,2))</f>
      </c>
      <c r="D97" s="29">
        <f>IF(N96&lt;=0,0,ROUND(N96*$D$5/12,2))</f>
      </c>
      <c r="E97" s="29">
        <f>IF(O96&lt;=0,0,ROUND(O96*$E$5/12,2))</f>
      </c>
      <c r="F97" s="29">
        <f>IF(P96&lt;=0,0,ROUND(P96*$F$5/12,2))</f>
      </c>
      <c r="G97" s="29">
        <f>IF(Q96&lt;=0,0,ROUND(Q96*$G$5/12,2))</f>
      </c>
      <c r="H97" s="29">
        <f>IF(M96&lt;=0,0,MIN(M96+C97,$C$6+V97*$U97))</f>
      </c>
      <c r="I97" s="29">
        <f>IF(N96&lt;=0,0,MIN(N96+D97,$D$6+W97*$U97))</f>
      </c>
      <c r="J97" s="29">
        <f>IF(O96&lt;=0,0,MIN(O96+E97,$E$6+X97*$U97))</f>
      </c>
      <c r="K97" s="29">
        <f>IF(P96&lt;=0,0,MIN(P96+F97,$F$6+Y97*$U97))</f>
      </c>
      <c r="L97" s="29">
        <f>IF(Q96&lt;=0,0,MIN(Q96+G97,$G$6+Z97*$U97))</f>
      </c>
      <c r="M97" s="29">
        <f>ROUND(M96+C97-H97,2)</f>
      </c>
      <c r="N97" s="29">
        <f>ROUND(N96+D97-I97,2)</f>
      </c>
      <c r="O97" s="29">
        <f>ROUND(O96+E97-J97,2)</f>
      </c>
      <c r="P97" s="29">
        <f>ROUND(P96+F97-K97,2)</f>
      </c>
      <c r="Q97" s="29">
        <f>ROUND(Q96+G97-L97,2)</f>
      </c>
      <c r="R97" s="29">
        <f>SUM(H97:L97)</f>
      </c>
      <c r="S97" s="29">
        <f>SUM(C97:G97)</f>
      </c>
      <c r="T97" s="29">
        <f>SUM(M97:Q97)</f>
      </c>
      <c r="U97" s="30">
        <f>Debts!$B$13+SUMPRODUCT(($M96:$Q96&lt;=0)*$C$6:$G$6)</f>
      </c>
      <c r="V97" s="31">
        <f>IF(AND(M96&gt;0,SUMPRODUCT(($C$7:$G$7&lt;$C$7)*($M96:$Q96&gt;0))=0),1,0)</f>
      </c>
      <c r="W97" s="31">
        <f>IF(AND(N96&gt;0,SUMPRODUCT(($C$7:$G$7&lt;$D$7)*($M96:$Q96&gt;0))=0),1,0)</f>
      </c>
      <c r="X97" s="31">
        <f>IF(AND(O96&gt;0,SUMPRODUCT(($C$7:$G$7&lt;$E$7)*($M96:$Q96&gt;0))=0),1,0)</f>
      </c>
      <c r="Y97" s="31">
        <f>IF(AND(P96&gt;0,SUMPRODUCT(($C$7:$G$7&lt;$F$7)*($M96:$Q96&gt;0))=0),1,0)</f>
      </c>
      <c r="Z97" s="31">
        <f>IF(AND(Q96&gt;0,SUMPRODUCT(($C$7:$G$7&lt;$G$7)*($M96:$Q96&gt;0))=0),1,0)</f>
      </c>
    </row>
    <row r="98" spans="1:26" x14ac:dyDescent="0.25">
      <c r="A98" s="11">
        <f>A97+1</f>
      </c>
      <c r="B98" s="24">
        <f>EDATE(Debts!$B$14,A98)</f>
      </c>
      <c r="C98" s="25">
        <f>IF(M97&lt;=0,0,ROUND(M97*$C$5/12,2))</f>
      </c>
      <c r="D98" s="25">
        <f>IF(N97&lt;=0,0,ROUND(N97*$D$5/12,2))</f>
      </c>
      <c r="E98" s="25">
        <f>IF(O97&lt;=0,0,ROUND(O97*$E$5/12,2))</f>
      </c>
      <c r="F98" s="25">
        <f>IF(P97&lt;=0,0,ROUND(P97*$F$5/12,2))</f>
      </c>
      <c r="G98" s="25">
        <f>IF(Q97&lt;=0,0,ROUND(Q97*$G$5/12,2))</f>
      </c>
      <c r="H98" s="25">
        <f>IF(M97&lt;=0,0,MIN(M97+C98,$C$6+V98*$U98))</f>
      </c>
      <c r="I98" s="25">
        <f>IF(N97&lt;=0,0,MIN(N97+D98,$D$6+W98*$U98))</f>
      </c>
      <c r="J98" s="25">
        <f>IF(O97&lt;=0,0,MIN(O97+E98,$E$6+X98*$U98))</f>
      </c>
      <c r="K98" s="25">
        <f>IF(P97&lt;=0,0,MIN(P97+F98,$F$6+Y98*$U98))</f>
      </c>
      <c r="L98" s="25">
        <f>IF(Q97&lt;=0,0,MIN(Q97+G98,$G$6+Z98*$U98))</f>
      </c>
      <c r="M98" s="25">
        <f>ROUND(M97+C98-H98,2)</f>
      </c>
      <c r="N98" s="25">
        <f>ROUND(N97+D98-I98,2)</f>
      </c>
      <c r="O98" s="25">
        <f>ROUND(O97+E98-J98,2)</f>
      </c>
      <c r="P98" s="25">
        <f>ROUND(P97+F98-K98,2)</f>
      </c>
      <c r="Q98" s="25">
        <f>ROUND(Q97+G98-L98,2)</f>
      </c>
      <c r="R98" s="25">
        <f>SUM(H98:L98)</f>
      </c>
      <c r="S98" s="25">
        <f>SUM(C98:G98)</f>
      </c>
      <c r="T98" s="25">
        <f>SUM(M98:Q98)</f>
      </c>
      <c r="U98" s="26">
        <f>Debts!$B$13+SUMPRODUCT(($M97:$Q97&lt;=0)*$C$6:$G$6)</f>
      </c>
      <c r="V98" s="27">
        <f>IF(AND(M97&gt;0,SUMPRODUCT(($C$7:$G$7&lt;$C$7)*($M97:$Q97&gt;0))=0),1,0)</f>
      </c>
      <c r="W98" s="27">
        <f>IF(AND(N97&gt;0,SUMPRODUCT(($C$7:$G$7&lt;$D$7)*($M97:$Q97&gt;0))=0),1,0)</f>
      </c>
      <c r="X98" s="27">
        <f>IF(AND(O97&gt;0,SUMPRODUCT(($C$7:$G$7&lt;$E$7)*($M97:$Q97&gt;0))=0),1,0)</f>
      </c>
      <c r="Y98" s="27">
        <f>IF(AND(P97&gt;0,SUMPRODUCT(($C$7:$G$7&lt;$F$7)*($M97:$Q97&gt;0))=0),1,0)</f>
      </c>
      <c r="Z98" s="27">
        <f>IF(AND(Q97&gt;0,SUMPRODUCT(($C$7:$G$7&lt;$G$7)*($M97:$Q97&gt;0))=0),1,0)</f>
      </c>
    </row>
    <row r="99" spans="1:26" x14ac:dyDescent="0.25">
      <c r="A99" s="12">
        <f>A98+1</f>
      </c>
      <c r="B99" s="28">
        <f>EDATE(Debts!$B$14,A99)</f>
      </c>
      <c r="C99" s="29">
        <f>IF(M98&lt;=0,0,ROUND(M98*$C$5/12,2))</f>
      </c>
      <c r="D99" s="29">
        <f>IF(N98&lt;=0,0,ROUND(N98*$D$5/12,2))</f>
      </c>
      <c r="E99" s="29">
        <f>IF(O98&lt;=0,0,ROUND(O98*$E$5/12,2))</f>
      </c>
      <c r="F99" s="29">
        <f>IF(P98&lt;=0,0,ROUND(P98*$F$5/12,2))</f>
      </c>
      <c r="G99" s="29">
        <f>IF(Q98&lt;=0,0,ROUND(Q98*$G$5/12,2))</f>
      </c>
      <c r="H99" s="29">
        <f>IF(M98&lt;=0,0,MIN(M98+C99,$C$6+V99*$U99))</f>
      </c>
      <c r="I99" s="29">
        <f>IF(N98&lt;=0,0,MIN(N98+D99,$D$6+W99*$U99))</f>
      </c>
      <c r="J99" s="29">
        <f>IF(O98&lt;=0,0,MIN(O98+E99,$E$6+X99*$U99))</f>
      </c>
      <c r="K99" s="29">
        <f>IF(P98&lt;=0,0,MIN(P98+F99,$F$6+Y99*$U99))</f>
      </c>
      <c r="L99" s="29">
        <f>IF(Q98&lt;=0,0,MIN(Q98+G99,$G$6+Z99*$U99))</f>
      </c>
      <c r="M99" s="29">
        <f>ROUND(M98+C99-H99,2)</f>
      </c>
      <c r="N99" s="29">
        <f>ROUND(N98+D99-I99,2)</f>
      </c>
      <c r="O99" s="29">
        <f>ROUND(O98+E99-J99,2)</f>
      </c>
      <c r="P99" s="29">
        <f>ROUND(P98+F99-K99,2)</f>
      </c>
      <c r="Q99" s="29">
        <f>ROUND(Q98+G99-L99,2)</f>
      </c>
      <c r="R99" s="29">
        <f>SUM(H99:L99)</f>
      </c>
      <c r="S99" s="29">
        <f>SUM(C99:G99)</f>
      </c>
      <c r="T99" s="29">
        <f>SUM(M99:Q99)</f>
      </c>
      <c r="U99" s="30">
        <f>Debts!$B$13+SUMPRODUCT(($M98:$Q98&lt;=0)*$C$6:$G$6)</f>
      </c>
      <c r="V99" s="31">
        <f>IF(AND(M98&gt;0,SUMPRODUCT(($C$7:$G$7&lt;$C$7)*($M98:$Q98&gt;0))=0),1,0)</f>
      </c>
      <c r="W99" s="31">
        <f>IF(AND(N98&gt;0,SUMPRODUCT(($C$7:$G$7&lt;$D$7)*($M98:$Q98&gt;0))=0),1,0)</f>
      </c>
      <c r="X99" s="31">
        <f>IF(AND(O98&gt;0,SUMPRODUCT(($C$7:$G$7&lt;$E$7)*($M98:$Q98&gt;0))=0),1,0)</f>
      </c>
      <c r="Y99" s="31">
        <f>IF(AND(P98&gt;0,SUMPRODUCT(($C$7:$G$7&lt;$F$7)*($M98:$Q98&gt;0))=0),1,0)</f>
      </c>
      <c r="Z99" s="31">
        <f>IF(AND(Q98&gt;0,SUMPRODUCT(($C$7:$G$7&lt;$G$7)*($M98:$Q98&gt;0))=0),1,0)</f>
      </c>
    </row>
    <row r="100" spans="1:26" x14ac:dyDescent="0.25">
      <c r="A100" s="11">
        <f>A99+1</f>
      </c>
      <c r="B100" s="24">
        <f>EDATE(Debts!$B$14,A100)</f>
      </c>
      <c r="C100" s="25">
        <f>IF(M99&lt;=0,0,ROUND(M99*$C$5/12,2))</f>
      </c>
      <c r="D100" s="25">
        <f>IF(N99&lt;=0,0,ROUND(N99*$D$5/12,2))</f>
      </c>
      <c r="E100" s="25">
        <f>IF(O99&lt;=0,0,ROUND(O99*$E$5/12,2))</f>
      </c>
      <c r="F100" s="25">
        <f>IF(P99&lt;=0,0,ROUND(P99*$F$5/12,2))</f>
      </c>
      <c r="G100" s="25">
        <f>IF(Q99&lt;=0,0,ROUND(Q99*$G$5/12,2))</f>
      </c>
      <c r="H100" s="25">
        <f>IF(M99&lt;=0,0,MIN(M99+C100,$C$6+V100*$U100))</f>
      </c>
      <c r="I100" s="25">
        <f>IF(N99&lt;=0,0,MIN(N99+D100,$D$6+W100*$U100))</f>
      </c>
      <c r="J100" s="25">
        <f>IF(O99&lt;=0,0,MIN(O99+E100,$E$6+X100*$U100))</f>
      </c>
      <c r="K100" s="25">
        <f>IF(P99&lt;=0,0,MIN(P99+F100,$F$6+Y100*$U100))</f>
      </c>
      <c r="L100" s="25">
        <f>IF(Q99&lt;=0,0,MIN(Q99+G100,$G$6+Z100*$U100))</f>
      </c>
      <c r="M100" s="25">
        <f>ROUND(M99+C100-H100,2)</f>
      </c>
      <c r="N100" s="25">
        <f>ROUND(N99+D100-I100,2)</f>
      </c>
      <c r="O100" s="25">
        <f>ROUND(O99+E100-J100,2)</f>
      </c>
      <c r="P100" s="25">
        <f>ROUND(P99+F100-K100,2)</f>
      </c>
      <c r="Q100" s="25">
        <f>ROUND(Q99+G100-L100,2)</f>
      </c>
      <c r="R100" s="25">
        <f>SUM(H100:L100)</f>
      </c>
      <c r="S100" s="25">
        <f>SUM(C100:G100)</f>
      </c>
      <c r="T100" s="25">
        <f>SUM(M100:Q100)</f>
      </c>
      <c r="U100" s="26">
        <f>Debts!$B$13+SUMPRODUCT(($M99:$Q99&lt;=0)*$C$6:$G$6)</f>
      </c>
      <c r="V100" s="27">
        <f>IF(AND(M99&gt;0,SUMPRODUCT(($C$7:$G$7&lt;$C$7)*($M99:$Q99&gt;0))=0),1,0)</f>
      </c>
      <c r="W100" s="27">
        <f>IF(AND(N99&gt;0,SUMPRODUCT(($C$7:$G$7&lt;$D$7)*($M99:$Q99&gt;0))=0),1,0)</f>
      </c>
      <c r="X100" s="27">
        <f>IF(AND(O99&gt;0,SUMPRODUCT(($C$7:$G$7&lt;$E$7)*($M99:$Q99&gt;0))=0),1,0)</f>
      </c>
      <c r="Y100" s="27">
        <f>IF(AND(P99&gt;0,SUMPRODUCT(($C$7:$G$7&lt;$F$7)*($M99:$Q99&gt;0))=0),1,0)</f>
      </c>
      <c r="Z100" s="27">
        <f>IF(AND(Q99&gt;0,SUMPRODUCT(($C$7:$G$7&lt;$G$7)*($M99:$Q99&gt;0))=0),1,0)</f>
      </c>
    </row>
    <row r="101" spans="1:26" x14ac:dyDescent="0.25">
      <c r="A101" s="12">
        <f>A100+1</f>
      </c>
      <c r="B101" s="28">
        <f>EDATE(Debts!$B$14,A101)</f>
      </c>
      <c r="C101" s="29">
        <f>IF(M100&lt;=0,0,ROUND(M100*$C$5/12,2))</f>
      </c>
      <c r="D101" s="29">
        <f>IF(N100&lt;=0,0,ROUND(N100*$D$5/12,2))</f>
      </c>
      <c r="E101" s="29">
        <f>IF(O100&lt;=0,0,ROUND(O100*$E$5/12,2))</f>
      </c>
      <c r="F101" s="29">
        <f>IF(P100&lt;=0,0,ROUND(P100*$F$5/12,2))</f>
      </c>
      <c r="G101" s="29">
        <f>IF(Q100&lt;=0,0,ROUND(Q100*$G$5/12,2))</f>
      </c>
      <c r="H101" s="29">
        <f>IF(M100&lt;=0,0,MIN(M100+C101,$C$6+V101*$U101))</f>
      </c>
      <c r="I101" s="29">
        <f>IF(N100&lt;=0,0,MIN(N100+D101,$D$6+W101*$U101))</f>
      </c>
      <c r="J101" s="29">
        <f>IF(O100&lt;=0,0,MIN(O100+E101,$E$6+X101*$U101))</f>
      </c>
      <c r="K101" s="29">
        <f>IF(P100&lt;=0,0,MIN(P100+F101,$F$6+Y101*$U101))</f>
      </c>
      <c r="L101" s="29">
        <f>IF(Q100&lt;=0,0,MIN(Q100+G101,$G$6+Z101*$U101))</f>
      </c>
      <c r="M101" s="29">
        <f>ROUND(M100+C101-H101,2)</f>
      </c>
      <c r="N101" s="29">
        <f>ROUND(N100+D101-I101,2)</f>
      </c>
      <c r="O101" s="29">
        <f>ROUND(O100+E101-J101,2)</f>
      </c>
      <c r="P101" s="29">
        <f>ROUND(P100+F101-K101,2)</f>
      </c>
      <c r="Q101" s="29">
        <f>ROUND(Q100+G101-L101,2)</f>
      </c>
      <c r="R101" s="29">
        <f>SUM(H101:L101)</f>
      </c>
      <c r="S101" s="29">
        <f>SUM(C101:G101)</f>
      </c>
      <c r="T101" s="29">
        <f>SUM(M101:Q101)</f>
      </c>
      <c r="U101" s="30">
        <f>Debts!$B$13+SUMPRODUCT(($M100:$Q100&lt;=0)*$C$6:$G$6)</f>
      </c>
      <c r="V101" s="31">
        <f>IF(AND(M100&gt;0,SUMPRODUCT(($C$7:$G$7&lt;$C$7)*($M100:$Q100&gt;0))=0),1,0)</f>
      </c>
      <c r="W101" s="31">
        <f>IF(AND(N100&gt;0,SUMPRODUCT(($C$7:$G$7&lt;$D$7)*($M100:$Q100&gt;0))=0),1,0)</f>
      </c>
      <c r="X101" s="31">
        <f>IF(AND(O100&gt;0,SUMPRODUCT(($C$7:$G$7&lt;$E$7)*($M100:$Q100&gt;0))=0),1,0)</f>
      </c>
      <c r="Y101" s="31">
        <f>IF(AND(P100&gt;0,SUMPRODUCT(($C$7:$G$7&lt;$F$7)*($M100:$Q100&gt;0))=0),1,0)</f>
      </c>
      <c r="Z101" s="31">
        <f>IF(AND(Q100&gt;0,SUMPRODUCT(($C$7:$G$7&lt;$G$7)*($M100:$Q100&gt;0))=0),1,0)</f>
      </c>
    </row>
    <row r="102" spans="1:26" x14ac:dyDescent="0.25">
      <c r="A102" s="11">
        <f>A101+1</f>
      </c>
      <c r="B102" s="24">
        <f>EDATE(Debts!$B$14,A102)</f>
      </c>
      <c r="C102" s="25">
        <f>IF(M101&lt;=0,0,ROUND(M101*$C$5/12,2))</f>
      </c>
      <c r="D102" s="25">
        <f>IF(N101&lt;=0,0,ROUND(N101*$D$5/12,2))</f>
      </c>
      <c r="E102" s="25">
        <f>IF(O101&lt;=0,0,ROUND(O101*$E$5/12,2))</f>
      </c>
      <c r="F102" s="25">
        <f>IF(P101&lt;=0,0,ROUND(P101*$F$5/12,2))</f>
      </c>
      <c r="G102" s="25">
        <f>IF(Q101&lt;=0,0,ROUND(Q101*$G$5/12,2))</f>
      </c>
      <c r="H102" s="25">
        <f>IF(M101&lt;=0,0,MIN(M101+C102,$C$6+V102*$U102))</f>
      </c>
      <c r="I102" s="25">
        <f>IF(N101&lt;=0,0,MIN(N101+D102,$D$6+W102*$U102))</f>
      </c>
      <c r="J102" s="25">
        <f>IF(O101&lt;=0,0,MIN(O101+E102,$E$6+X102*$U102))</f>
      </c>
      <c r="K102" s="25">
        <f>IF(P101&lt;=0,0,MIN(P101+F102,$F$6+Y102*$U102))</f>
      </c>
      <c r="L102" s="25">
        <f>IF(Q101&lt;=0,0,MIN(Q101+G102,$G$6+Z102*$U102))</f>
      </c>
      <c r="M102" s="25">
        <f>ROUND(M101+C102-H102,2)</f>
      </c>
      <c r="N102" s="25">
        <f>ROUND(N101+D102-I102,2)</f>
      </c>
      <c r="O102" s="25">
        <f>ROUND(O101+E102-J102,2)</f>
      </c>
      <c r="P102" s="25">
        <f>ROUND(P101+F102-K102,2)</f>
      </c>
      <c r="Q102" s="25">
        <f>ROUND(Q101+G102-L102,2)</f>
      </c>
      <c r="R102" s="25">
        <f>SUM(H102:L102)</f>
      </c>
      <c r="S102" s="25">
        <f>SUM(C102:G102)</f>
      </c>
      <c r="T102" s="25">
        <f>SUM(M102:Q102)</f>
      </c>
      <c r="U102" s="26">
        <f>Debts!$B$13+SUMPRODUCT(($M101:$Q101&lt;=0)*$C$6:$G$6)</f>
      </c>
      <c r="V102" s="27">
        <f>IF(AND(M101&gt;0,SUMPRODUCT(($C$7:$G$7&lt;$C$7)*($M101:$Q101&gt;0))=0),1,0)</f>
      </c>
      <c r="W102" s="27">
        <f>IF(AND(N101&gt;0,SUMPRODUCT(($C$7:$G$7&lt;$D$7)*($M101:$Q101&gt;0))=0),1,0)</f>
      </c>
      <c r="X102" s="27">
        <f>IF(AND(O101&gt;0,SUMPRODUCT(($C$7:$G$7&lt;$E$7)*($M101:$Q101&gt;0))=0),1,0)</f>
      </c>
      <c r="Y102" s="27">
        <f>IF(AND(P101&gt;0,SUMPRODUCT(($C$7:$G$7&lt;$F$7)*($M101:$Q101&gt;0))=0),1,0)</f>
      </c>
      <c r="Z102" s="27">
        <f>IF(AND(Q101&gt;0,SUMPRODUCT(($C$7:$G$7&lt;$G$7)*($M101:$Q101&gt;0))=0),1,0)</f>
      </c>
    </row>
    <row r="103" spans="1:26" x14ac:dyDescent="0.25">
      <c r="A103" s="12">
        <f>A102+1</f>
      </c>
      <c r="B103" s="28">
        <f>EDATE(Debts!$B$14,A103)</f>
      </c>
      <c r="C103" s="29">
        <f>IF(M102&lt;=0,0,ROUND(M102*$C$5/12,2))</f>
      </c>
      <c r="D103" s="29">
        <f>IF(N102&lt;=0,0,ROUND(N102*$D$5/12,2))</f>
      </c>
      <c r="E103" s="29">
        <f>IF(O102&lt;=0,0,ROUND(O102*$E$5/12,2))</f>
      </c>
      <c r="F103" s="29">
        <f>IF(P102&lt;=0,0,ROUND(P102*$F$5/12,2))</f>
      </c>
      <c r="G103" s="29">
        <f>IF(Q102&lt;=0,0,ROUND(Q102*$G$5/12,2))</f>
      </c>
      <c r="H103" s="29">
        <f>IF(M102&lt;=0,0,MIN(M102+C103,$C$6+V103*$U103))</f>
      </c>
      <c r="I103" s="29">
        <f>IF(N102&lt;=0,0,MIN(N102+D103,$D$6+W103*$U103))</f>
      </c>
      <c r="J103" s="29">
        <f>IF(O102&lt;=0,0,MIN(O102+E103,$E$6+X103*$U103))</f>
      </c>
      <c r="K103" s="29">
        <f>IF(P102&lt;=0,0,MIN(P102+F103,$F$6+Y103*$U103))</f>
      </c>
      <c r="L103" s="29">
        <f>IF(Q102&lt;=0,0,MIN(Q102+G103,$G$6+Z103*$U103))</f>
      </c>
      <c r="M103" s="29">
        <f>ROUND(M102+C103-H103,2)</f>
      </c>
      <c r="N103" s="29">
        <f>ROUND(N102+D103-I103,2)</f>
      </c>
      <c r="O103" s="29">
        <f>ROUND(O102+E103-J103,2)</f>
      </c>
      <c r="P103" s="29">
        <f>ROUND(P102+F103-K103,2)</f>
      </c>
      <c r="Q103" s="29">
        <f>ROUND(Q102+G103-L103,2)</f>
      </c>
      <c r="R103" s="29">
        <f>SUM(H103:L103)</f>
      </c>
      <c r="S103" s="29">
        <f>SUM(C103:G103)</f>
      </c>
      <c r="T103" s="29">
        <f>SUM(M103:Q103)</f>
      </c>
      <c r="U103" s="30">
        <f>Debts!$B$13+SUMPRODUCT(($M102:$Q102&lt;=0)*$C$6:$G$6)</f>
      </c>
      <c r="V103" s="31">
        <f>IF(AND(M102&gt;0,SUMPRODUCT(($C$7:$G$7&lt;$C$7)*($M102:$Q102&gt;0))=0),1,0)</f>
      </c>
      <c r="W103" s="31">
        <f>IF(AND(N102&gt;0,SUMPRODUCT(($C$7:$G$7&lt;$D$7)*($M102:$Q102&gt;0))=0),1,0)</f>
      </c>
      <c r="X103" s="31">
        <f>IF(AND(O102&gt;0,SUMPRODUCT(($C$7:$G$7&lt;$E$7)*($M102:$Q102&gt;0))=0),1,0)</f>
      </c>
      <c r="Y103" s="31">
        <f>IF(AND(P102&gt;0,SUMPRODUCT(($C$7:$G$7&lt;$F$7)*($M102:$Q102&gt;0))=0),1,0)</f>
      </c>
      <c r="Z103" s="31">
        <f>IF(AND(Q102&gt;0,SUMPRODUCT(($C$7:$G$7&lt;$G$7)*($M102:$Q102&gt;0))=0),1,0)</f>
      </c>
    </row>
    <row r="104" spans="1:26" x14ac:dyDescent="0.25">
      <c r="A104" s="11">
        <f>A103+1</f>
      </c>
      <c r="B104" s="24">
        <f>EDATE(Debts!$B$14,A104)</f>
      </c>
      <c r="C104" s="25">
        <f>IF(M103&lt;=0,0,ROUND(M103*$C$5/12,2))</f>
      </c>
      <c r="D104" s="25">
        <f>IF(N103&lt;=0,0,ROUND(N103*$D$5/12,2))</f>
      </c>
      <c r="E104" s="25">
        <f>IF(O103&lt;=0,0,ROUND(O103*$E$5/12,2))</f>
      </c>
      <c r="F104" s="25">
        <f>IF(P103&lt;=0,0,ROUND(P103*$F$5/12,2))</f>
      </c>
      <c r="G104" s="25">
        <f>IF(Q103&lt;=0,0,ROUND(Q103*$G$5/12,2))</f>
      </c>
      <c r="H104" s="25">
        <f>IF(M103&lt;=0,0,MIN(M103+C104,$C$6+V104*$U104))</f>
      </c>
      <c r="I104" s="25">
        <f>IF(N103&lt;=0,0,MIN(N103+D104,$D$6+W104*$U104))</f>
      </c>
      <c r="J104" s="25">
        <f>IF(O103&lt;=0,0,MIN(O103+E104,$E$6+X104*$U104))</f>
      </c>
      <c r="K104" s="25">
        <f>IF(P103&lt;=0,0,MIN(P103+F104,$F$6+Y104*$U104))</f>
      </c>
      <c r="L104" s="25">
        <f>IF(Q103&lt;=0,0,MIN(Q103+G104,$G$6+Z104*$U104))</f>
      </c>
      <c r="M104" s="25">
        <f>ROUND(M103+C104-H104,2)</f>
      </c>
      <c r="N104" s="25">
        <f>ROUND(N103+D104-I104,2)</f>
      </c>
      <c r="O104" s="25">
        <f>ROUND(O103+E104-J104,2)</f>
      </c>
      <c r="P104" s="25">
        <f>ROUND(P103+F104-K104,2)</f>
      </c>
      <c r="Q104" s="25">
        <f>ROUND(Q103+G104-L104,2)</f>
      </c>
      <c r="R104" s="25">
        <f>SUM(H104:L104)</f>
      </c>
      <c r="S104" s="25">
        <f>SUM(C104:G104)</f>
      </c>
      <c r="T104" s="25">
        <f>SUM(M104:Q104)</f>
      </c>
      <c r="U104" s="26">
        <f>Debts!$B$13+SUMPRODUCT(($M103:$Q103&lt;=0)*$C$6:$G$6)</f>
      </c>
      <c r="V104" s="27">
        <f>IF(AND(M103&gt;0,SUMPRODUCT(($C$7:$G$7&lt;$C$7)*($M103:$Q103&gt;0))=0),1,0)</f>
      </c>
      <c r="W104" s="27">
        <f>IF(AND(N103&gt;0,SUMPRODUCT(($C$7:$G$7&lt;$D$7)*($M103:$Q103&gt;0))=0),1,0)</f>
      </c>
      <c r="X104" s="27">
        <f>IF(AND(O103&gt;0,SUMPRODUCT(($C$7:$G$7&lt;$E$7)*($M103:$Q103&gt;0))=0),1,0)</f>
      </c>
      <c r="Y104" s="27">
        <f>IF(AND(P103&gt;0,SUMPRODUCT(($C$7:$G$7&lt;$F$7)*($M103:$Q103&gt;0))=0),1,0)</f>
      </c>
      <c r="Z104" s="27">
        <f>IF(AND(Q103&gt;0,SUMPRODUCT(($C$7:$G$7&lt;$G$7)*($M103:$Q103&gt;0))=0),1,0)</f>
      </c>
    </row>
    <row r="105" spans="1:26" x14ac:dyDescent="0.25">
      <c r="A105" s="12">
        <f>A104+1</f>
      </c>
      <c r="B105" s="28">
        <f>EDATE(Debts!$B$14,A105)</f>
      </c>
      <c r="C105" s="29">
        <f>IF(M104&lt;=0,0,ROUND(M104*$C$5/12,2))</f>
      </c>
      <c r="D105" s="29">
        <f>IF(N104&lt;=0,0,ROUND(N104*$D$5/12,2))</f>
      </c>
      <c r="E105" s="29">
        <f>IF(O104&lt;=0,0,ROUND(O104*$E$5/12,2))</f>
      </c>
      <c r="F105" s="29">
        <f>IF(P104&lt;=0,0,ROUND(P104*$F$5/12,2))</f>
      </c>
      <c r="G105" s="29">
        <f>IF(Q104&lt;=0,0,ROUND(Q104*$G$5/12,2))</f>
      </c>
      <c r="H105" s="29">
        <f>IF(M104&lt;=0,0,MIN(M104+C105,$C$6+V105*$U105))</f>
      </c>
      <c r="I105" s="29">
        <f>IF(N104&lt;=0,0,MIN(N104+D105,$D$6+W105*$U105))</f>
      </c>
      <c r="J105" s="29">
        <f>IF(O104&lt;=0,0,MIN(O104+E105,$E$6+X105*$U105))</f>
      </c>
      <c r="K105" s="29">
        <f>IF(P104&lt;=0,0,MIN(P104+F105,$F$6+Y105*$U105))</f>
      </c>
      <c r="L105" s="29">
        <f>IF(Q104&lt;=0,0,MIN(Q104+G105,$G$6+Z105*$U105))</f>
      </c>
      <c r="M105" s="29">
        <f>ROUND(M104+C105-H105,2)</f>
      </c>
      <c r="N105" s="29">
        <f>ROUND(N104+D105-I105,2)</f>
      </c>
      <c r="O105" s="29">
        <f>ROUND(O104+E105-J105,2)</f>
      </c>
      <c r="P105" s="29">
        <f>ROUND(P104+F105-K105,2)</f>
      </c>
      <c r="Q105" s="29">
        <f>ROUND(Q104+G105-L105,2)</f>
      </c>
      <c r="R105" s="29">
        <f>SUM(H105:L105)</f>
      </c>
      <c r="S105" s="29">
        <f>SUM(C105:G105)</f>
      </c>
      <c r="T105" s="29">
        <f>SUM(M105:Q105)</f>
      </c>
      <c r="U105" s="30">
        <f>Debts!$B$13+SUMPRODUCT(($M104:$Q104&lt;=0)*$C$6:$G$6)</f>
      </c>
      <c r="V105" s="31">
        <f>IF(AND(M104&gt;0,SUMPRODUCT(($C$7:$G$7&lt;$C$7)*($M104:$Q104&gt;0))=0),1,0)</f>
      </c>
      <c r="W105" s="31">
        <f>IF(AND(N104&gt;0,SUMPRODUCT(($C$7:$G$7&lt;$D$7)*($M104:$Q104&gt;0))=0),1,0)</f>
      </c>
      <c r="X105" s="31">
        <f>IF(AND(O104&gt;0,SUMPRODUCT(($C$7:$G$7&lt;$E$7)*($M104:$Q104&gt;0))=0),1,0)</f>
      </c>
      <c r="Y105" s="31">
        <f>IF(AND(P104&gt;0,SUMPRODUCT(($C$7:$G$7&lt;$F$7)*($M104:$Q104&gt;0))=0),1,0)</f>
      </c>
      <c r="Z105" s="31">
        <f>IF(AND(Q104&gt;0,SUMPRODUCT(($C$7:$G$7&lt;$G$7)*($M104:$Q104&gt;0))=0),1,0)</f>
      </c>
    </row>
    <row r="106" spans="1:26" x14ac:dyDescent="0.25">
      <c r="A106" s="11">
        <f>A105+1</f>
      </c>
      <c r="B106" s="24">
        <f>EDATE(Debts!$B$14,A106)</f>
      </c>
      <c r="C106" s="25">
        <f>IF(M105&lt;=0,0,ROUND(M105*$C$5/12,2))</f>
      </c>
      <c r="D106" s="25">
        <f>IF(N105&lt;=0,0,ROUND(N105*$D$5/12,2))</f>
      </c>
      <c r="E106" s="25">
        <f>IF(O105&lt;=0,0,ROUND(O105*$E$5/12,2))</f>
      </c>
      <c r="F106" s="25">
        <f>IF(P105&lt;=0,0,ROUND(P105*$F$5/12,2))</f>
      </c>
      <c r="G106" s="25">
        <f>IF(Q105&lt;=0,0,ROUND(Q105*$G$5/12,2))</f>
      </c>
      <c r="H106" s="25">
        <f>IF(M105&lt;=0,0,MIN(M105+C106,$C$6+V106*$U106))</f>
      </c>
      <c r="I106" s="25">
        <f>IF(N105&lt;=0,0,MIN(N105+D106,$D$6+W106*$U106))</f>
      </c>
      <c r="J106" s="25">
        <f>IF(O105&lt;=0,0,MIN(O105+E106,$E$6+X106*$U106))</f>
      </c>
      <c r="K106" s="25">
        <f>IF(P105&lt;=0,0,MIN(P105+F106,$F$6+Y106*$U106))</f>
      </c>
      <c r="L106" s="25">
        <f>IF(Q105&lt;=0,0,MIN(Q105+G106,$G$6+Z106*$U106))</f>
      </c>
      <c r="M106" s="25">
        <f>ROUND(M105+C106-H106,2)</f>
      </c>
      <c r="N106" s="25">
        <f>ROUND(N105+D106-I106,2)</f>
      </c>
      <c r="O106" s="25">
        <f>ROUND(O105+E106-J106,2)</f>
      </c>
      <c r="P106" s="25">
        <f>ROUND(P105+F106-K106,2)</f>
      </c>
      <c r="Q106" s="25">
        <f>ROUND(Q105+G106-L106,2)</f>
      </c>
      <c r="R106" s="25">
        <f>SUM(H106:L106)</f>
      </c>
      <c r="S106" s="25">
        <f>SUM(C106:G106)</f>
      </c>
      <c r="T106" s="25">
        <f>SUM(M106:Q106)</f>
      </c>
      <c r="U106" s="26">
        <f>Debts!$B$13+SUMPRODUCT(($M105:$Q105&lt;=0)*$C$6:$G$6)</f>
      </c>
      <c r="V106" s="27">
        <f>IF(AND(M105&gt;0,SUMPRODUCT(($C$7:$G$7&lt;$C$7)*($M105:$Q105&gt;0))=0),1,0)</f>
      </c>
      <c r="W106" s="27">
        <f>IF(AND(N105&gt;0,SUMPRODUCT(($C$7:$G$7&lt;$D$7)*($M105:$Q105&gt;0))=0),1,0)</f>
      </c>
      <c r="X106" s="27">
        <f>IF(AND(O105&gt;0,SUMPRODUCT(($C$7:$G$7&lt;$E$7)*($M105:$Q105&gt;0))=0),1,0)</f>
      </c>
      <c r="Y106" s="27">
        <f>IF(AND(P105&gt;0,SUMPRODUCT(($C$7:$G$7&lt;$F$7)*($M105:$Q105&gt;0))=0),1,0)</f>
      </c>
      <c r="Z106" s="27">
        <f>IF(AND(Q105&gt;0,SUMPRODUCT(($C$7:$G$7&lt;$G$7)*($M105:$Q105&gt;0))=0),1,0)</f>
      </c>
    </row>
    <row r="107" spans="1:26" x14ac:dyDescent="0.25">
      <c r="A107" s="12">
        <f>A106+1</f>
      </c>
      <c r="B107" s="28">
        <f>EDATE(Debts!$B$14,A107)</f>
      </c>
      <c r="C107" s="29">
        <f>IF(M106&lt;=0,0,ROUND(M106*$C$5/12,2))</f>
      </c>
      <c r="D107" s="29">
        <f>IF(N106&lt;=0,0,ROUND(N106*$D$5/12,2))</f>
      </c>
      <c r="E107" s="29">
        <f>IF(O106&lt;=0,0,ROUND(O106*$E$5/12,2))</f>
      </c>
      <c r="F107" s="29">
        <f>IF(P106&lt;=0,0,ROUND(P106*$F$5/12,2))</f>
      </c>
      <c r="G107" s="29">
        <f>IF(Q106&lt;=0,0,ROUND(Q106*$G$5/12,2))</f>
      </c>
      <c r="H107" s="29">
        <f>IF(M106&lt;=0,0,MIN(M106+C107,$C$6+V107*$U107))</f>
      </c>
      <c r="I107" s="29">
        <f>IF(N106&lt;=0,0,MIN(N106+D107,$D$6+W107*$U107))</f>
      </c>
      <c r="J107" s="29">
        <f>IF(O106&lt;=0,0,MIN(O106+E107,$E$6+X107*$U107))</f>
      </c>
      <c r="K107" s="29">
        <f>IF(P106&lt;=0,0,MIN(P106+F107,$F$6+Y107*$U107))</f>
      </c>
      <c r="L107" s="29">
        <f>IF(Q106&lt;=0,0,MIN(Q106+G107,$G$6+Z107*$U107))</f>
      </c>
      <c r="M107" s="29">
        <f>ROUND(M106+C107-H107,2)</f>
      </c>
      <c r="N107" s="29">
        <f>ROUND(N106+D107-I107,2)</f>
      </c>
      <c r="O107" s="29">
        <f>ROUND(O106+E107-J107,2)</f>
      </c>
      <c r="P107" s="29">
        <f>ROUND(P106+F107-K107,2)</f>
      </c>
      <c r="Q107" s="29">
        <f>ROUND(Q106+G107-L107,2)</f>
      </c>
      <c r="R107" s="29">
        <f>SUM(H107:L107)</f>
      </c>
      <c r="S107" s="29">
        <f>SUM(C107:G107)</f>
      </c>
      <c r="T107" s="29">
        <f>SUM(M107:Q107)</f>
      </c>
      <c r="U107" s="30">
        <f>Debts!$B$13+SUMPRODUCT(($M106:$Q106&lt;=0)*$C$6:$G$6)</f>
      </c>
      <c r="V107" s="31">
        <f>IF(AND(M106&gt;0,SUMPRODUCT(($C$7:$G$7&lt;$C$7)*($M106:$Q106&gt;0))=0),1,0)</f>
      </c>
      <c r="W107" s="31">
        <f>IF(AND(N106&gt;0,SUMPRODUCT(($C$7:$G$7&lt;$D$7)*($M106:$Q106&gt;0))=0),1,0)</f>
      </c>
      <c r="X107" s="31">
        <f>IF(AND(O106&gt;0,SUMPRODUCT(($C$7:$G$7&lt;$E$7)*($M106:$Q106&gt;0))=0),1,0)</f>
      </c>
      <c r="Y107" s="31">
        <f>IF(AND(P106&gt;0,SUMPRODUCT(($C$7:$G$7&lt;$F$7)*($M106:$Q106&gt;0))=0),1,0)</f>
      </c>
      <c r="Z107" s="31">
        <f>IF(AND(Q106&gt;0,SUMPRODUCT(($C$7:$G$7&lt;$G$7)*($M106:$Q106&gt;0))=0),1,0)</f>
      </c>
    </row>
    <row r="108" spans="1:26" x14ac:dyDescent="0.25">
      <c r="A108" s="11">
        <f>A107+1</f>
      </c>
      <c r="B108" s="24">
        <f>EDATE(Debts!$B$14,A108)</f>
      </c>
      <c r="C108" s="25">
        <f>IF(M107&lt;=0,0,ROUND(M107*$C$5/12,2))</f>
      </c>
      <c r="D108" s="25">
        <f>IF(N107&lt;=0,0,ROUND(N107*$D$5/12,2))</f>
      </c>
      <c r="E108" s="25">
        <f>IF(O107&lt;=0,0,ROUND(O107*$E$5/12,2))</f>
      </c>
      <c r="F108" s="25">
        <f>IF(P107&lt;=0,0,ROUND(P107*$F$5/12,2))</f>
      </c>
      <c r="G108" s="25">
        <f>IF(Q107&lt;=0,0,ROUND(Q107*$G$5/12,2))</f>
      </c>
      <c r="H108" s="25">
        <f>IF(M107&lt;=0,0,MIN(M107+C108,$C$6+V108*$U108))</f>
      </c>
      <c r="I108" s="25">
        <f>IF(N107&lt;=0,0,MIN(N107+D108,$D$6+W108*$U108))</f>
      </c>
      <c r="J108" s="25">
        <f>IF(O107&lt;=0,0,MIN(O107+E108,$E$6+X108*$U108))</f>
      </c>
      <c r="K108" s="25">
        <f>IF(P107&lt;=0,0,MIN(P107+F108,$F$6+Y108*$U108))</f>
      </c>
      <c r="L108" s="25">
        <f>IF(Q107&lt;=0,0,MIN(Q107+G108,$G$6+Z108*$U108))</f>
      </c>
      <c r="M108" s="25">
        <f>ROUND(M107+C108-H108,2)</f>
      </c>
      <c r="N108" s="25">
        <f>ROUND(N107+D108-I108,2)</f>
      </c>
      <c r="O108" s="25">
        <f>ROUND(O107+E108-J108,2)</f>
      </c>
      <c r="P108" s="25">
        <f>ROUND(P107+F108-K108,2)</f>
      </c>
      <c r="Q108" s="25">
        <f>ROUND(Q107+G108-L108,2)</f>
      </c>
      <c r="R108" s="25">
        <f>SUM(H108:L108)</f>
      </c>
      <c r="S108" s="25">
        <f>SUM(C108:G108)</f>
      </c>
      <c r="T108" s="25">
        <f>SUM(M108:Q108)</f>
      </c>
      <c r="U108" s="26">
        <f>Debts!$B$13+SUMPRODUCT(($M107:$Q107&lt;=0)*$C$6:$G$6)</f>
      </c>
      <c r="V108" s="27">
        <f>IF(AND(M107&gt;0,SUMPRODUCT(($C$7:$G$7&lt;$C$7)*($M107:$Q107&gt;0))=0),1,0)</f>
      </c>
      <c r="W108" s="27">
        <f>IF(AND(N107&gt;0,SUMPRODUCT(($C$7:$G$7&lt;$D$7)*($M107:$Q107&gt;0))=0),1,0)</f>
      </c>
      <c r="X108" s="27">
        <f>IF(AND(O107&gt;0,SUMPRODUCT(($C$7:$G$7&lt;$E$7)*($M107:$Q107&gt;0))=0),1,0)</f>
      </c>
      <c r="Y108" s="27">
        <f>IF(AND(P107&gt;0,SUMPRODUCT(($C$7:$G$7&lt;$F$7)*($M107:$Q107&gt;0))=0),1,0)</f>
      </c>
      <c r="Z108" s="27">
        <f>IF(AND(Q107&gt;0,SUMPRODUCT(($C$7:$G$7&lt;$G$7)*($M107:$Q107&gt;0))=0),1,0)</f>
      </c>
    </row>
    <row r="109" spans="1:26" x14ac:dyDescent="0.25">
      <c r="A109" s="12">
        <f>A108+1</f>
      </c>
      <c r="B109" s="28">
        <f>EDATE(Debts!$B$14,A109)</f>
      </c>
      <c r="C109" s="29">
        <f>IF(M108&lt;=0,0,ROUND(M108*$C$5/12,2))</f>
      </c>
      <c r="D109" s="29">
        <f>IF(N108&lt;=0,0,ROUND(N108*$D$5/12,2))</f>
      </c>
      <c r="E109" s="29">
        <f>IF(O108&lt;=0,0,ROUND(O108*$E$5/12,2))</f>
      </c>
      <c r="F109" s="29">
        <f>IF(P108&lt;=0,0,ROUND(P108*$F$5/12,2))</f>
      </c>
      <c r="G109" s="29">
        <f>IF(Q108&lt;=0,0,ROUND(Q108*$G$5/12,2))</f>
      </c>
      <c r="H109" s="29">
        <f>IF(M108&lt;=0,0,MIN(M108+C109,$C$6+V109*$U109))</f>
      </c>
      <c r="I109" s="29">
        <f>IF(N108&lt;=0,0,MIN(N108+D109,$D$6+W109*$U109))</f>
      </c>
      <c r="J109" s="29">
        <f>IF(O108&lt;=0,0,MIN(O108+E109,$E$6+X109*$U109))</f>
      </c>
      <c r="K109" s="29">
        <f>IF(P108&lt;=0,0,MIN(P108+F109,$F$6+Y109*$U109))</f>
      </c>
      <c r="L109" s="29">
        <f>IF(Q108&lt;=0,0,MIN(Q108+G109,$G$6+Z109*$U109))</f>
      </c>
      <c r="M109" s="29">
        <f>ROUND(M108+C109-H109,2)</f>
      </c>
      <c r="N109" s="29">
        <f>ROUND(N108+D109-I109,2)</f>
      </c>
      <c r="O109" s="29">
        <f>ROUND(O108+E109-J109,2)</f>
      </c>
      <c r="P109" s="29">
        <f>ROUND(P108+F109-K109,2)</f>
      </c>
      <c r="Q109" s="29">
        <f>ROUND(Q108+G109-L109,2)</f>
      </c>
      <c r="R109" s="29">
        <f>SUM(H109:L109)</f>
      </c>
      <c r="S109" s="29">
        <f>SUM(C109:G109)</f>
      </c>
      <c r="T109" s="29">
        <f>SUM(M109:Q109)</f>
      </c>
      <c r="U109" s="30">
        <f>Debts!$B$13+SUMPRODUCT(($M108:$Q108&lt;=0)*$C$6:$G$6)</f>
      </c>
      <c r="V109" s="31">
        <f>IF(AND(M108&gt;0,SUMPRODUCT(($C$7:$G$7&lt;$C$7)*($M108:$Q108&gt;0))=0),1,0)</f>
      </c>
      <c r="W109" s="31">
        <f>IF(AND(N108&gt;0,SUMPRODUCT(($C$7:$G$7&lt;$D$7)*($M108:$Q108&gt;0))=0),1,0)</f>
      </c>
      <c r="X109" s="31">
        <f>IF(AND(O108&gt;0,SUMPRODUCT(($C$7:$G$7&lt;$E$7)*($M108:$Q108&gt;0))=0),1,0)</f>
      </c>
      <c r="Y109" s="31">
        <f>IF(AND(P108&gt;0,SUMPRODUCT(($C$7:$G$7&lt;$F$7)*($M108:$Q108&gt;0))=0),1,0)</f>
      </c>
      <c r="Z109" s="31">
        <f>IF(AND(Q108&gt;0,SUMPRODUCT(($C$7:$G$7&lt;$G$7)*($M108:$Q108&gt;0))=0),1,0)</f>
      </c>
    </row>
    <row r="110" spans="1:26" x14ac:dyDescent="0.25">
      <c r="A110" s="11">
        <f>A109+1</f>
      </c>
      <c r="B110" s="24">
        <f>EDATE(Debts!$B$14,A110)</f>
      </c>
      <c r="C110" s="25">
        <f>IF(M109&lt;=0,0,ROUND(M109*$C$5/12,2))</f>
      </c>
      <c r="D110" s="25">
        <f>IF(N109&lt;=0,0,ROUND(N109*$D$5/12,2))</f>
      </c>
      <c r="E110" s="25">
        <f>IF(O109&lt;=0,0,ROUND(O109*$E$5/12,2))</f>
      </c>
      <c r="F110" s="25">
        <f>IF(P109&lt;=0,0,ROUND(P109*$F$5/12,2))</f>
      </c>
      <c r="G110" s="25">
        <f>IF(Q109&lt;=0,0,ROUND(Q109*$G$5/12,2))</f>
      </c>
      <c r="H110" s="25">
        <f>IF(M109&lt;=0,0,MIN(M109+C110,$C$6+V110*$U110))</f>
      </c>
      <c r="I110" s="25">
        <f>IF(N109&lt;=0,0,MIN(N109+D110,$D$6+W110*$U110))</f>
      </c>
      <c r="J110" s="25">
        <f>IF(O109&lt;=0,0,MIN(O109+E110,$E$6+X110*$U110))</f>
      </c>
      <c r="K110" s="25">
        <f>IF(P109&lt;=0,0,MIN(P109+F110,$F$6+Y110*$U110))</f>
      </c>
      <c r="L110" s="25">
        <f>IF(Q109&lt;=0,0,MIN(Q109+G110,$G$6+Z110*$U110))</f>
      </c>
      <c r="M110" s="25">
        <f>ROUND(M109+C110-H110,2)</f>
      </c>
      <c r="N110" s="25">
        <f>ROUND(N109+D110-I110,2)</f>
      </c>
      <c r="O110" s="25">
        <f>ROUND(O109+E110-J110,2)</f>
      </c>
      <c r="P110" s="25">
        <f>ROUND(P109+F110-K110,2)</f>
      </c>
      <c r="Q110" s="25">
        <f>ROUND(Q109+G110-L110,2)</f>
      </c>
      <c r="R110" s="25">
        <f>SUM(H110:L110)</f>
      </c>
      <c r="S110" s="25">
        <f>SUM(C110:G110)</f>
      </c>
      <c r="T110" s="25">
        <f>SUM(M110:Q110)</f>
      </c>
      <c r="U110" s="26">
        <f>Debts!$B$13+SUMPRODUCT(($M109:$Q109&lt;=0)*$C$6:$G$6)</f>
      </c>
      <c r="V110" s="27">
        <f>IF(AND(M109&gt;0,SUMPRODUCT(($C$7:$G$7&lt;$C$7)*($M109:$Q109&gt;0))=0),1,0)</f>
      </c>
      <c r="W110" s="27">
        <f>IF(AND(N109&gt;0,SUMPRODUCT(($C$7:$G$7&lt;$D$7)*($M109:$Q109&gt;0))=0),1,0)</f>
      </c>
      <c r="X110" s="27">
        <f>IF(AND(O109&gt;0,SUMPRODUCT(($C$7:$G$7&lt;$E$7)*($M109:$Q109&gt;0))=0),1,0)</f>
      </c>
      <c r="Y110" s="27">
        <f>IF(AND(P109&gt;0,SUMPRODUCT(($C$7:$G$7&lt;$F$7)*($M109:$Q109&gt;0))=0),1,0)</f>
      </c>
      <c r="Z110" s="27">
        <f>IF(AND(Q109&gt;0,SUMPRODUCT(($C$7:$G$7&lt;$G$7)*($M109:$Q109&gt;0))=0),1,0)</f>
      </c>
    </row>
    <row r="111" spans="1:26" x14ac:dyDescent="0.25">
      <c r="A111" s="12">
        <f>A110+1</f>
      </c>
      <c r="B111" s="28">
        <f>EDATE(Debts!$B$14,A111)</f>
      </c>
      <c r="C111" s="29">
        <f>IF(M110&lt;=0,0,ROUND(M110*$C$5/12,2))</f>
      </c>
      <c r="D111" s="29">
        <f>IF(N110&lt;=0,0,ROUND(N110*$D$5/12,2))</f>
      </c>
      <c r="E111" s="29">
        <f>IF(O110&lt;=0,0,ROUND(O110*$E$5/12,2))</f>
      </c>
      <c r="F111" s="29">
        <f>IF(P110&lt;=0,0,ROUND(P110*$F$5/12,2))</f>
      </c>
      <c r="G111" s="29">
        <f>IF(Q110&lt;=0,0,ROUND(Q110*$G$5/12,2))</f>
      </c>
      <c r="H111" s="29">
        <f>IF(M110&lt;=0,0,MIN(M110+C111,$C$6+V111*$U111))</f>
      </c>
      <c r="I111" s="29">
        <f>IF(N110&lt;=0,0,MIN(N110+D111,$D$6+W111*$U111))</f>
      </c>
      <c r="J111" s="29">
        <f>IF(O110&lt;=0,0,MIN(O110+E111,$E$6+X111*$U111))</f>
      </c>
      <c r="K111" s="29">
        <f>IF(P110&lt;=0,0,MIN(P110+F111,$F$6+Y111*$U111))</f>
      </c>
      <c r="L111" s="29">
        <f>IF(Q110&lt;=0,0,MIN(Q110+G111,$G$6+Z111*$U111))</f>
      </c>
      <c r="M111" s="29">
        <f>ROUND(M110+C111-H111,2)</f>
      </c>
      <c r="N111" s="29">
        <f>ROUND(N110+D111-I111,2)</f>
      </c>
      <c r="O111" s="29">
        <f>ROUND(O110+E111-J111,2)</f>
      </c>
      <c r="P111" s="29">
        <f>ROUND(P110+F111-K111,2)</f>
      </c>
      <c r="Q111" s="29">
        <f>ROUND(Q110+G111-L111,2)</f>
      </c>
      <c r="R111" s="29">
        <f>SUM(H111:L111)</f>
      </c>
      <c r="S111" s="29">
        <f>SUM(C111:G111)</f>
      </c>
      <c r="T111" s="29">
        <f>SUM(M111:Q111)</f>
      </c>
      <c r="U111" s="30">
        <f>Debts!$B$13+SUMPRODUCT(($M110:$Q110&lt;=0)*$C$6:$G$6)</f>
      </c>
      <c r="V111" s="31">
        <f>IF(AND(M110&gt;0,SUMPRODUCT(($C$7:$G$7&lt;$C$7)*($M110:$Q110&gt;0))=0),1,0)</f>
      </c>
      <c r="W111" s="31">
        <f>IF(AND(N110&gt;0,SUMPRODUCT(($C$7:$G$7&lt;$D$7)*($M110:$Q110&gt;0))=0),1,0)</f>
      </c>
      <c r="X111" s="31">
        <f>IF(AND(O110&gt;0,SUMPRODUCT(($C$7:$G$7&lt;$E$7)*($M110:$Q110&gt;0))=0),1,0)</f>
      </c>
      <c r="Y111" s="31">
        <f>IF(AND(P110&gt;0,SUMPRODUCT(($C$7:$G$7&lt;$F$7)*($M110:$Q110&gt;0))=0),1,0)</f>
      </c>
      <c r="Z111" s="31">
        <f>IF(AND(Q110&gt;0,SUMPRODUCT(($C$7:$G$7&lt;$G$7)*($M110:$Q110&gt;0))=0),1,0)</f>
      </c>
    </row>
    <row r="112" spans="1:26" x14ac:dyDescent="0.25">
      <c r="A112" s="11">
        <f>A111+1</f>
      </c>
      <c r="B112" s="24">
        <f>EDATE(Debts!$B$14,A112)</f>
      </c>
      <c r="C112" s="25">
        <f>IF(M111&lt;=0,0,ROUND(M111*$C$5/12,2))</f>
      </c>
      <c r="D112" s="25">
        <f>IF(N111&lt;=0,0,ROUND(N111*$D$5/12,2))</f>
      </c>
      <c r="E112" s="25">
        <f>IF(O111&lt;=0,0,ROUND(O111*$E$5/12,2))</f>
      </c>
      <c r="F112" s="25">
        <f>IF(P111&lt;=0,0,ROUND(P111*$F$5/12,2))</f>
      </c>
      <c r="G112" s="25">
        <f>IF(Q111&lt;=0,0,ROUND(Q111*$G$5/12,2))</f>
      </c>
      <c r="H112" s="25">
        <f>IF(M111&lt;=0,0,MIN(M111+C112,$C$6+V112*$U112))</f>
      </c>
      <c r="I112" s="25">
        <f>IF(N111&lt;=0,0,MIN(N111+D112,$D$6+W112*$U112))</f>
      </c>
      <c r="J112" s="25">
        <f>IF(O111&lt;=0,0,MIN(O111+E112,$E$6+X112*$U112))</f>
      </c>
      <c r="K112" s="25">
        <f>IF(P111&lt;=0,0,MIN(P111+F112,$F$6+Y112*$U112))</f>
      </c>
      <c r="L112" s="25">
        <f>IF(Q111&lt;=0,0,MIN(Q111+G112,$G$6+Z112*$U112))</f>
      </c>
      <c r="M112" s="25">
        <f>ROUND(M111+C112-H112,2)</f>
      </c>
      <c r="N112" s="25">
        <f>ROUND(N111+D112-I112,2)</f>
      </c>
      <c r="O112" s="25">
        <f>ROUND(O111+E112-J112,2)</f>
      </c>
      <c r="P112" s="25">
        <f>ROUND(P111+F112-K112,2)</f>
      </c>
      <c r="Q112" s="25">
        <f>ROUND(Q111+G112-L112,2)</f>
      </c>
      <c r="R112" s="25">
        <f>SUM(H112:L112)</f>
      </c>
      <c r="S112" s="25">
        <f>SUM(C112:G112)</f>
      </c>
      <c r="T112" s="25">
        <f>SUM(M112:Q112)</f>
      </c>
      <c r="U112" s="26">
        <f>Debts!$B$13+SUMPRODUCT(($M111:$Q111&lt;=0)*$C$6:$G$6)</f>
      </c>
      <c r="V112" s="27">
        <f>IF(AND(M111&gt;0,SUMPRODUCT(($C$7:$G$7&lt;$C$7)*($M111:$Q111&gt;0))=0),1,0)</f>
      </c>
      <c r="W112" s="27">
        <f>IF(AND(N111&gt;0,SUMPRODUCT(($C$7:$G$7&lt;$D$7)*($M111:$Q111&gt;0))=0),1,0)</f>
      </c>
      <c r="X112" s="27">
        <f>IF(AND(O111&gt;0,SUMPRODUCT(($C$7:$G$7&lt;$E$7)*($M111:$Q111&gt;0))=0),1,0)</f>
      </c>
      <c r="Y112" s="27">
        <f>IF(AND(P111&gt;0,SUMPRODUCT(($C$7:$G$7&lt;$F$7)*($M111:$Q111&gt;0))=0),1,0)</f>
      </c>
      <c r="Z112" s="27">
        <f>IF(AND(Q111&gt;0,SUMPRODUCT(($C$7:$G$7&lt;$G$7)*($M111:$Q111&gt;0))=0),1,0)</f>
      </c>
    </row>
    <row r="113" spans="1:26" x14ac:dyDescent="0.25">
      <c r="A113" s="12">
        <f>A112+1</f>
      </c>
      <c r="B113" s="28">
        <f>EDATE(Debts!$B$14,A113)</f>
      </c>
      <c r="C113" s="29">
        <f>IF(M112&lt;=0,0,ROUND(M112*$C$5/12,2))</f>
      </c>
      <c r="D113" s="29">
        <f>IF(N112&lt;=0,0,ROUND(N112*$D$5/12,2))</f>
      </c>
      <c r="E113" s="29">
        <f>IF(O112&lt;=0,0,ROUND(O112*$E$5/12,2))</f>
      </c>
      <c r="F113" s="29">
        <f>IF(P112&lt;=0,0,ROUND(P112*$F$5/12,2))</f>
      </c>
      <c r="G113" s="29">
        <f>IF(Q112&lt;=0,0,ROUND(Q112*$G$5/12,2))</f>
      </c>
      <c r="H113" s="29">
        <f>IF(M112&lt;=0,0,MIN(M112+C113,$C$6+V113*$U113))</f>
      </c>
      <c r="I113" s="29">
        <f>IF(N112&lt;=0,0,MIN(N112+D113,$D$6+W113*$U113))</f>
      </c>
      <c r="J113" s="29">
        <f>IF(O112&lt;=0,0,MIN(O112+E113,$E$6+X113*$U113))</f>
      </c>
      <c r="K113" s="29">
        <f>IF(P112&lt;=0,0,MIN(P112+F113,$F$6+Y113*$U113))</f>
      </c>
      <c r="L113" s="29">
        <f>IF(Q112&lt;=0,0,MIN(Q112+G113,$G$6+Z113*$U113))</f>
      </c>
      <c r="M113" s="29">
        <f>ROUND(M112+C113-H113,2)</f>
      </c>
      <c r="N113" s="29">
        <f>ROUND(N112+D113-I113,2)</f>
      </c>
      <c r="O113" s="29">
        <f>ROUND(O112+E113-J113,2)</f>
      </c>
      <c r="P113" s="29">
        <f>ROUND(P112+F113-K113,2)</f>
      </c>
      <c r="Q113" s="29">
        <f>ROUND(Q112+G113-L113,2)</f>
      </c>
      <c r="R113" s="29">
        <f>SUM(H113:L113)</f>
      </c>
      <c r="S113" s="29">
        <f>SUM(C113:G113)</f>
      </c>
      <c r="T113" s="29">
        <f>SUM(M113:Q113)</f>
      </c>
      <c r="U113" s="30">
        <f>Debts!$B$13+SUMPRODUCT(($M112:$Q112&lt;=0)*$C$6:$G$6)</f>
      </c>
      <c r="V113" s="31">
        <f>IF(AND(M112&gt;0,SUMPRODUCT(($C$7:$G$7&lt;$C$7)*($M112:$Q112&gt;0))=0),1,0)</f>
      </c>
      <c r="W113" s="31">
        <f>IF(AND(N112&gt;0,SUMPRODUCT(($C$7:$G$7&lt;$D$7)*($M112:$Q112&gt;0))=0),1,0)</f>
      </c>
      <c r="X113" s="31">
        <f>IF(AND(O112&gt;0,SUMPRODUCT(($C$7:$G$7&lt;$E$7)*($M112:$Q112&gt;0))=0),1,0)</f>
      </c>
      <c r="Y113" s="31">
        <f>IF(AND(P112&gt;0,SUMPRODUCT(($C$7:$G$7&lt;$F$7)*($M112:$Q112&gt;0))=0),1,0)</f>
      </c>
      <c r="Z113" s="31">
        <f>IF(AND(Q112&gt;0,SUMPRODUCT(($C$7:$G$7&lt;$G$7)*($M112:$Q112&gt;0))=0),1,0)</f>
      </c>
    </row>
    <row r="114" spans="1:26" x14ac:dyDescent="0.25">
      <c r="A114" s="11">
        <f>A113+1</f>
      </c>
      <c r="B114" s="24">
        <f>EDATE(Debts!$B$14,A114)</f>
      </c>
      <c r="C114" s="25">
        <f>IF(M113&lt;=0,0,ROUND(M113*$C$5/12,2))</f>
      </c>
      <c r="D114" s="25">
        <f>IF(N113&lt;=0,0,ROUND(N113*$D$5/12,2))</f>
      </c>
      <c r="E114" s="25">
        <f>IF(O113&lt;=0,0,ROUND(O113*$E$5/12,2))</f>
      </c>
      <c r="F114" s="25">
        <f>IF(P113&lt;=0,0,ROUND(P113*$F$5/12,2))</f>
      </c>
      <c r="G114" s="25">
        <f>IF(Q113&lt;=0,0,ROUND(Q113*$G$5/12,2))</f>
      </c>
      <c r="H114" s="25">
        <f>IF(M113&lt;=0,0,MIN(M113+C114,$C$6+V114*$U114))</f>
      </c>
      <c r="I114" s="25">
        <f>IF(N113&lt;=0,0,MIN(N113+D114,$D$6+W114*$U114))</f>
      </c>
      <c r="J114" s="25">
        <f>IF(O113&lt;=0,0,MIN(O113+E114,$E$6+X114*$U114))</f>
      </c>
      <c r="K114" s="25">
        <f>IF(P113&lt;=0,0,MIN(P113+F114,$F$6+Y114*$U114))</f>
      </c>
      <c r="L114" s="25">
        <f>IF(Q113&lt;=0,0,MIN(Q113+G114,$G$6+Z114*$U114))</f>
      </c>
      <c r="M114" s="25">
        <f>ROUND(M113+C114-H114,2)</f>
      </c>
      <c r="N114" s="25">
        <f>ROUND(N113+D114-I114,2)</f>
      </c>
      <c r="O114" s="25">
        <f>ROUND(O113+E114-J114,2)</f>
      </c>
      <c r="P114" s="25">
        <f>ROUND(P113+F114-K114,2)</f>
      </c>
      <c r="Q114" s="25">
        <f>ROUND(Q113+G114-L114,2)</f>
      </c>
      <c r="R114" s="25">
        <f>SUM(H114:L114)</f>
      </c>
      <c r="S114" s="25">
        <f>SUM(C114:G114)</f>
      </c>
      <c r="T114" s="25">
        <f>SUM(M114:Q114)</f>
      </c>
      <c r="U114" s="26">
        <f>Debts!$B$13+SUMPRODUCT(($M113:$Q113&lt;=0)*$C$6:$G$6)</f>
      </c>
      <c r="V114" s="27">
        <f>IF(AND(M113&gt;0,SUMPRODUCT(($C$7:$G$7&lt;$C$7)*($M113:$Q113&gt;0))=0),1,0)</f>
      </c>
      <c r="W114" s="27">
        <f>IF(AND(N113&gt;0,SUMPRODUCT(($C$7:$G$7&lt;$D$7)*($M113:$Q113&gt;0))=0),1,0)</f>
      </c>
      <c r="X114" s="27">
        <f>IF(AND(O113&gt;0,SUMPRODUCT(($C$7:$G$7&lt;$E$7)*($M113:$Q113&gt;0))=0),1,0)</f>
      </c>
      <c r="Y114" s="27">
        <f>IF(AND(P113&gt;0,SUMPRODUCT(($C$7:$G$7&lt;$F$7)*($M113:$Q113&gt;0))=0),1,0)</f>
      </c>
      <c r="Z114" s="27">
        <f>IF(AND(Q113&gt;0,SUMPRODUCT(($C$7:$G$7&lt;$G$7)*($M113:$Q113&gt;0))=0),1,0)</f>
      </c>
    </row>
    <row r="115" spans="1:26" x14ac:dyDescent="0.25">
      <c r="A115" s="12">
        <f>A114+1</f>
      </c>
      <c r="B115" s="28">
        <f>EDATE(Debts!$B$14,A115)</f>
      </c>
      <c r="C115" s="29">
        <f>IF(M114&lt;=0,0,ROUND(M114*$C$5/12,2))</f>
      </c>
      <c r="D115" s="29">
        <f>IF(N114&lt;=0,0,ROUND(N114*$D$5/12,2))</f>
      </c>
      <c r="E115" s="29">
        <f>IF(O114&lt;=0,0,ROUND(O114*$E$5/12,2))</f>
      </c>
      <c r="F115" s="29">
        <f>IF(P114&lt;=0,0,ROUND(P114*$F$5/12,2))</f>
      </c>
      <c r="G115" s="29">
        <f>IF(Q114&lt;=0,0,ROUND(Q114*$G$5/12,2))</f>
      </c>
      <c r="H115" s="29">
        <f>IF(M114&lt;=0,0,MIN(M114+C115,$C$6+V115*$U115))</f>
      </c>
      <c r="I115" s="29">
        <f>IF(N114&lt;=0,0,MIN(N114+D115,$D$6+W115*$U115))</f>
      </c>
      <c r="J115" s="29">
        <f>IF(O114&lt;=0,0,MIN(O114+E115,$E$6+X115*$U115))</f>
      </c>
      <c r="K115" s="29">
        <f>IF(P114&lt;=0,0,MIN(P114+F115,$F$6+Y115*$U115))</f>
      </c>
      <c r="L115" s="29">
        <f>IF(Q114&lt;=0,0,MIN(Q114+G115,$G$6+Z115*$U115))</f>
      </c>
      <c r="M115" s="29">
        <f>ROUND(M114+C115-H115,2)</f>
      </c>
      <c r="N115" s="29">
        <f>ROUND(N114+D115-I115,2)</f>
      </c>
      <c r="O115" s="29">
        <f>ROUND(O114+E115-J115,2)</f>
      </c>
      <c r="P115" s="29">
        <f>ROUND(P114+F115-K115,2)</f>
      </c>
      <c r="Q115" s="29">
        <f>ROUND(Q114+G115-L115,2)</f>
      </c>
      <c r="R115" s="29">
        <f>SUM(H115:L115)</f>
      </c>
      <c r="S115" s="29">
        <f>SUM(C115:G115)</f>
      </c>
      <c r="T115" s="29">
        <f>SUM(M115:Q115)</f>
      </c>
      <c r="U115" s="30">
        <f>Debts!$B$13+SUMPRODUCT(($M114:$Q114&lt;=0)*$C$6:$G$6)</f>
      </c>
      <c r="V115" s="31">
        <f>IF(AND(M114&gt;0,SUMPRODUCT(($C$7:$G$7&lt;$C$7)*($M114:$Q114&gt;0))=0),1,0)</f>
      </c>
      <c r="W115" s="31">
        <f>IF(AND(N114&gt;0,SUMPRODUCT(($C$7:$G$7&lt;$D$7)*($M114:$Q114&gt;0))=0),1,0)</f>
      </c>
      <c r="X115" s="31">
        <f>IF(AND(O114&gt;0,SUMPRODUCT(($C$7:$G$7&lt;$E$7)*($M114:$Q114&gt;0))=0),1,0)</f>
      </c>
      <c r="Y115" s="31">
        <f>IF(AND(P114&gt;0,SUMPRODUCT(($C$7:$G$7&lt;$F$7)*($M114:$Q114&gt;0))=0),1,0)</f>
      </c>
      <c r="Z115" s="31">
        <f>IF(AND(Q114&gt;0,SUMPRODUCT(($C$7:$G$7&lt;$G$7)*($M114:$Q114&gt;0))=0),1,0)</f>
      </c>
    </row>
    <row r="116" spans="1:26" x14ac:dyDescent="0.25">
      <c r="A116" s="11">
        <f>A115+1</f>
      </c>
      <c r="B116" s="24">
        <f>EDATE(Debts!$B$14,A116)</f>
      </c>
      <c r="C116" s="25">
        <f>IF(M115&lt;=0,0,ROUND(M115*$C$5/12,2))</f>
      </c>
      <c r="D116" s="25">
        <f>IF(N115&lt;=0,0,ROUND(N115*$D$5/12,2))</f>
      </c>
      <c r="E116" s="25">
        <f>IF(O115&lt;=0,0,ROUND(O115*$E$5/12,2))</f>
      </c>
      <c r="F116" s="25">
        <f>IF(P115&lt;=0,0,ROUND(P115*$F$5/12,2))</f>
      </c>
      <c r="G116" s="25">
        <f>IF(Q115&lt;=0,0,ROUND(Q115*$G$5/12,2))</f>
      </c>
      <c r="H116" s="25">
        <f>IF(M115&lt;=0,0,MIN(M115+C116,$C$6+V116*$U116))</f>
      </c>
      <c r="I116" s="25">
        <f>IF(N115&lt;=0,0,MIN(N115+D116,$D$6+W116*$U116))</f>
      </c>
      <c r="J116" s="25">
        <f>IF(O115&lt;=0,0,MIN(O115+E116,$E$6+X116*$U116))</f>
      </c>
      <c r="K116" s="25">
        <f>IF(P115&lt;=0,0,MIN(P115+F116,$F$6+Y116*$U116))</f>
      </c>
      <c r="L116" s="25">
        <f>IF(Q115&lt;=0,0,MIN(Q115+G116,$G$6+Z116*$U116))</f>
      </c>
      <c r="M116" s="25">
        <f>ROUND(M115+C116-H116,2)</f>
      </c>
      <c r="N116" s="25">
        <f>ROUND(N115+D116-I116,2)</f>
      </c>
      <c r="O116" s="25">
        <f>ROUND(O115+E116-J116,2)</f>
      </c>
      <c r="P116" s="25">
        <f>ROUND(P115+F116-K116,2)</f>
      </c>
      <c r="Q116" s="25">
        <f>ROUND(Q115+G116-L116,2)</f>
      </c>
      <c r="R116" s="25">
        <f>SUM(H116:L116)</f>
      </c>
      <c r="S116" s="25">
        <f>SUM(C116:G116)</f>
      </c>
      <c r="T116" s="25">
        <f>SUM(M116:Q116)</f>
      </c>
      <c r="U116" s="26">
        <f>Debts!$B$13+SUMPRODUCT(($M115:$Q115&lt;=0)*$C$6:$G$6)</f>
      </c>
      <c r="V116" s="27">
        <f>IF(AND(M115&gt;0,SUMPRODUCT(($C$7:$G$7&lt;$C$7)*($M115:$Q115&gt;0))=0),1,0)</f>
      </c>
      <c r="W116" s="27">
        <f>IF(AND(N115&gt;0,SUMPRODUCT(($C$7:$G$7&lt;$D$7)*($M115:$Q115&gt;0))=0),1,0)</f>
      </c>
      <c r="X116" s="27">
        <f>IF(AND(O115&gt;0,SUMPRODUCT(($C$7:$G$7&lt;$E$7)*($M115:$Q115&gt;0))=0),1,0)</f>
      </c>
      <c r="Y116" s="27">
        <f>IF(AND(P115&gt;0,SUMPRODUCT(($C$7:$G$7&lt;$F$7)*($M115:$Q115&gt;0))=0),1,0)</f>
      </c>
      <c r="Z116" s="27">
        <f>IF(AND(Q115&gt;0,SUMPRODUCT(($C$7:$G$7&lt;$G$7)*($M115:$Q115&gt;0))=0),1,0)</f>
      </c>
    </row>
    <row r="117" spans="1:26" x14ac:dyDescent="0.25">
      <c r="A117" s="12">
        <f>A116+1</f>
      </c>
      <c r="B117" s="28">
        <f>EDATE(Debts!$B$14,A117)</f>
      </c>
      <c r="C117" s="29">
        <f>IF(M116&lt;=0,0,ROUND(M116*$C$5/12,2))</f>
      </c>
      <c r="D117" s="29">
        <f>IF(N116&lt;=0,0,ROUND(N116*$D$5/12,2))</f>
      </c>
      <c r="E117" s="29">
        <f>IF(O116&lt;=0,0,ROUND(O116*$E$5/12,2))</f>
      </c>
      <c r="F117" s="29">
        <f>IF(P116&lt;=0,0,ROUND(P116*$F$5/12,2))</f>
      </c>
      <c r="G117" s="29">
        <f>IF(Q116&lt;=0,0,ROUND(Q116*$G$5/12,2))</f>
      </c>
      <c r="H117" s="29">
        <f>IF(M116&lt;=0,0,MIN(M116+C117,$C$6+V117*$U117))</f>
      </c>
      <c r="I117" s="29">
        <f>IF(N116&lt;=0,0,MIN(N116+D117,$D$6+W117*$U117))</f>
      </c>
      <c r="J117" s="29">
        <f>IF(O116&lt;=0,0,MIN(O116+E117,$E$6+X117*$U117))</f>
      </c>
      <c r="K117" s="29">
        <f>IF(P116&lt;=0,0,MIN(P116+F117,$F$6+Y117*$U117))</f>
      </c>
      <c r="L117" s="29">
        <f>IF(Q116&lt;=0,0,MIN(Q116+G117,$G$6+Z117*$U117))</f>
      </c>
      <c r="M117" s="29">
        <f>ROUND(M116+C117-H117,2)</f>
      </c>
      <c r="N117" s="29">
        <f>ROUND(N116+D117-I117,2)</f>
      </c>
      <c r="O117" s="29">
        <f>ROUND(O116+E117-J117,2)</f>
      </c>
      <c r="P117" s="29">
        <f>ROUND(P116+F117-K117,2)</f>
      </c>
      <c r="Q117" s="29">
        <f>ROUND(Q116+G117-L117,2)</f>
      </c>
      <c r="R117" s="29">
        <f>SUM(H117:L117)</f>
      </c>
      <c r="S117" s="29">
        <f>SUM(C117:G117)</f>
      </c>
      <c r="T117" s="29">
        <f>SUM(M117:Q117)</f>
      </c>
      <c r="U117" s="30">
        <f>Debts!$B$13+SUMPRODUCT(($M116:$Q116&lt;=0)*$C$6:$G$6)</f>
      </c>
      <c r="V117" s="31">
        <f>IF(AND(M116&gt;0,SUMPRODUCT(($C$7:$G$7&lt;$C$7)*($M116:$Q116&gt;0))=0),1,0)</f>
      </c>
      <c r="W117" s="31">
        <f>IF(AND(N116&gt;0,SUMPRODUCT(($C$7:$G$7&lt;$D$7)*($M116:$Q116&gt;0))=0),1,0)</f>
      </c>
      <c r="X117" s="31">
        <f>IF(AND(O116&gt;0,SUMPRODUCT(($C$7:$G$7&lt;$E$7)*($M116:$Q116&gt;0))=0),1,0)</f>
      </c>
      <c r="Y117" s="31">
        <f>IF(AND(P116&gt;0,SUMPRODUCT(($C$7:$G$7&lt;$F$7)*($M116:$Q116&gt;0))=0),1,0)</f>
      </c>
      <c r="Z117" s="31">
        <f>IF(AND(Q116&gt;0,SUMPRODUCT(($C$7:$G$7&lt;$G$7)*($M116:$Q116&gt;0))=0),1,0)</f>
      </c>
    </row>
    <row r="118" spans="1:26" x14ac:dyDescent="0.25">
      <c r="A118" s="11">
        <f>A117+1</f>
      </c>
      <c r="B118" s="24">
        <f>EDATE(Debts!$B$14,A118)</f>
      </c>
      <c r="C118" s="25">
        <f>IF(M117&lt;=0,0,ROUND(M117*$C$5/12,2))</f>
      </c>
      <c r="D118" s="25">
        <f>IF(N117&lt;=0,0,ROUND(N117*$D$5/12,2))</f>
      </c>
      <c r="E118" s="25">
        <f>IF(O117&lt;=0,0,ROUND(O117*$E$5/12,2))</f>
      </c>
      <c r="F118" s="25">
        <f>IF(P117&lt;=0,0,ROUND(P117*$F$5/12,2))</f>
      </c>
      <c r="G118" s="25">
        <f>IF(Q117&lt;=0,0,ROUND(Q117*$G$5/12,2))</f>
      </c>
      <c r="H118" s="25">
        <f>IF(M117&lt;=0,0,MIN(M117+C118,$C$6+V118*$U118))</f>
      </c>
      <c r="I118" s="25">
        <f>IF(N117&lt;=0,0,MIN(N117+D118,$D$6+W118*$U118))</f>
      </c>
      <c r="J118" s="25">
        <f>IF(O117&lt;=0,0,MIN(O117+E118,$E$6+X118*$U118))</f>
      </c>
      <c r="K118" s="25">
        <f>IF(P117&lt;=0,0,MIN(P117+F118,$F$6+Y118*$U118))</f>
      </c>
      <c r="L118" s="25">
        <f>IF(Q117&lt;=0,0,MIN(Q117+G118,$G$6+Z118*$U118))</f>
      </c>
      <c r="M118" s="25">
        <f>ROUND(M117+C118-H118,2)</f>
      </c>
      <c r="N118" s="25">
        <f>ROUND(N117+D118-I118,2)</f>
      </c>
      <c r="O118" s="25">
        <f>ROUND(O117+E118-J118,2)</f>
      </c>
      <c r="P118" s="25">
        <f>ROUND(P117+F118-K118,2)</f>
      </c>
      <c r="Q118" s="25">
        <f>ROUND(Q117+G118-L118,2)</f>
      </c>
      <c r="R118" s="25">
        <f>SUM(H118:L118)</f>
      </c>
      <c r="S118" s="25">
        <f>SUM(C118:G118)</f>
      </c>
      <c r="T118" s="25">
        <f>SUM(M118:Q118)</f>
      </c>
      <c r="U118" s="26">
        <f>Debts!$B$13+SUMPRODUCT(($M117:$Q117&lt;=0)*$C$6:$G$6)</f>
      </c>
      <c r="V118" s="27">
        <f>IF(AND(M117&gt;0,SUMPRODUCT(($C$7:$G$7&lt;$C$7)*($M117:$Q117&gt;0))=0),1,0)</f>
      </c>
      <c r="W118" s="27">
        <f>IF(AND(N117&gt;0,SUMPRODUCT(($C$7:$G$7&lt;$D$7)*($M117:$Q117&gt;0))=0),1,0)</f>
      </c>
      <c r="X118" s="27">
        <f>IF(AND(O117&gt;0,SUMPRODUCT(($C$7:$G$7&lt;$E$7)*($M117:$Q117&gt;0))=0),1,0)</f>
      </c>
      <c r="Y118" s="27">
        <f>IF(AND(P117&gt;0,SUMPRODUCT(($C$7:$G$7&lt;$F$7)*($M117:$Q117&gt;0))=0),1,0)</f>
      </c>
      <c r="Z118" s="27">
        <f>IF(AND(Q117&gt;0,SUMPRODUCT(($C$7:$G$7&lt;$G$7)*($M117:$Q117&gt;0))=0),1,0)</f>
      </c>
    </row>
    <row r="119" spans="1:26" x14ac:dyDescent="0.25">
      <c r="A119" s="12">
        <f>A118+1</f>
      </c>
      <c r="B119" s="28">
        <f>EDATE(Debts!$B$14,A119)</f>
      </c>
      <c r="C119" s="29">
        <f>IF(M118&lt;=0,0,ROUND(M118*$C$5/12,2))</f>
      </c>
      <c r="D119" s="29">
        <f>IF(N118&lt;=0,0,ROUND(N118*$D$5/12,2))</f>
      </c>
      <c r="E119" s="29">
        <f>IF(O118&lt;=0,0,ROUND(O118*$E$5/12,2))</f>
      </c>
      <c r="F119" s="29">
        <f>IF(P118&lt;=0,0,ROUND(P118*$F$5/12,2))</f>
      </c>
      <c r="G119" s="29">
        <f>IF(Q118&lt;=0,0,ROUND(Q118*$G$5/12,2))</f>
      </c>
      <c r="H119" s="29">
        <f>IF(M118&lt;=0,0,MIN(M118+C119,$C$6+V119*$U119))</f>
      </c>
      <c r="I119" s="29">
        <f>IF(N118&lt;=0,0,MIN(N118+D119,$D$6+W119*$U119))</f>
      </c>
      <c r="J119" s="29">
        <f>IF(O118&lt;=0,0,MIN(O118+E119,$E$6+X119*$U119))</f>
      </c>
      <c r="K119" s="29">
        <f>IF(P118&lt;=0,0,MIN(P118+F119,$F$6+Y119*$U119))</f>
      </c>
      <c r="L119" s="29">
        <f>IF(Q118&lt;=0,0,MIN(Q118+G119,$G$6+Z119*$U119))</f>
      </c>
      <c r="M119" s="29">
        <f>ROUND(M118+C119-H119,2)</f>
      </c>
      <c r="N119" s="29">
        <f>ROUND(N118+D119-I119,2)</f>
      </c>
      <c r="O119" s="29">
        <f>ROUND(O118+E119-J119,2)</f>
      </c>
      <c r="P119" s="29">
        <f>ROUND(P118+F119-K119,2)</f>
      </c>
      <c r="Q119" s="29">
        <f>ROUND(Q118+G119-L119,2)</f>
      </c>
      <c r="R119" s="29">
        <f>SUM(H119:L119)</f>
      </c>
      <c r="S119" s="29">
        <f>SUM(C119:G119)</f>
      </c>
      <c r="T119" s="29">
        <f>SUM(M119:Q119)</f>
      </c>
      <c r="U119" s="30">
        <f>Debts!$B$13+SUMPRODUCT(($M118:$Q118&lt;=0)*$C$6:$G$6)</f>
      </c>
      <c r="V119" s="31">
        <f>IF(AND(M118&gt;0,SUMPRODUCT(($C$7:$G$7&lt;$C$7)*($M118:$Q118&gt;0))=0),1,0)</f>
      </c>
      <c r="W119" s="31">
        <f>IF(AND(N118&gt;0,SUMPRODUCT(($C$7:$G$7&lt;$D$7)*($M118:$Q118&gt;0))=0),1,0)</f>
      </c>
      <c r="X119" s="31">
        <f>IF(AND(O118&gt;0,SUMPRODUCT(($C$7:$G$7&lt;$E$7)*($M118:$Q118&gt;0))=0),1,0)</f>
      </c>
      <c r="Y119" s="31">
        <f>IF(AND(P118&gt;0,SUMPRODUCT(($C$7:$G$7&lt;$F$7)*($M118:$Q118&gt;0))=0),1,0)</f>
      </c>
      <c r="Z119" s="31">
        <f>IF(AND(Q118&gt;0,SUMPRODUCT(($C$7:$G$7&lt;$G$7)*($M118:$Q118&gt;0))=0),1,0)</f>
      </c>
    </row>
    <row r="120" spans="1:26" x14ac:dyDescent="0.25">
      <c r="A120" s="11">
        <f>A119+1</f>
      </c>
      <c r="B120" s="24">
        <f>EDATE(Debts!$B$14,A120)</f>
      </c>
      <c r="C120" s="25">
        <f>IF(M119&lt;=0,0,ROUND(M119*$C$5/12,2))</f>
      </c>
      <c r="D120" s="25">
        <f>IF(N119&lt;=0,0,ROUND(N119*$D$5/12,2))</f>
      </c>
      <c r="E120" s="25">
        <f>IF(O119&lt;=0,0,ROUND(O119*$E$5/12,2))</f>
      </c>
      <c r="F120" s="25">
        <f>IF(P119&lt;=0,0,ROUND(P119*$F$5/12,2))</f>
      </c>
      <c r="G120" s="25">
        <f>IF(Q119&lt;=0,0,ROUND(Q119*$G$5/12,2))</f>
      </c>
      <c r="H120" s="25">
        <f>IF(M119&lt;=0,0,MIN(M119+C120,$C$6+V120*$U120))</f>
      </c>
      <c r="I120" s="25">
        <f>IF(N119&lt;=0,0,MIN(N119+D120,$D$6+W120*$U120))</f>
      </c>
      <c r="J120" s="25">
        <f>IF(O119&lt;=0,0,MIN(O119+E120,$E$6+X120*$U120))</f>
      </c>
      <c r="K120" s="25">
        <f>IF(P119&lt;=0,0,MIN(P119+F120,$F$6+Y120*$U120))</f>
      </c>
      <c r="L120" s="25">
        <f>IF(Q119&lt;=0,0,MIN(Q119+G120,$G$6+Z120*$U120))</f>
      </c>
      <c r="M120" s="25">
        <f>ROUND(M119+C120-H120,2)</f>
      </c>
      <c r="N120" s="25">
        <f>ROUND(N119+D120-I120,2)</f>
      </c>
      <c r="O120" s="25">
        <f>ROUND(O119+E120-J120,2)</f>
      </c>
      <c r="P120" s="25">
        <f>ROUND(P119+F120-K120,2)</f>
      </c>
      <c r="Q120" s="25">
        <f>ROUND(Q119+G120-L120,2)</f>
      </c>
      <c r="R120" s="25">
        <f>SUM(H120:L120)</f>
      </c>
      <c r="S120" s="25">
        <f>SUM(C120:G120)</f>
      </c>
      <c r="T120" s="25">
        <f>SUM(M120:Q120)</f>
      </c>
      <c r="U120" s="26">
        <f>Debts!$B$13+SUMPRODUCT(($M119:$Q119&lt;=0)*$C$6:$G$6)</f>
      </c>
      <c r="V120" s="27">
        <f>IF(AND(M119&gt;0,SUMPRODUCT(($C$7:$G$7&lt;$C$7)*($M119:$Q119&gt;0))=0),1,0)</f>
      </c>
      <c r="W120" s="27">
        <f>IF(AND(N119&gt;0,SUMPRODUCT(($C$7:$G$7&lt;$D$7)*($M119:$Q119&gt;0))=0),1,0)</f>
      </c>
      <c r="X120" s="27">
        <f>IF(AND(O119&gt;0,SUMPRODUCT(($C$7:$G$7&lt;$E$7)*($M119:$Q119&gt;0))=0),1,0)</f>
      </c>
      <c r="Y120" s="27">
        <f>IF(AND(P119&gt;0,SUMPRODUCT(($C$7:$G$7&lt;$F$7)*($M119:$Q119&gt;0))=0),1,0)</f>
      </c>
      <c r="Z120" s="27">
        <f>IF(AND(Q119&gt;0,SUMPRODUCT(($C$7:$G$7&lt;$G$7)*($M119:$Q119&gt;0))=0),1,0)</f>
      </c>
    </row>
    <row r="121" spans="1:26" x14ac:dyDescent="0.25">
      <c r="A121" s="12">
        <f>A120+1</f>
      </c>
      <c r="B121" s="28">
        <f>EDATE(Debts!$B$14,A121)</f>
      </c>
      <c r="C121" s="29">
        <f>IF(M120&lt;=0,0,ROUND(M120*$C$5/12,2))</f>
      </c>
      <c r="D121" s="29">
        <f>IF(N120&lt;=0,0,ROUND(N120*$D$5/12,2))</f>
      </c>
      <c r="E121" s="29">
        <f>IF(O120&lt;=0,0,ROUND(O120*$E$5/12,2))</f>
      </c>
      <c r="F121" s="29">
        <f>IF(P120&lt;=0,0,ROUND(P120*$F$5/12,2))</f>
      </c>
      <c r="G121" s="29">
        <f>IF(Q120&lt;=0,0,ROUND(Q120*$G$5/12,2))</f>
      </c>
      <c r="H121" s="29">
        <f>IF(M120&lt;=0,0,MIN(M120+C121,$C$6+V121*$U121))</f>
      </c>
      <c r="I121" s="29">
        <f>IF(N120&lt;=0,0,MIN(N120+D121,$D$6+W121*$U121))</f>
      </c>
      <c r="J121" s="29">
        <f>IF(O120&lt;=0,0,MIN(O120+E121,$E$6+X121*$U121))</f>
      </c>
      <c r="K121" s="29">
        <f>IF(P120&lt;=0,0,MIN(P120+F121,$F$6+Y121*$U121))</f>
      </c>
      <c r="L121" s="29">
        <f>IF(Q120&lt;=0,0,MIN(Q120+G121,$G$6+Z121*$U121))</f>
      </c>
      <c r="M121" s="29">
        <f>ROUND(M120+C121-H121,2)</f>
      </c>
      <c r="N121" s="29">
        <f>ROUND(N120+D121-I121,2)</f>
      </c>
      <c r="O121" s="29">
        <f>ROUND(O120+E121-J121,2)</f>
      </c>
      <c r="P121" s="29">
        <f>ROUND(P120+F121-K121,2)</f>
      </c>
      <c r="Q121" s="29">
        <f>ROUND(Q120+G121-L121,2)</f>
      </c>
      <c r="R121" s="29">
        <f>SUM(H121:L121)</f>
      </c>
      <c r="S121" s="29">
        <f>SUM(C121:G121)</f>
      </c>
      <c r="T121" s="29">
        <f>SUM(M121:Q121)</f>
      </c>
      <c r="U121" s="30">
        <f>Debts!$B$13+SUMPRODUCT(($M120:$Q120&lt;=0)*$C$6:$G$6)</f>
      </c>
      <c r="V121" s="31">
        <f>IF(AND(M120&gt;0,SUMPRODUCT(($C$7:$G$7&lt;$C$7)*($M120:$Q120&gt;0))=0),1,0)</f>
      </c>
      <c r="W121" s="31">
        <f>IF(AND(N120&gt;0,SUMPRODUCT(($C$7:$G$7&lt;$D$7)*($M120:$Q120&gt;0))=0),1,0)</f>
      </c>
      <c r="X121" s="31">
        <f>IF(AND(O120&gt;0,SUMPRODUCT(($C$7:$G$7&lt;$E$7)*($M120:$Q120&gt;0))=0),1,0)</f>
      </c>
      <c r="Y121" s="31">
        <f>IF(AND(P120&gt;0,SUMPRODUCT(($C$7:$G$7&lt;$F$7)*($M120:$Q120&gt;0))=0),1,0)</f>
      </c>
      <c r="Z121" s="31">
        <f>IF(AND(Q120&gt;0,SUMPRODUCT(($C$7:$G$7&lt;$G$7)*($M120:$Q120&gt;0))=0),1,0)</f>
      </c>
    </row>
    <row r="122" spans="1:26" x14ac:dyDescent="0.25">
      <c r="A122" s="11">
        <f>A121+1</f>
      </c>
      <c r="B122" s="24">
        <f>EDATE(Debts!$B$14,A122)</f>
      </c>
      <c r="C122" s="25">
        <f>IF(M121&lt;=0,0,ROUND(M121*$C$5/12,2))</f>
      </c>
      <c r="D122" s="25">
        <f>IF(N121&lt;=0,0,ROUND(N121*$D$5/12,2))</f>
      </c>
      <c r="E122" s="25">
        <f>IF(O121&lt;=0,0,ROUND(O121*$E$5/12,2))</f>
      </c>
      <c r="F122" s="25">
        <f>IF(P121&lt;=0,0,ROUND(P121*$F$5/12,2))</f>
      </c>
      <c r="G122" s="25">
        <f>IF(Q121&lt;=0,0,ROUND(Q121*$G$5/12,2))</f>
      </c>
      <c r="H122" s="25">
        <f>IF(M121&lt;=0,0,MIN(M121+C122,$C$6+V122*$U122))</f>
      </c>
      <c r="I122" s="25">
        <f>IF(N121&lt;=0,0,MIN(N121+D122,$D$6+W122*$U122))</f>
      </c>
      <c r="J122" s="25">
        <f>IF(O121&lt;=0,0,MIN(O121+E122,$E$6+X122*$U122))</f>
      </c>
      <c r="K122" s="25">
        <f>IF(P121&lt;=0,0,MIN(P121+F122,$F$6+Y122*$U122))</f>
      </c>
      <c r="L122" s="25">
        <f>IF(Q121&lt;=0,0,MIN(Q121+G122,$G$6+Z122*$U122))</f>
      </c>
      <c r="M122" s="25">
        <f>ROUND(M121+C122-H122,2)</f>
      </c>
      <c r="N122" s="25">
        <f>ROUND(N121+D122-I122,2)</f>
      </c>
      <c r="O122" s="25">
        <f>ROUND(O121+E122-J122,2)</f>
      </c>
      <c r="P122" s="25">
        <f>ROUND(P121+F122-K122,2)</f>
      </c>
      <c r="Q122" s="25">
        <f>ROUND(Q121+G122-L122,2)</f>
      </c>
      <c r="R122" s="25">
        <f>SUM(H122:L122)</f>
      </c>
      <c r="S122" s="25">
        <f>SUM(C122:G122)</f>
      </c>
      <c r="T122" s="25">
        <f>SUM(M122:Q122)</f>
      </c>
      <c r="U122" s="26">
        <f>Debts!$B$13+SUMPRODUCT(($M121:$Q121&lt;=0)*$C$6:$G$6)</f>
      </c>
      <c r="V122" s="27">
        <f>IF(AND(M121&gt;0,SUMPRODUCT(($C$7:$G$7&lt;$C$7)*($M121:$Q121&gt;0))=0),1,0)</f>
      </c>
      <c r="W122" s="27">
        <f>IF(AND(N121&gt;0,SUMPRODUCT(($C$7:$G$7&lt;$D$7)*($M121:$Q121&gt;0))=0),1,0)</f>
      </c>
      <c r="X122" s="27">
        <f>IF(AND(O121&gt;0,SUMPRODUCT(($C$7:$G$7&lt;$E$7)*($M121:$Q121&gt;0))=0),1,0)</f>
      </c>
      <c r="Y122" s="27">
        <f>IF(AND(P121&gt;0,SUMPRODUCT(($C$7:$G$7&lt;$F$7)*($M121:$Q121&gt;0))=0),1,0)</f>
      </c>
      <c r="Z122" s="27">
        <f>IF(AND(Q121&gt;0,SUMPRODUCT(($C$7:$G$7&lt;$G$7)*($M121:$Q121&gt;0))=0),1,0)</f>
      </c>
    </row>
    <row r="123" spans="1:26" x14ac:dyDescent="0.25">
      <c r="A123" s="12">
        <f>A122+1</f>
      </c>
      <c r="B123" s="28">
        <f>EDATE(Debts!$B$14,A123)</f>
      </c>
      <c r="C123" s="29">
        <f>IF(M122&lt;=0,0,ROUND(M122*$C$5/12,2))</f>
      </c>
      <c r="D123" s="29">
        <f>IF(N122&lt;=0,0,ROUND(N122*$D$5/12,2))</f>
      </c>
      <c r="E123" s="29">
        <f>IF(O122&lt;=0,0,ROUND(O122*$E$5/12,2))</f>
      </c>
      <c r="F123" s="29">
        <f>IF(P122&lt;=0,0,ROUND(P122*$F$5/12,2))</f>
      </c>
      <c r="G123" s="29">
        <f>IF(Q122&lt;=0,0,ROUND(Q122*$G$5/12,2))</f>
      </c>
      <c r="H123" s="29">
        <f>IF(M122&lt;=0,0,MIN(M122+C123,$C$6+V123*$U123))</f>
      </c>
      <c r="I123" s="29">
        <f>IF(N122&lt;=0,0,MIN(N122+D123,$D$6+W123*$U123))</f>
      </c>
      <c r="J123" s="29">
        <f>IF(O122&lt;=0,0,MIN(O122+E123,$E$6+X123*$U123))</f>
      </c>
      <c r="K123" s="29">
        <f>IF(P122&lt;=0,0,MIN(P122+F123,$F$6+Y123*$U123))</f>
      </c>
      <c r="L123" s="29">
        <f>IF(Q122&lt;=0,0,MIN(Q122+G123,$G$6+Z123*$U123))</f>
      </c>
      <c r="M123" s="29">
        <f>ROUND(M122+C123-H123,2)</f>
      </c>
      <c r="N123" s="29">
        <f>ROUND(N122+D123-I123,2)</f>
      </c>
      <c r="O123" s="29">
        <f>ROUND(O122+E123-J123,2)</f>
      </c>
      <c r="P123" s="29">
        <f>ROUND(P122+F123-K123,2)</f>
      </c>
      <c r="Q123" s="29">
        <f>ROUND(Q122+G123-L123,2)</f>
      </c>
      <c r="R123" s="29">
        <f>SUM(H123:L123)</f>
      </c>
      <c r="S123" s="29">
        <f>SUM(C123:G123)</f>
      </c>
      <c r="T123" s="29">
        <f>SUM(M123:Q123)</f>
      </c>
      <c r="U123" s="30">
        <f>Debts!$B$13+SUMPRODUCT(($M122:$Q122&lt;=0)*$C$6:$G$6)</f>
      </c>
      <c r="V123" s="31">
        <f>IF(AND(M122&gt;0,SUMPRODUCT(($C$7:$G$7&lt;$C$7)*($M122:$Q122&gt;0))=0),1,0)</f>
      </c>
      <c r="W123" s="31">
        <f>IF(AND(N122&gt;0,SUMPRODUCT(($C$7:$G$7&lt;$D$7)*($M122:$Q122&gt;0))=0),1,0)</f>
      </c>
      <c r="X123" s="31">
        <f>IF(AND(O122&gt;0,SUMPRODUCT(($C$7:$G$7&lt;$E$7)*($M122:$Q122&gt;0))=0),1,0)</f>
      </c>
      <c r="Y123" s="31">
        <f>IF(AND(P122&gt;0,SUMPRODUCT(($C$7:$G$7&lt;$F$7)*($M122:$Q122&gt;0))=0),1,0)</f>
      </c>
      <c r="Z123" s="31">
        <f>IF(AND(Q122&gt;0,SUMPRODUCT(($C$7:$G$7&lt;$G$7)*($M122:$Q122&gt;0))=0),1,0)</f>
      </c>
    </row>
    <row r="124" spans="1:26" x14ac:dyDescent="0.25">
      <c r="A124" s="11">
        <f>A123+1</f>
      </c>
      <c r="B124" s="24">
        <f>EDATE(Debts!$B$14,A124)</f>
      </c>
      <c r="C124" s="25">
        <f>IF(M123&lt;=0,0,ROUND(M123*$C$5/12,2))</f>
      </c>
      <c r="D124" s="25">
        <f>IF(N123&lt;=0,0,ROUND(N123*$D$5/12,2))</f>
      </c>
      <c r="E124" s="25">
        <f>IF(O123&lt;=0,0,ROUND(O123*$E$5/12,2))</f>
      </c>
      <c r="F124" s="25">
        <f>IF(P123&lt;=0,0,ROUND(P123*$F$5/12,2))</f>
      </c>
      <c r="G124" s="25">
        <f>IF(Q123&lt;=0,0,ROUND(Q123*$G$5/12,2))</f>
      </c>
      <c r="H124" s="25">
        <f>IF(M123&lt;=0,0,MIN(M123+C124,$C$6+V124*$U124))</f>
      </c>
      <c r="I124" s="25">
        <f>IF(N123&lt;=0,0,MIN(N123+D124,$D$6+W124*$U124))</f>
      </c>
      <c r="J124" s="25">
        <f>IF(O123&lt;=0,0,MIN(O123+E124,$E$6+X124*$U124))</f>
      </c>
      <c r="K124" s="25">
        <f>IF(P123&lt;=0,0,MIN(P123+F124,$F$6+Y124*$U124))</f>
      </c>
      <c r="L124" s="25">
        <f>IF(Q123&lt;=0,0,MIN(Q123+G124,$G$6+Z124*$U124))</f>
      </c>
      <c r="M124" s="25">
        <f>ROUND(M123+C124-H124,2)</f>
      </c>
      <c r="N124" s="25">
        <f>ROUND(N123+D124-I124,2)</f>
      </c>
      <c r="O124" s="25">
        <f>ROUND(O123+E124-J124,2)</f>
      </c>
      <c r="P124" s="25">
        <f>ROUND(P123+F124-K124,2)</f>
      </c>
      <c r="Q124" s="25">
        <f>ROUND(Q123+G124-L124,2)</f>
      </c>
      <c r="R124" s="25">
        <f>SUM(H124:L124)</f>
      </c>
      <c r="S124" s="25">
        <f>SUM(C124:G124)</f>
      </c>
      <c r="T124" s="25">
        <f>SUM(M124:Q124)</f>
      </c>
      <c r="U124" s="26">
        <f>Debts!$B$13+SUMPRODUCT(($M123:$Q123&lt;=0)*$C$6:$G$6)</f>
      </c>
      <c r="V124" s="27">
        <f>IF(AND(M123&gt;0,SUMPRODUCT(($C$7:$G$7&lt;$C$7)*($M123:$Q123&gt;0))=0),1,0)</f>
      </c>
      <c r="W124" s="27">
        <f>IF(AND(N123&gt;0,SUMPRODUCT(($C$7:$G$7&lt;$D$7)*($M123:$Q123&gt;0))=0),1,0)</f>
      </c>
      <c r="X124" s="27">
        <f>IF(AND(O123&gt;0,SUMPRODUCT(($C$7:$G$7&lt;$E$7)*($M123:$Q123&gt;0))=0),1,0)</f>
      </c>
      <c r="Y124" s="27">
        <f>IF(AND(P123&gt;0,SUMPRODUCT(($C$7:$G$7&lt;$F$7)*($M123:$Q123&gt;0))=0),1,0)</f>
      </c>
      <c r="Z124" s="27">
        <f>IF(AND(Q123&gt;0,SUMPRODUCT(($C$7:$G$7&lt;$G$7)*($M123:$Q123&gt;0))=0),1,0)</f>
      </c>
    </row>
    <row r="125" spans="1:26" x14ac:dyDescent="0.25">
      <c r="A125" s="12">
        <f>A124+1</f>
      </c>
      <c r="B125" s="28">
        <f>EDATE(Debts!$B$14,A125)</f>
      </c>
      <c r="C125" s="29">
        <f>IF(M124&lt;=0,0,ROUND(M124*$C$5/12,2))</f>
      </c>
      <c r="D125" s="29">
        <f>IF(N124&lt;=0,0,ROUND(N124*$D$5/12,2))</f>
      </c>
      <c r="E125" s="29">
        <f>IF(O124&lt;=0,0,ROUND(O124*$E$5/12,2))</f>
      </c>
      <c r="F125" s="29">
        <f>IF(P124&lt;=0,0,ROUND(P124*$F$5/12,2))</f>
      </c>
      <c r="G125" s="29">
        <f>IF(Q124&lt;=0,0,ROUND(Q124*$G$5/12,2))</f>
      </c>
      <c r="H125" s="29">
        <f>IF(M124&lt;=0,0,MIN(M124+C125,$C$6+V125*$U125))</f>
      </c>
      <c r="I125" s="29">
        <f>IF(N124&lt;=0,0,MIN(N124+D125,$D$6+W125*$U125))</f>
      </c>
      <c r="J125" s="29">
        <f>IF(O124&lt;=0,0,MIN(O124+E125,$E$6+X125*$U125))</f>
      </c>
      <c r="K125" s="29">
        <f>IF(P124&lt;=0,0,MIN(P124+F125,$F$6+Y125*$U125))</f>
      </c>
      <c r="L125" s="29">
        <f>IF(Q124&lt;=0,0,MIN(Q124+G125,$G$6+Z125*$U125))</f>
      </c>
      <c r="M125" s="29">
        <f>ROUND(M124+C125-H125,2)</f>
      </c>
      <c r="N125" s="29">
        <f>ROUND(N124+D125-I125,2)</f>
      </c>
      <c r="O125" s="29">
        <f>ROUND(O124+E125-J125,2)</f>
      </c>
      <c r="P125" s="29">
        <f>ROUND(P124+F125-K125,2)</f>
      </c>
      <c r="Q125" s="29">
        <f>ROUND(Q124+G125-L125,2)</f>
      </c>
      <c r="R125" s="29">
        <f>SUM(H125:L125)</f>
      </c>
      <c r="S125" s="29">
        <f>SUM(C125:G125)</f>
      </c>
      <c r="T125" s="29">
        <f>SUM(M125:Q125)</f>
      </c>
      <c r="U125" s="30">
        <f>Debts!$B$13+SUMPRODUCT(($M124:$Q124&lt;=0)*$C$6:$G$6)</f>
      </c>
      <c r="V125" s="31">
        <f>IF(AND(M124&gt;0,SUMPRODUCT(($C$7:$G$7&lt;$C$7)*($M124:$Q124&gt;0))=0),1,0)</f>
      </c>
      <c r="W125" s="31">
        <f>IF(AND(N124&gt;0,SUMPRODUCT(($C$7:$G$7&lt;$D$7)*($M124:$Q124&gt;0))=0),1,0)</f>
      </c>
      <c r="X125" s="31">
        <f>IF(AND(O124&gt;0,SUMPRODUCT(($C$7:$G$7&lt;$E$7)*($M124:$Q124&gt;0))=0),1,0)</f>
      </c>
      <c r="Y125" s="31">
        <f>IF(AND(P124&gt;0,SUMPRODUCT(($C$7:$G$7&lt;$F$7)*($M124:$Q124&gt;0))=0),1,0)</f>
      </c>
      <c r="Z125" s="31">
        <f>IF(AND(Q124&gt;0,SUMPRODUCT(($C$7:$G$7&lt;$G$7)*($M124:$Q124&gt;0))=0),1,0)</f>
      </c>
    </row>
    <row r="126" spans="1:26" x14ac:dyDescent="0.25">
      <c r="A126" s="11">
        <f>A125+1</f>
      </c>
      <c r="B126" s="24">
        <f>EDATE(Debts!$B$14,A126)</f>
      </c>
      <c r="C126" s="25">
        <f>IF(M125&lt;=0,0,ROUND(M125*$C$5/12,2))</f>
      </c>
      <c r="D126" s="25">
        <f>IF(N125&lt;=0,0,ROUND(N125*$D$5/12,2))</f>
      </c>
      <c r="E126" s="25">
        <f>IF(O125&lt;=0,0,ROUND(O125*$E$5/12,2))</f>
      </c>
      <c r="F126" s="25">
        <f>IF(P125&lt;=0,0,ROUND(P125*$F$5/12,2))</f>
      </c>
      <c r="G126" s="25">
        <f>IF(Q125&lt;=0,0,ROUND(Q125*$G$5/12,2))</f>
      </c>
      <c r="H126" s="25">
        <f>IF(M125&lt;=0,0,MIN(M125+C126,$C$6+V126*$U126))</f>
      </c>
      <c r="I126" s="25">
        <f>IF(N125&lt;=0,0,MIN(N125+D126,$D$6+W126*$U126))</f>
      </c>
      <c r="J126" s="25">
        <f>IF(O125&lt;=0,0,MIN(O125+E126,$E$6+X126*$U126))</f>
      </c>
      <c r="K126" s="25">
        <f>IF(P125&lt;=0,0,MIN(P125+F126,$F$6+Y126*$U126))</f>
      </c>
      <c r="L126" s="25">
        <f>IF(Q125&lt;=0,0,MIN(Q125+G126,$G$6+Z126*$U126))</f>
      </c>
      <c r="M126" s="25">
        <f>ROUND(M125+C126-H126,2)</f>
      </c>
      <c r="N126" s="25">
        <f>ROUND(N125+D126-I126,2)</f>
      </c>
      <c r="O126" s="25">
        <f>ROUND(O125+E126-J126,2)</f>
      </c>
      <c r="P126" s="25">
        <f>ROUND(P125+F126-K126,2)</f>
      </c>
      <c r="Q126" s="25">
        <f>ROUND(Q125+G126-L126,2)</f>
      </c>
      <c r="R126" s="25">
        <f>SUM(H126:L126)</f>
      </c>
      <c r="S126" s="25">
        <f>SUM(C126:G126)</f>
      </c>
      <c r="T126" s="25">
        <f>SUM(M126:Q126)</f>
      </c>
      <c r="U126" s="26">
        <f>Debts!$B$13+SUMPRODUCT(($M125:$Q125&lt;=0)*$C$6:$G$6)</f>
      </c>
      <c r="V126" s="27">
        <f>IF(AND(M125&gt;0,SUMPRODUCT(($C$7:$G$7&lt;$C$7)*($M125:$Q125&gt;0))=0),1,0)</f>
      </c>
      <c r="W126" s="27">
        <f>IF(AND(N125&gt;0,SUMPRODUCT(($C$7:$G$7&lt;$D$7)*($M125:$Q125&gt;0))=0),1,0)</f>
      </c>
      <c r="X126" s="27">
        <f>IF(AND(O125&gt;0,SUMPRODUCT(($C$7:$G$7&lt;$E$7)*($M125:$Q125&gt;0))=0),1,0)</f>
      </c>
      <c r="Y126" s="27">
        <f>IF(AND(P125&gt;0,SUMPRODUCT(($C$7:$G$7&lt;$F$7)*($M125:$Q125&gt;0))=0),1,0)</f>
      </c>
      <c r="Z126" s="27">
        <f>IF(AND(Q125&gt;0,SUMPRODUCT(($C$7:$G$7&lt;$G$7)*($M125:$Q125&gt;0))=0),1,0)</f>
      </c>
    </row>
    <row r="127" spans="1:26" x14ac:dyDescent="0.25">
      <c r="A127" s="12">
        <f>A126+1</f>
      </c>
      <c r="B127" s="28">
        <f>EDATE(Debts!$B$14,A127)</f>
      </c>
      <c r="C127" s="29">
        <f>IF(M126&lt;=0,0,ROUND(M126*$C$5/12,2))</f>
      </c>
      <c r="D127" s="29">
        <f>IF(N126&lt;=0,0,ROUND(N126*$D$5/12,2))</f>
      </c>
      <c r="E127" s="29">
        <f>IF(O126&lt;=0,0,ROUND(O126*$E$5/12,2))</f>
      </c>
      <c r="F127" s="29">
        <f>IF(P126&lt;=0,0,ROUND(P126*$F$5/12,2))</f>
      </c>
      <c r="G127" s="29">
        <f>IF(Q126&lt;=0,0,ROUND(Q126*$G$5/12,2))</f>
      </c>
      <c r="H127" s="29">
        <f>IF(M126&lt;=0,0,MIN(M126+C127,$C$6+V127*$U127))</f>
      </c>
      <c r="I127" s="29">
        <f>IF(N126&lt;=0,0,MIN(N126+D127,$D$6+W127*$U127))</f>
      </c>
      <c r="J127" s="29">
        <f>IF(O126&lt;=0,0,MIN(O126+E127,$E$6+X127*$U127))</f>
      </c>
      <c r="K127" s="29">
        <f>IF(P126&lt;=0,0,MIN(P126+F127,$F$6+Y127*$U127))</f>
      </c>
      <c r="L127" s="29">
        <f>IF(Q126&lt;=0,0,MIN(Q126+G127,$G$6+Z127*$U127))</f>
      </c>
      <c r="M127" s="29">
        <f>ROUND(M126+C127-H127,2)</f>
      </c>
      <c r="N127" s="29">
        <f>ROUND(N126+D127-I127,2)</f>
      </c>
      <c r="O127" s="29">
        <f>ROUND(O126+E127-J127,2)</f>
      </c>
      <c r="P127" s="29">
        <f>ROUND(P126+F127-K127,2)</f>
      </c>
      <c r="Q127" s="29">
        <f>ROUND(Q126+G127-L127,2)</f>
      </c>
      <c r="R127" s="29">
        <f>SUM(H127:L127)</f>
      </c>
      <c r="S127" s="29">
        <f>SUM(C127:G127)</f>
      </c>
      <c r="T127" s="29">
        <f>SUM(M127:Q127)</f>
      </c>
      <c r="U127" s="30">
        <f>Debts!$B$13+SUMPRODUCT(($M126:$Q126&lt;=0)*$C$6:$G$6)</f>
      </c>
      <c r="V127" s="31">
        <f>IF(AND(M126&gt;0,SUMPRODUCT(($C$7:$G$7&lt;$C$7)*($M126:$Q126&gt;0))=0),1,0)</f>
      </c>
      <c r="W127" s="31">
        <f>IF(AND(N126&gt;0,SUMPRODUCT(($C$7:$G$7&lt;$D$7)*($M126:$Q126&gt;0))=0),1,0)</f>
      </c>
      <c r="X127" s="31">
        <f>IF(AND(O126&gt;0,SUMPRODUCT(($C$7:$G$7&lt;$E$7)*($M126:$Q126&gt;0))=0),1,0)</f>
      </c>
      <c r="Y127" s="31">
        <f>IF(AND(P126&gt;0,SUMPRODUCT(($C$7:$G$7&lt;$F$7)*($M126:$Q126&gt;0))=0),1,0)</f>
      </c>
      <c r="Z127" s="31">
        <f>IF(AND(Q126&gt;0,SUMPRODUCT(($C$7:$G$7&lt;$G$7)*($M126:$Q126&gt;0))=0),1,0)</f>
      </c>
    </row>
    <row r="128" spans="1:26" x14ac:dyDescent="0.25">
      <c r="A128" s="11">
        <f>A127+1</f>
      </c>
      <c r="B128" s="24">
        <f>EDATE(Debts!$B$14,A128)</f>
      </c>
      <c r="C128" s="25">
        <f>IF(M127&lt;=0,0,ROUND(M127*$C$5/12,2))</f>
      </c>
      <c r="D128" s="25">
        <f>IF(N127&lt;=0,0,ROUND(N127*$D$5/12,2))</f>
      </c>
      <c r="E128" s="25">
        <f>IF(O127&lt;=0,0,ROUND(O127*$E$5/12,2))</f>
      </c>
      <c r="F128" s="25">
        <f>IF(P127&lt;=0,0,ROUND(P127*$F$5/12,2))</f>
      </c>
      <c r="G128" s="25">
        <f>IF(Q127&lt;=0,0,ROUND(Q127*$G$5/12,2))</f>
      </c>
      <c r="H128" s="25">
        <f>IF(M127&lt;=0,0,MIN(M127+C128,$C$6+V128*$U128))</f>
      </c>
      <c r="I128" s="25">
        <f>IF(N127&lt;=0,0,MIN(N127+D128,$D$6+W128*$U128))</f>
      </c>
      <c r="J128" s="25">
        <f>IF(O127&lt;=0,0,MIN(O127+E128,$E$6+X128*$U128))</f>
      </c>
      <c r="K128" s="25">
        <f>IF(P127&lt;=0,0,MIN(P127+F128,$F$6+Y128*$U128))</f>
      </c>
      <c r="L128" s="25">
        <f>IF(Q127&lt;=0,0,MIN(Q127+G128,$G$6+Z128*$U128))</f>
      </c>
      <c r="M128" s="25">
        <f>ROUND(M127+C128-H128,2)</f>
      </c>
      <c r="N128" s="25">
        <f>ROUND(N127+D128-I128,2)</f>
      </c>
      <c r="O128" s="25">
        <f>ROUND(O127+E128-J128,2)</f>
      </c>
      <c r="P128" s="25">
        <f>ROUND(P127+F128-K128,2)</f>
      </c>
      <c r="Q128" s="25">
        <f>ROUND(Q127+G128-L128,2)</f>
      </c>
      <c r="R128" s="25">
        <f>SUM(H128:L128)</f>
      </c>
      <c r="S128" s="25">
        <f>SUM(C128:G128)</f>
      </c>
      <c r="T128" s="25">
        <f>SUM(M128:Q128)</f>
      </c>
      <c r="U128" s="26">
        <f>Debts!$B$13+SUMPRODUCT(($M127:$Q127&lt;=0)*$C$6:$G$6)</f>
      </c>
      <c r="V128" s="27">
        <f>IF(AND(M127&gt;0,SUMPRODUCT(($C$7:$G$7&lt;$C$7)*($M127:$Q127&gt;0))=0),1,0)</f>
      </c>
      <c r="W128" s="27">
        <f>IF(AND(N127&gt;0,SUMPRODUCT(($C$7:$G$7&lt;$D$7)*($M127:$Q127&gt;0))=0),1,0)</f>
      </c>
      <c r="X128" s="27">
        <f>IF(AND(O127&gt;0,SUMPRODUCT(($C$7:$G$7&lt;$E$7)*($M127:$Q127&gt;0))=0),1,0)</f>
      </c>
      <c r="Y128" s="27">
        <f>IF(AND(P127&gt;0,SUMPRODUCT(($C$7:$G$7&lt;$F$7)*($M127:$Q127&gt;0))=0),1,0)</f>
      </c>
      <c r="Z128" s="27">
        <f>IF(AND(Q127&gt;0,SUMPRODUCT(($C$7:$G$7&lt;$G$7)*($M127:$Q127&gt;0))=0),1,0)</f>
      </c>
    </row>
    <row r="129" spans="1:26" x14ac:dyDescent="0.25">
      <c r="A129" s="12">
        <f>A128+1</f>
      </c>
      <c r="B129" s="28">
        <f>EDATE(Debts!$B$14,A129)</f>
      </c>
      <c r="C129" s="29">
        <f>IF(M128&lt;=0,0,ROUND(M128*$C$5/12,2))</f>
      </c>
      <c r="D129" s="29">
        <f>IF(N128&lt;=0,0,ROUND(N128*$D$5/12,2))</f>
      </c>
      <c r="E129" s="29">
        <f>IF(O128&lt;=0,0,ROUND(O128*$E$5/12,2))</f>
      </c>
      <c r="F129" s="29">
        <f>IF(P128&lt;=0,0,ROUND(P128*$F$5/12,2))</f>
      </c>
      <c r="G129" s="29">
        <f>IF(Q128&lt;=0,0,ROUND(Q128*$G$5/12,2))</f>
      </c>
      <c r="H129" s="29">
        <f>IF(M128&lt;=0,0,MIN(M128+C129,$C$6+V129*$U129))</f>
      </c>
      <c r="I129" s="29">
        <f>IF(N128&lt;=0,0,MIN(N128+D129,$D$6+W129*$U129))</f>
      </c>
      <c r="J129" s="29">
        <f>IF(O128&lt;=0,0,MIN(O128+E129,$E$6+X129*$U129))</f>
      </c>
      <c r="K129" s="29">
        <f>IF(P128&lt;=0,0,MIN(P128+F129,$F$6+Y129*$U129))</f>
      </c>
      <c r="L129" s="29">
        <f>IF(Q128&lt;=0,0,MIN(Q128+G129,$G$6+Z129*$U129))</f>
      </c>
      <c r="M129" s="29">
        <f>ROUND(M128+C129-H129,2)</f>
      </c>
      <c r="N129" s="29">
        <f>ROUND(N128+D129-I129,2)</f>
      </c>
      <c r="O129" s="29">
        <f>ROUND(O128+E129-J129,2)</f>
      </c>
      <c r="P129" s="29">
        <f>ROUND(P128+F129-K129,2)</f>
      </c>
      <c r="Q129" s="29">
        <f>ROUND(Q128+G129-L129,2)</f>
      </c>
      <c r="R129" s="29">
        <f>SUM(H129:L129)</f>
      </c>
      <c r="S129" s="29">
        <f>SUM(C129:G129)</f>
      </c>
      <c r="T129" s="29">
        <f>SUM(M129:Q129)</f>
      </c>
      <c r="U129" s="30">
        <f>Debts!$B$13+SUMPRODUCT(($M128:$Q128&lt;=0)*$C$6:$G$6)</f>
      </c>
      <c r="V129" s="31">
        <f>IF(AND(M128&gt;0,SUMPRODUCT(($C$7:$G$7&lt;$C$7)*($M128:$Q128&gt;0))=0),1,0)</f>
      </c>
      <c r="W129" s="31">
        <f>IF(AND(N128&gt;0,SUMPRODUCT(($C$7:$G$7&lt;$D$7)*($M128:$Q128&gt;0))=0),1,0)</f>
      </c>
      <c r="X129" s="31">
        <f>IF(AND(O128&gt;0,SUMPRODUCT(($C$7:$G$7&lt;$E$7)*($M128:$Q128&gt;0))=0),1,0)</f>
      </c>
      <c r="Y129" s="31">
        <f>IF(AND(P128&gt;0,SUMPRODUCT(($C$7:$G$7&lt;$F$7)*($M128:$Q128&gt;0))=0),1,0)</f>
      </c>
      <c r="Z129" s="31">
        <f>IF(AND(Q128&gt;0,SUMPRODUCT(($C$7:$G$7&lt;$G$7)*($M128:$Q128&gt;0))=0),1,0)</f>
      </c>
    </row>
    <row r="130" spans="1:26" x14ac:dyDescent="0.25">
      <c r="A130" s="11">
        <f>A129+1</f>
      </c>
      <c r="B130" s="24">
        <f>EDATE(Debts!$B$14,A130)</f>
      </c>
      <c r="C130" s="25">
        <f>IF(M129&lt;=0,0,ROUND(M129*$C$5/12,2))</f>
      </c>
      <c r="D130" s="25">
        <f>IF(N129&lt;=0,0,ROUND(N129*$D$5/12,2))</f>
      </c>
      <c r="E130" s="25">
        <f>IF(O129&lt;=0,0,ROUND(O129*$E$5/12,2))</f>
      </c>
      <c r="F130" s="25">
        <f>IF(P129&lt;=0,0,ROUND(P129*$F$5/12,2))</f>
      </c>
      <c r="G130" s="25">
        <f>IF(Q129&lt;=0,0,ROUND(Q129*$G$5/12,2))</f>
      </c>
      <c r="H130" s="25">
        <f>IF(M129&lt;=0,0,MIN(M129+C130,$C$6+V130*$U130))</f>
      </c>
      <c r="I130" s="25">
        <f>IF(N129&lt;=0,0,MIN(N129+D130,$D$6+W130*$U130))</f>
      </c>
      <c r="J130" s="25">
        <f>IF(O129&lt;=0,0,MIN(O129+E130,$E$6+X130*$U130))</f>
      </c>
      <c r="K130" s="25">
        <f>IF(P129&lt;=0,0,MIN(P129+F130,$F$6+Y130*$U130))</f>
      </c>
      <c r="L130" s="25">
        <f>IF(Q129&lt;=0,0,MIN(Q129+G130,$G$6+Z130*$U130))</f>
      </c>
      <c r="M130" s="25">
        <f>ROUND(M129+C130-H130,2)</f>
      </c>
      <c r="N130" s="25">
        <f>ROUND(N129+D130-I130,2)</f>
      </c>
      <c r="O130" s="25">
        <f>ROUND(O129+E130-J130,2)</f>
      </c>
      <c r="P130" s="25">
        <f>ROUND(P129+F130-K130,2)</f>
      </c>
      <c r="Q130" s="25">
        <f>ROUND(Q129+G130-L130,2)</f>
      </c>
      <c r="R130" s="25">
        <f>SUM(H130:L130)</f>
      </c>
      <c r="S130" s="25">
        <f>SUM(C130:G130)</f>
      </c>
      <c r="T130" s="25">
        <f>SUM(M130:Q130)</f>
      </c>
      <c r="U130" s="26">
        <f>Debts!$B$13+SUMPRODUCT(($M129:$Q129&lt;=0)*$C$6:$G$6)</f>
      </c>
      <c r="V130" s="27">
        <f>IF(AND(M129&gt;0,SUMPRODUCT(($C$7:$G$7&lt;$C$7)*($M129:$Q129&gt;0))=0),1,0)</f>
      </c>
      <c r="W130" s="27">
        <f>IF(AND(N129&gt;0,SUMPRODUCT(($C$7:$G$7&lt;$D$7)*($M129:$Q129&gt;0))=0),1,0)</f>
      </c>
      <c r="X130" s="27">
        <f>IF(AND(O129&gt;0,SUMPRODUCT(($C$7:$G$7&lt;$E$7)*($M129:$Q129&gt;0))=0),1,0)</f>
      </c>
      <c r="Y130" s="27">
        <f>IF(AND(P129&gt;0,SUMPRODUCT(($C$7:$G$7&lt;$F$7)*($M129:$Q129&gt;0))=0),1,0)</f>
      </c>
      <c r="Z130" s="27">
        <f>IF(AND(Q129&gt;0,SUMPRODUCT(($C$7:$G$7&lt;$G$7)*($M129:$Q129&gt;0))=0),1,0)</f>
      </c>
    </row>
  </sheetData>
  <conditionalFormatting sqref="M11:Q130">
    <cfRule type="cellIs" dxfId="2" priority="1" operator="equal">
      <formula>0</formula>
    </cfRule>
  </conditionalFormatting>
  <conditionalFormatting sqref="T11:T130">
    <cfRule type="cellIs" dxfId="3" priority="1" operator="equal">
      <formula>0</formula>
    </cfRule>
  </conditionalFormatting>
  <printOptions horizontalCentered="1"/>
  <pageMargins left="0.4" right="0.4" top="0.6" bottom="0.6" header="0.3" footer="0.3"/>
  <pageSetup paperSize="1" orientation="landscape" fitToWidth="1" fitToHeight="0"/>
  <headerFooter>
    <oddFooter>&amp;L&amp;9Explore Excel&amp;R&amp;9Page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E4D9"/>
    <pageSetUpPr fitToPage="1"/>
  </sheetPr>
  <dimension ref="A1:E10"/>
  <sheetViews>
    <sheetView workbookViewId="0" showGridLines="0" zoomScale="100"/>
  </sheetViews>
  <sheetFormatPr defaultRowHeight="15" outlineLevelRow="0" outlineLevelCol="0" x14ac:dyDescent="55"/>
  <cols>
    <col min="1" max="1" width="30" customWidth="1"/>
    <col min="2" max="5" width="18" customWidth="1"/>
  </cols>
  <sheetData>
    <row r="1" ht="26" customHeight="1" spans="1:5" x14ac:dyDescent="0.25">
      <c r="A1" s="1" t="s">
        <v>68</v>
      </c>
      <c r="B1" s="2"/>
      <c r="C1" s="2"/>
      <c r="D1" s="2"/>
      <c r="E1" s="2"/>
    </row>
    <row r="2" ht="16" customHeight="1" spans="1:5" x14ac:dyDescent="0.25">
      <c r="A2" s="5" t="s">
        <v>69</v>
      </c>
      <c r="B2" s="6"/>
      <c r="C2" s="6"/>
      <c r="D2" s="6"/>
      <c r="E2" s="6"/>
    </row>
    <row r="4" ht="24" customHeight="1" spans="1:5" x14ac:dyDescent="0.25">
      <c r="A4" s="7" t="s">
        <v>70</v>
      </c>
      <c r="B4" s="7" t="s">
        <v>71</v>
      </c>
      <c r="C4" s="7" t="s">
        <v>72</v>
      </c>
      <c r="D4" s="7" t="s">
        <v>73</v>
      </c>
      <c r="E4" s="7" t="s">
        <v>58</v>
      </c>
    </row>
    <row r="5" spans="1:5" x14ac:dyDescent="0.25">
      <c r="A5" s="32" t="s">
        <v>74</v>
      </c>
      <c r="B5" s="11">
        <f>COUNTIF(Snowball!$R$11:$R$130,"&gt;0")</f>
      </c>
      <c r="C5" s="24">
        <f>INDEX(Snowball!$B$11:$B$130,COUNTIF(Snowball!$R$11:$R$130,"&gt;0"))</f>
      </c>
      <c r="D5" s="25">
        <f>SUM(Snowball!$S$11:$S$130)</f>
      </c>
      <c r="E5" s="25">
        <f>SUM(Snowball!$R$11:$R$130)</f>
      </c>
    </row>
    <row r="6" spans="1:5" x14ac:dyDescent="0.25">
      <c r="A6" s="33" t="s">
        <v>75</v>
      </c>
      <c r="B6" s="12">
        <f>COUNTIF(Avalanche!$R$11:$R$130,"&gt;0")</f>
      </c>
      <c r="C6" s="28">
        <f>INDEX(Avalanche!$B$11:$B$130,COUNTIF(Avalanche!$R$11:$R$130,"&gt;0"))</f>
      </c>
      <c r="D6" s="29">
        <f>SUM(Avalanche!$S$11:$S$130)</f>
      </c>
      <c r="E6" s="29">
        <f>SUM(Avalanche!$R$11:$R$130)</f>
      </c>
    </row>
    <row r="7" ht="20" customHeight="1" spans="1:5" x14ac:dyDescent="0.25">
      <c r="A7" s="13" t="s">
        <v>76</v>
      </c>
      <c r="B7" s="34">
        <f>B5-B6</f>
      </c>
      <c r="C7" s="35" t="s">
        <v>77</v>
      </c>
      <c r="D7" s="14">
        <f>D5-D6</f>
      </c>
      <c r="E7" s="14">
        <f>E5-E6</f>
      </c>
    </row>
    <row r="9" ht="15" customHeight="1" spans="1:1" x14ac:dyDescent="0.25">
      <c r="A9" s="3" t="s">
        <v>78</v>
      </c>
    </row>
    <row r="10" ht="46" customHeight="1" spans="1:1" x14ac:dyDescent="0.25">
      <c r="A10" s="4" t="s">
        <v>79</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Debts</vt:lpstr>
      <vt:lpstr>Snowball</vt:lpstr>
      <vt:lpstr>Avalanche</vt:lpstr>
      <vt:lpstr>Comparison</vt:lpstr>
    </vt:vector>
  </TitlesOfParts>
  <Company>Explore Excel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Explore Excel</dc:creator>
  <dc:title/>
  <dc:subject/>
  <dc:description/>
  <cp:keywords/>
  <cp:category/>
  <cp:lastModifiedBy>Unknown</cp:lastModifiedBy>
  <dcterms:created xsi:type="dcterms:W3CDTF">2026-08-18T13:32:51Z</dcterms:created>
  <dcterms:modified xsi:type="dcterms:W3CDTF">2026-08-18T13:32:51Z</dcterms:modified>
</cp:coreProperties>
</file>