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Explore Excel\Explore Excel Updated\explore-excel-complete\explore-excel\public\downloads\"/>
    </mc:Choice>
  </mc:AlternateContent>
  <xr:revisionPtr revIDLastSave="0" documentId="13_ncr:1_{0C2EC18A-432C-4708-BA79-C04E7E9CF3DD}" xr6:coauthVersionLast="36" xr6:coauthVersionMax="36" xr10:uidLastSave="{00000000-0000-0000-0000-000000000000}"/>
  <bookViews>
    <workbookView xWindow="0" yWindow="0" windowWidth="23040" windowHeight="12684" xr2:uid="{00000000-000D-0000-FFFF-FFFF00000000}"/>
  </bookViews>
  <sheets>
    <sheet name="Schedule" sheetId="1" r:id="rId1"/>
    <sheet name="Read me" sheetId="2" r:id="rId2"/>
  </sheets>
  <calcPr calcId="191029"/>
</workbook>
</file>

<file path=xl/calcChain.xml><?xml version="1.0" encoding="utf-8"?>
<calcChain xmlns="http://schemas.openxmlformats.org/spreadsheetml/2006/main">
  <c r="D15" i="1" l="1"/>
  <c r="C10" i="1"/>
  <c r="C15" i="1" s="1"/>
  <c r="E15" i="1" l="1"/>
  <c r="G15" i="1" s="1"/>
  <c r="B15" i="1" l="1"/>
  <c r="D16" i="1"/>
  <c r="F15" i="1"/>
  <c r="C16" i="1" l="1"/>
  <c r="E16" i="1" l="1"/>
  <c r="G16" i="1" s="1"/>
  <c r="D17" i="1" l="1"/>
  <c r="B16" i="1"/>
  <c r="F16" i="1"/>
  <c r="C17" i="1" l="1"/>
  <c r="E17" i="1" l="1"/>
  <c r="G17" i="1" s="1"/>
  <c r="B17" i="1" l="1"/>
  <c r="E18" i="1"/>
  <c r="G18" i="1" s="1"/>
  <c r="D18" i="1"/>
  <c r="C18" i="1"/>
  <c r="F17" i="1"/>
  <c r="B18" i="1" l="1"/>
  <c r="E19" i="1"/>
  <c r="G19" i="1" s="1"/>
  <c r="D19" i="1"/>
  <c r="C19" i="1"/>
  <c r="F18" i="1"/>
  <c r="D20" i="1" l="1"/>
  <c r="C20" i="1" s="1"/>
  <c r="B19" i="1"/>
  <c r="F19" i="1"/>
  <c r="E20" i="1" l="1"/>
  <c r="F20" i="1" s="1"/>
  <c r="G20" i="1" l="1"/>
  <c r="B20" i="1" l="1"/>
  <c r="D21" i="1"/>
  <c r="C21" i="1" s="1"/>
  <c r="E21" i="1" l="1"/>
  <c r="F21" i="1" s="1"/>
  <c r="G21" i="1" l="1"/>
  <c r="D22" i="1" l="1"/>
  <c r="C22" i="1" s="1"/>
  <c r="B21" i="1"/>
  <c r="E22" i="1" l="1"/>
  <c r="F22" i="1" s="1"/>
  <c r="G22" i="1"/>
  <c r="D23" i="1" l="1"/>
  <c r="C23" i="1" s="1"/>
  <c r="B22" i="1"/>
  <c r="E23" i="1" l="1"/>
  <c r="F23" i="1" s="1"/>
  <c r="G23" i="1" l="1"/>
  <c r="B23" i="1" l="1"/>
  <c r="C24" i="1"/>
  <c r="E24" i="1"/>
  <c r="D24" i="1"/>
  <c r="F24" i="1" l="1"/>
  <c r="G24" i="1"/>
  <c r="C25" i="1" l="1"/>
  <c r="E25" i="1"/>
  <c r="D25" i="1"/>
  <c r="B24" i="1"/>
  <c r="F25" i="1" l="1"/>
  <c r="G25" i="1"/>
  <c r="D26" i="1" l="1"/>
  <c r="C26" i="1"/>
  <c r="E26" i="1"/>
  <c r="B25" i="1"/>
  <c r="F26" i="1" l="1"/>
  <c r="G26" i="1"/>
  <c r="B26" i="1" l="1"/>
  <c r="C27" i="1"/>
  <c r="D27" i="1"/>
  <c r="E27" i="1" l="1"/>
  <c r="F27" i="1" s="1"/>
  <c r="G27" i="1" l="1"/>
  <c r="B27" i="1" l="1"/>
  <c r="D28" i="1"/>
  <c r="C28" i="1"/>
  <c r="E28" i="1" l="1"/>
  <c r="F28" i="1" s="1"/>
  <c r="G28" i="1"/>
  <c r="D29" i="1" l="1"/>
  <c r="C29" i="1"/>
  <c r="E29" i="1"/>
  <c r="G29" i="1" s="1"/>
  <c r="B28" i="1"/>
  <c r="B29" i="1" l="1"/>
  <c r="D30" i="1"/>
  <c r="C30" i="1"/>
  <c r="E30" i="1"/>
  <c r="G30" i="1"/>
  <c r="F29" i="1"/>
  <c r="C31" i="1" l="1"/>
  <c r="E31" i="1" s="1"/>
  <c r="D31" i="1"/>
  <c r="B30" i="1"/>
  <c r="F30" i="1"/>
  <c r="F31" i="1" l="1"/>
  <c r="G31" i="1"/>
  <c r="D32" i="1" l="1"/>
  <c r="C32" i="1"/>
  <c r="B31" i="1"/>
  <c r="E32" i="1" l="1"/>
  <c r="F32" i="1" s="1"/>
  <c r="G32" i="1" l="1"/>
  <c r="B32" i="1" l="1"/>
  <c r="E33" i="1"/>
  <c r="D33" i="1"/>
  <c r="C33" i="1"/>
  <c r="F33" i="1" l="1"/>
  <c r="G33" i="1"/>
  <c r="D34" i="1" l="1"/>
  <c r="C34" i="1" s="1"/>
  <c r="B33" i="1"/>
  <c r="E34" i="1" l="1"/>
  <c r="F34" i="1" s="1"/>
  <c r="G34" i="1" l="1"/>
  <c r="D35" i="1" l="1"/>
  <c r="C35" i="1"/>
  <c r="E35" i="1" s="1"/>
  <c r="B34" i="1"/>
  <c r="G35" i="1" l="1"/>
  <c r="F35" i="1"/>
  <c r="B35" i="1" l="1"/>
  <c r="D36" i="1"/>
  <c r="C36" i="1" s="1"/>
  <c r="E36" i="1" l="1"/>
  <c r="F36" i="1" s="1"/>
  <c r="G36" i="1"/>
  <c r="B36" i="1" l="1"/>
  <c r="D37" i="1"/>
  <c r="C37" i="1"/>
  <c r="E37" i="1" l="1"/>
  <c r="G37" i="1" s="1"/>
  <c r="D38" i="1" l="1"/>
  <c r="C38" i="1"/>
  <c r="E38" i="1" s="1"/>
  <c r="G38" i="1" s="1"/>
  <c r="B37" i="1"/>
  <c r="F37" i="1"/>
  <c r="B38" i="1" l="1"/>
  <c r="E39" i="1"/>
  <c r="D39" i="1"/>
  <c r="C39" i="1"/>
  <c r="F38" i="1"/>
  <c r="F39" i="1" l="1"/>
  <c r="G39" i="1"/>
  <c r="D40" i="1" l="1"/>
  <c r="C40" i="1" s="1"/>
  <c r="B39" i="1"/>
  <c r="E40" i="1" l="1"/>
  <c r="F40" i="1" s="1"/>
  <c r="G40" i="1" l="1"/>
  <c r="D41" i="1" l="1"/>
  <c r="C41" i="1" s="1"/>
  <c r="B40" i="1"/>
  <c r="E41" i="1" l="1"/>
  <c r="G41" i="1" s="1"/>
  <c r="B41" i="1" l="1"/>
  <c r="D42" i="1"/>
  <c r="C42" i="1" s="1"/>
  <c r="F41" i="1"/>
  <c r="E42" i="1" l="1"/>
  <c r="F42" i="1" s="1"/>
  <c r="G42" i="1"/>
  <c r="B42" i="1" l="1"/>
  <c r="E43" i="1"/>
  <c r="G43" i="1" s="1"/>
  <c r="D43" i="1"/>
  <c r="C43" i="1"/>
  <c r="D44" i="1" l="1"/>
  <c r="C44" i="1"/>
  <c r="B43" i="1"/>
  <c r="F43" i="1"/>
  <c r="E44" i="1" l="1"/>
  <c r="F44" i="1" s="1"/>
  <c r="G44" i="1" l="1"/>
  <c r="B44" i="1" l="1"/>
  <c r="D45" i="1"/>
  <c r="C45" i="1" s="1"/>
  <c r="E45" i="1" l="1"/>
  <c r="G45" i="1" s="1"/>
  <c r="D46" i="1" l="1"/>
  <c r="C46" i="1"/>
  <c r="B45" i="1"/>
  <c r="F45" i="1"/>
  <c r="F46" i="1" l="1"/>
  <c r="E46" i="1"/>
  <c r="G46" i="1" s="1"/>
  <c r="D47" i="1" l="1"/>
  <c r="C47" i="1" s="1"/>
  <c r="B46" i="1"/>
  <c r="E47" i="1" l="1"/>
  <c r="G47" i="1" s="1"/>
  <c r="B47" i="1" l="1"/>
  <c r="D48" i="1"/>
  <c r="C48" i="1" s="1"/>
  <c r="F47" i="1"/>
  <c r="E48" i="1" l="1"/>
  <c r="F48" i="1" s="1"/>
  <c r="G48" i="1"/>
  <c r="D49" i="1" l="1"/>
  <c r="C49" i="1"/>
  <c r="B48" i="1"/>
  <c r="E49" i="1" l="1"/>
  <c r="F49" i="1" s="1"/>
  <c r="G49" i="1" l="1"/>
  <c r="D50" i="1" l="1"/>
  <c r="C50" i="1"/>
  <c r="B49" i="1"/>
  <c r="F50" i="1" l="1"/>
  <c r="G50" i="1"/>
  <c r="E50" i="1"/>
  <c r="B50" i="1" l="1"/>
  <c r="D51" i="1"/>
  <c r="C51" i="1"/>
  <c r="F51" i="1" l="1"/>
  <c r="E51" i="1"/>
  <c r="G51" i="1" s="1"/>
  <c r="B51" i="1" l="1"/>
  <c r="E52" i="1"/>
  <c r="G52" i="1" s="1"/>
  <c r="D52" i="1"/>
  <c r="C52" i="1"/>
  <c r="D53" i="1" l="1"/>
  <c r="C53" i="1" s="1"/>
  <c r="B52" i="1"/>
  <c r="F52" i="1"/>
  <c r="F53" i="1" l="1"/>
  <c r="E53" i="1"/>
  <c r="G53" i="1" s="1"/>
  <c r="B53" i="1" l="1"/>
  <c r="D54" i="1"/>
  <c r="C54" i="1"/>
  <c r="E54" i="1" l="1"/>
  <c r="G54" i="1" s="1"/>
  <c r="B54" i="1" l="1"/>
  <c r="D55" i="1"/>
  <c r="C55" i="1" s="1"/>
  <c r="F54" i="1"/>
  <c r="E55" i="1" l="1"/>
  <c r="F55" i="1" s="1"/>
  <c r="G55" i="1"/>
  <c r="D56" i="1" l="1"/>
  <c r="C56" i="1"/>
  <c r="B55" i="1"/>
  <c r="E56" i="1"/>
  <c r="F56" i="1" l="1"/>
  <c r="G56" i="1"/>
  <c r="B56" i="1" l="1"/>
  <c r="D57" i="1"/>
  <c r="C57" i="1" s="1"/>
  <c r="E57" i="1" l="1"/>
  <c r="F57" i="1" s="1"/>
  <c r="G57" i="1" l="1"/>
  <c r="D58" i="1" l="1"/>
  <c r="C58" i="1"/>
  <c r="B57" i="1"/>
  <c r="E58" i="1"/>
  <c r="G58" i="1" s="1"/>
  <c r="D59" i="1" l="1"/>
  <c r="C59" i="1"/>
  <c r="B58" i="1"/>
  <c r="F58" i="1"/>
  <c r="E59" i="1" l="1"/>
  <c r="F59" i="1" s="1"/>
  <c r="G59" i="1" l="1"/>
  <c r="B59" i="1" l="1"/>
  <c r="D60" i="1"/>
  <c r="C60" i="1"/>
  <c r="E60" i="1"/>
  <c r="F60" i="1" l="1"/>
  <c r="G60" i="1"/>
  <c r="D61" i="1" l="1"/>
  <c r="C61" i="1"/>
  <c r="E61" i="1"/>
  <c r="B60" i="1"/>
  <c r="G61" i="1"/>
  <c r="D62" i="1" l="1"/>
  <c r="C62" i="1"/>
  <c r="B61" i="1"/>
  <c r="E62" i="1"/>
  <c r="F61" i="1"/>
  <c r="F62" i="1" l="1"/>
  <c r="G62" i="1"/>
  <c r="B62" i="1" l="1"/>
  <c r="E63" i="1"/>
  <c r="G63" i="1"/>
  <c r="D63" i="1"/>
  <c r="C63" i="1"/>
  <c r="D64" i="1" l="1"/>
  <c r="C64" i="1" s="1"/>
  <c r="B63" i="1"/>
  <c r="F63" i="1"/>
  <c r="E64" i="1" l="1"/>
  <c r="F64" i="1" s="1"/>
  <c r="G64" i="1" l="1"/>
  <c r="D65" i="1" l="1"/>
  <c r="C65" i="1"/>
  <c r="B64" i="1"/>
  <c r="E65" i="1" l="1"/>
  <c r="F65" i="1" s="1"/>
  <c r="G65" i="1" l="1"/>
  <c r="B65" i="1" l="1"/>
  <c r="D66" i="1"/>
  <c r="C66" i="1"/>
  <c r="E66" i="1" l="1"/>
  <c r="G66" i="1" s="1"/>
  <c r="B66" i="1" l="1"/>
  <c r="G67" i="1"/>
  <c r="E67" i="1"/>
  <c r="D67" i="1"/>
  <c r="C67" i="1"/>
  <c r="F66" i="1"/>
  <c r="F67" i="1" l="1"/>
  <c r="D68" i="1"/>
  <c r="C68" i="1" s="1"/>
  <c r="B67" i="1"/>
  <c r="E68" i="1" l="1"/>
  <c r="F68" i="1" s="1"/>
  <c r="G68" i="1" l="1"/>
  <c r="B68" i="1" l="1"/>
  <c r="D69" i="1"/>
  <c r="C69" i="1" s="1"/>
  <c r="G69" i="1" l="1"/>
  <c r="E69" i="1"/>
  <c r="F69" i="1" s="1"/>
  <c r="B69" i="1" l="1"/>
  <c r="D70" i="1"/>
  <c r="C70" i="1" s="1"/>
  <c r="E70" i="1" l="1"/>
  <c r="F70" i="1" s="1"/>
  <c r="G70" i="1"/>
  <c r="D71" i="1" l="1"/>
  <c r="C71" i="1"/>
  <c r="E71" i="1" s="1"/>
  <c r="G71" i="1" s="1"/>
  <c r="B70" i="1"/>
  <c r="B71" i="1" l="1"/>
  <c r="D72" i="1"/>
  <c r="C72" i="1" s="1"/>
  <c r="F71" i="1"/>
  <c r="E72" i="1" l="1"/>
  <c r="F72" i="1" s="1"/>
  <c r="G72" i="1" l="1"/>
  <c r="D73" i="1" l="1"/>
  <c r="C73" i="1" s="1"/>
  <c r="B72" i="1"/>
  <c r="E73" i="1" l="1"/>
  <c r="F73" i="1" s="1"/>
  <c r="G73" i="1" l="1"/>
  <c r="D74" i="1" l="1"/>
  <c r="C74" i="1"/>
  <c r="E74" i="1" s="1"/>
  <c r="B73" i="1"/>
  <c r="F74" i="1" l="1"/>
  <c r="G74" i="1"/>
  <c r="B74" i="1" l="1"/>
  <c r="E75" i="1"/>
  <c r="D75" i="1"/>
  <c r="C75" i="1"/>
  <c r="F75" i="1" s="1"/>
  <c r="G75" i="1"/>
  <c r="C76" i="1" l="1"/>
  <c r="F76" i="1" s="1"/>
  <c r="E76" i="1"/>
  <c r="D76" i="1"/>
  <c r="G76" i="1"/>
  <c r="B75" i="1"/>
  <c r="G77" i="1" l="1"/>
  <c r="D77" i="1"/>
  <c r="C77" i="1"/>
  <c r="F77" i="1" s="1"/>
  <c r="B76" i="1"/>
  <c r="E77" i="1"/>
  <c r="B77" i="1" l="1"/>
  <c r="G78" i="1"/>
  <c r="E78" i="1"/>
  <c r="D78" i="1"/>
  <c r="C78" i="1"/>
  <c r="F78" i="1" s="1"/>
  <c r="G79" i="1" l="1"/>
  <c r="E79" i="1"/>
  <c r="D79" i="1"/>
  <c r="C79" i="1"/>
  <c r="F79" i="1" s="1"/>
  <c r="B78" i="1"/>
  <c r="G80" i="1" l="1"/>
  <c r="D80" i="1"/>
  <c r="C80" i="1"/>
  <c r="F80" i="1" s="1"/>
  <c r="E80" i="1"/>
  <c r="B79" i="1"/>
  <c r="B80" i="1" l="1"/>
  <c r="D81" i="1"/>
  <c r="C81" i="1"/>
  <c r="F81" i="1" s="1"/>
  <c r="G81" i="1"/>
  <c r="E81" i="1"/>
  <c r="B81" i="1" l="1"/>
  <c r="C82" i="1"/>
  <c r="F82" i="1" s="1"/>
  <c r="E82" i="1"/>
  <c r="G82" i="1"/>
  <c r="D82" i="1"/>
  <c r="G83" i="1" l="1"/>
  <c r="D83" i="1"/>
  <c r="C83" i="1"/>
  <c r="F83" i="1" s="1"/>
  <c r="B82" i="1"/>
  <c r="E83" i="1"/>
  <c r="B83" i="1" l="1"/>
  <c r="C84" i="1"/>
  <c r="F84" i="1" s="1"/>
  <c r="E84" i="1"/>
  <c r="D84" i="1"/>
  <c r="G84" i="1"/>
  <c r="B84" i="1" l="1"/>
  <c r="G85" i="1"/>
  <c r="E85" i="1"/>
  <c r="D85" i="1"/>
  <c r="C85" i="1"/>
  <c r="F85" i="1" s="1"/>
  <c r="G86" i="1" l="1"/>
  <c r="D86" i="1"/>
  <c r="C86" i="1"/>
  <c r="F86" i="1" s="1"/>
  <c r="E86" i="1"/>
  <c r="B85" i="1"/>
  <c r="B86" i="1" l="1"/>
  <c r="G87" i="1"/>
  <c r="D87" i="1"/>
  <c r="C87" i="1"/>
  <c r="F87" i="1" s="1"/>
  <c r="E87" i="1"/>
  <c r="G88" i="1" l="1"/>
  <c r="D88" i="1"/>
  <c r="C88" i="1"/>
  <c r="F88" i="1" s="1"/>
  <c r="B87" i="1"/>
  <c r="E88" i="1"/>
  <c r="G89" i="1" l="1"/>
  <c r="D89" i="1"/>
  <c r="C89" i="1"/>
  <c r="F89" i="1" s="1"/>
  <c r="B88" i="1"/>
  <c r="E89" i="1"/>
  <c r="B89" i="1" l="1"/>
  <c r="D90" i="1"/>
  <c r="G90" i="1"/>
  <c r="E90" i="1"/>
  <c r="C90" i="1"/>
  <c r="F90" i="1" s="1"/>
  <c r="G91" i="1" l="1"/>
  <c r="E91" i="1"/>
  <c r="D91" i="1"/>
  <c r="C91" i="1"/>
  <c r="F91" i="1" s="1"/>
  <c r="B90" i="1"/>
  <c r="G92" i="1" l="1"/>
  <c r="D92" i="1"/>
  <c r="C92" i="1"/>
  <c r="F92" i="1" s="1"/>
  <c r="E92" i="1"/>
  <c r="B91" i="1"/>
  <c r="B92" i="1" l="1"/>
  <c r="E93" i="1"/>
  <c r="D93" i="1"/>
  <c r="C93" i="1"/>
  <c r="F93" i="1" s="1"/>
  <c r="G93" i="1"/>
  <c r="G94" i="1" l="1"/>
  <c r="B93" i="1"/>
  <c r="E94" i="1"/>
  <c r="D94" i="1"/>
  <c r="C94" i="1"/>
  <c r="F94" i="1" s="1"/>
  <c r="G95" i="1" l="1"/>
  <c r="D95" i="1"/>
  <c r="C95" i="1"/>
  <c r="F95" i="1" s="1"/>
  <c r="B94" i="1"/>
  <c r="E95" i="1"/>
  <c r="B95" i="1" l="1"/>
  <c r="G96" i="1"/>
  <c r="D96" i="1"/>
  <c r="E96" i="1"/>
  <c r="C96" i="1"/>
  <c r="F96" i="1" s="1"/>
  <c r="G97" i="1" l="1"/>
  <c r="E97" i="1"/>
  <c r="D97" i="1"/>
  <c r="C97" i="1"/>
  <c r="F97" i="1" s="1"/>
  <c r="B96" i="1"/>
  <c r="G98" i="1" l="1"/>
  <c r="D98" i="1"/>
  <c r="C98" i="1"/>
  <c r="F98" i="1" s="1"/>
  <c r="E98" i="1"/>
  <c r="B97" i="1"/>
  <c r="B98" i="1" l="1"/>
  <c r="C99" i="1"/>
  <c r="F99" i="1" s="1"/>
  <c r="G99" i="1"/>
  <c r="E99" i="1"/>
  <c r="D99" i="1"/>
  <c r="G100" i="1" l="1"/>
  <c r="E100" i="1"/>
  <c r="D100" i="1"/>
  <c r="C100" i="1"/>
  <c r="F100" i="1" s="1"/>
  <c r="B99" i="1"/>
  <c r="G101" i="1" l="1"/>
  <c r="D101" i="1"/>
  <c r="C101" i="1"/>
  <c r="F101" i="1" s="1"/>
  <c r="B100" i="1"/>
  <c r="E101" i="1"/>
  <c r="B101" i="1" l="1"/>
  <c r="G102" i="1"/>
  <c r="D102" i="1"/>
  <c r="C102" i="1"/>
  <c r="F102" i="1" s="1"/>
  <c r="E102" i="1"/>
  <c r="G103" i="1" l="1"/>
  <c r="C103" i="1"/>
  <c r="F103" i="1" s="1"/>
  <c r="E103" i="1"/>
  <c r="D103" i="1"/>
  <c r="B102" i="1"/>
  <c r="G104" i="1" l="1"/>
  <c r="D104" i="1"/>
  <c r="C104" i="1"/>
  <c r="F104" i="1" s="1"/>
  <c r="E104" i="1"/>
  <c r="B103" i="1"/>
  <c r="B104" i="1" l="1"/>
  <c r="D105" i="1"/>
  <c r="C105" i="1"/>
  <c r="F105" i="1" s="1"/>
  <c r="E105" i="1"/>
  <c r="G105" i="1"/>
  <c r="G106" i="1" l="1"/>
  <c r="B105" i="1"/>
  <c r="E106" i="1"/>
  <c r="D106" i="1"/>
  <c r="C106" i="1"/>
  <c r="F106" i="1" s="1"/>
  <c r="G107" i="1" l="1"/>
  <c r="D107" i="1"/>
  <c r="C107" i="1"/>
  <c r="F107" i="1" s="1"/>
  <c r="E107" i="1"/>
  <c r="B106" i="1"/>
  <c r="B107" i="1" l="1"/>
  <c r="G108" i="1"/>
  <c r="E108" i="1"/>
  <c r="D108" i="1"/>
  <c r="C108" i="1"/>
  <c r="F108" i="1" s="1"/>
  <c r="G109" i="1" l="1"/>
  <c r="C109" i="1"/>
  <c r="F109" i="1" s="1"/>
  <c r="E109" i="1"/>
  <c r="D109" i="1"/>
  <c r="B108" i="1"/>
  <c r="G110" i="1" l="1"/>
  <c r="D110" i="1"/>
  <c r="C110" i="1"/>
  <c r="F110" i="1" s="1"/>
  <c r="B109" i="1"/>
  <c r="E110" i="1"/>
  <c r="B110" i="1" l="1"/>
  <c r="G111" i="1"/>
  <c r="E111" i="1"/>
  <c r="D111" i="1"/>
  <c r="C111" i="1"/>
  <c r="F111" i="1" s="1"/>
  <c r="G112" i="1" l="1"/>
  <c r="E112" i="1"/>
  <c r="D112" i="1"/>
  <c r="B111" i="1"/>
  <c r="C112" i="1"/>
  <c r="F112" i="1" s="1"/>
  <c r="G113" i="1" l="1"/>
  <c r="D113" i="1"/>
  <c r="C113" i="1"/>
  <c r="F113" i="1" s="1"/>
  <c r="E113" i="1"/>
  <c r="B112" i="1"/>
  <c r="B113" i="1" l="1"/>
  <c r="G114" i="1"/>
  <c r="E114" i="1"/>
  <c r="D114" i="1"/>
  <c r="C114" i="1"/>
  <c r="F114" i="1" s="1"/>
  <c r="G115" i="1" l="1"/>
  <c r="E115" i="1"/>
  <c r="D115" i="1"/>
  <c r="C115" i="1"/>
  <c r="F115" i="1" s="1"/>
  <c r="B114" i="1"/>
  <c r="G116" i="1" l="1"/>
  <c r="D116" i="1"/>
  <c r="C116" i="1"/>
  <c r="F116" i="1" s="1"/>
  <c r="B115" i="1"/>
  <c r="E116" i="1"/>
  <c r="B116" i="1" l="1"/>
  <c r="E117" i="1"/>
  <c r="D117" i="1"/>
  <c r="C117" i="1"/>
  <c r="F117" i="1" s="1"/>
  <c r="G117" i="1"/>
  <c r="G118" i="1" l="1"/>
  <c r="B117" i="1"/>
  <c r="E118" i="1"/>
  <c r="D118" i="1"/>
  <c r="C118" i="1"/>
  <c r="F118" i="1" s="1"/>
  <c r="G119" i="1" l="1"/>
  <c r="D119" i="1"/>
  <c r="C119" i="1"/>
  <c r="F119" i="1" s="1"/>
  <c r="E119" i="1"/>
  <c r="B118" i="1"/>
  <c r="B119" i="1" l="1"/>
  <c r="G120" i="1"/>
  <c r="E120" i="1"/>
  <c r="D120" i="1"/>
  <c r="C120" i="1"/>
  <c r="F120" i="1" s="1"/>
  <c r="G121" i="1" l="1"/>
  <c r="E121" i="1"/>
  <c r="D121" i="1"/>
  <c r="C121" i="1"/>
  <c r="F121" i="1" s="1"/>
  <c r="B120" i="1"/>
  <c r="G122" i="1" l="1"/>
  <c r="D122" i="1"/>
  <c r="C122" i="1"/>
  <c r="F122" i="1" s="1"/>
  <c r="B121" i="1"/>
  <c r="E122" i="1"/>
  <c r="B122" i="1" l="1"/>
  <c r="C123" i="1"/>
  <c r="F123" i="1" s="1"/>
  <c r="G123" i="1"/>
  <c r="E123" i="1"/>
  <c r="D123" i="1"/>
  <c r="G124" i="1" l="1"/>
  <c r="B123" i="1"/>
  <c r="E124" i="1"/>
  <c r="D124" i="1"/>
  <c r="C124" i="1"/>
  <c r="F124" i="1" s="1"/>
  <c r="G125" i="1" l="1"/>
  <c r="D125" i="1"/>
  <c r="C125" i="1"/>
  <c r="F125" i="1" s="1"/>
  <c r="E125" i="1"/>
  <c r="B124" i="1"/>
  <c r="B125" i="1" l="1"/>
  <c r="C126" i="1"/>
  <c r="F126" i="1" s="1"/>
  <c r="E126" i="1"/>
  <c r="G126" i="1"/>
  <c r="D126" i="1"/>
  <c r="G127" i="1" l="1"/>
  <c r="B126" i="1"/>
  <c r="E127" i="1"/>
  <c r="D127" i="1"/>
  <c r="C127" i="1"/>
  <c r="F127" i="1" s="1"/>
  <c r="G128" i="1" l="1"/>
  <c r="D128" i="1"/>
  <c r="C128" i="1"/>
  <c r="F128" i="1" s="1"/>
  <c r="B127" i="1"/>
  <c r="E128" i="1"/>
  <c r="B128" i="1" l="1"/>
  <c r="E129" i="1"/>
  <c r="D129" i="1"/>
  <c r="G129" i="1"/>
  <c r="C129" i="1"/>
  <c r="F129" i="1" s="1"/>
  <c r="G130" i="1" l="1"/>
  <c r="C130" i="1"/>
  <c r="F130" i="1" s="1"/>
  <c r="B129" i="1"/>
  <c r="E130" i="1"/>
  <c r="D130" i="1"/>
  <c r="G131" i="1" l="1"/>
  <c r="D131" i="1"/>
  <c r="C131" i="1"/>
  <c r="F131" i="1" s="1"/>
  <c r="B130" i="1"/>
  <c r="E131" i="1"/>
  <c r="B131" i="1" l="1"/>
  <c r="G132" i="1"/>
  <c r="D132" i="1"/>
  <c r="C132" i="1"/>
  <c r="F132" i="1" s="1"/>
  <c r="E132" i="1"/>
  <c r="G133" i="1" l="1"/>
  <c r="E133" i="1"/>
  <c r="D133" i="1"/>
  <c r="C133" i="1"/>
  <c r="F133" i="1" s="1"/>
  <c r="B132" i="1"/>
  <c r="G134" i="1" l="1"/>
  <c r="B134" i="1" s="1"/>
  <c r="D134" i="1"/>
  <c r="C11" i="1" s="1"/>
  <c r="C134" i="1"/>
  <c r="E134" i="1"/>
  <c r="B133" i="1"/>
  <c r="F134" i="1" l="1"/>
  <c r="C12" i="1"/>
</calcChain>
</file>

<file path=xl/sharedStrings.xml><?xml version="1.0" encoding="utf-8"?>
<sst xmlns="http://schemas.openxmlformats.org/spreadsheetml/2006/main" count="38" uniqueCount="38">
  <si>
    <t>Loan Amortisation Schedule</t>
  </si>
  <si>
    <t>Explore Excel  ·  exploreexcel.com  ·  Change the inputs, the whole schedule rebuilds</t>
  </si>
  <si>
    <t>Loan amount</t>
  </si>
  <si>
    <t>Principal advanced at the start.</t>
  </si>
  <si>
    <t>Annual interest rate</t>
  </si>
  <si>
    <t>Nominal annual rate. 7.5% is entered as 0.075.</t>
  </si>
  <si>
    <t>Term (months)</t>
  </si>
  <si>
    <t>Total number of repayments.</t>
  </si>
  <si>
    <t>First payment date</t>
  </si>
  <si>
    <t>2026-02-01</t>
  </si>
  <si>
    <t>Payments are monthly from this date.</t>
  </si>
  <si>
    <t>Extra payment per month</t>
  </si>
  <si>
    <t>Optional. Applied to principal on every row.</t>
  </si>
  <si>
    <t>Monthly payment</t>
  </si>
  <si>
    <t>Calculated with PMT. Excludes any extra payment.</t>
  </si>
  <si>
    <t>Total interest</t>
  </si>
  <si>
    <t>Total repaid</t>
  </si>
  <si>
    <t>No.</t>
  </si>
  <si>
    <t>Payment date</t>
  </si>
  <si>
    <t>Principal</t>
  </si>
  <si>
    <t>Interest</t>
  </si>
  <si>
    <t>Extra</t>
  </si>
  <si>
    <t>Total paid</t>
  </si>
  <si>
    <t>Balance</t>
  </si>
  <si>
    <t>How this workbook works</t>
  </si>
  <si>
    <t>Explore Excel  ·  exploreexcel.com</t>
  </si>
  <si>
    <t>What this is</t>
  </si>
  <si>
    <t>A full repayment schedule generated from four inputs, with optional extra payments and the effect on interest and payoff date shown automatically.</t>
  </si>
  <si>
    <t>Using it</t>
  </si>
  <si>
    <t>Change the five blue cells at the top. The schedule rebuilds. Rows past the payoff point go blank rather than showing zeros or errors.</t>
  </si>
  <si>
    <t>The extra payment column</t>
  </si>
  <si>
    <t>Any amount entered is applied to principal on every payment. Try a small number — the reduction in total interest is usually larger than people expect, because it compounds over the remaining term.</t>
  </si>
  <si>
    <t>Why interest is calculated before principal</t>
  </si>
  <si>
    <t>Each month, interest accrues on the opening balance. Principal is whatever is left of the payment after interest. Calculating them the other way round is the classic error in homemade amortisation schedules and produces a loan that never quite clears.</t>
  </si>
  <si>
    <t>Rate convention</t>
  </si>
  <si>
    <t>The rate is nominal annual, divided by twelve for the monthly period. This is how most commercial loans are quoted. If yours is an effective annual rate, convert it first or the payment will be slightly wrong.</t>
  </si>
  <si>
    <t>Capacity</t>
  </si>
  <si>
    <t>The schedule holds 120 rows, so terms up to ten years. For longer, copy the last row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</si>
</sst>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quot;-&quot;"/>
    <numFmt numFmtId="165" formatCode="0.0%;\(0.0%\);&quot;-&quot;"/>
    <numFmt numFmtId="166" formatCode="#,##0;\(#,##0\);&quot;-&quot;"/>
    <numFmt numFmtId="167" formatCode="dd\-mmm\-yy"/>
  </numFmts>
  <fonts count="9" x14ac:knownFonts="1">
    <font>
      <sz val="11"/>
      <color theme="1"/>
      <name val="Calibri"/>
      <family val="2"/>
      <scheme val="minor"/>
    </font>
    <font>
      <b/>
      <sz val="16"/>
      <color rgb="FFFFFFFF"/>
      <name val="Arial"/>
    </font>
    <font>
      <sz val="9"/>
      <color rgb="FFC6E4D9"/>
      <name val="Arial"/>
    </font>
    <font>
      <b/>
      <sz val="11"/>
      <color rgb="FF0A4A3A"/>
      <name val="Arial"/>
    </font>
    <font>
      <sz val="10"/>
      <color rgb="FF0000FF"/>
      <name val="Arial"/>
    </font>
    <font>
      <i/>
      <sz val="9"/>
      <color rgb="FF4A4A48"/>
      <name val="Arial"/>
    </font>
    <font>
      <b/>
      <sz val="10"/>
      <color rgb="FF0A4A3A"/>
      <name val="Arial"/>
    </font>
    <font>
      <b/>
      <sz val="10"/>
      <color rgb="FFFFFFFF"/>
      <name val="Arial"/>
    </font>
    <font>
      <sz val="10"/>
      <color rgb="FF141414"/>
      <name val="Arial"/>
    </font>
  </fonts>
  <fills count="6">
    <fill>
      <patternFill patternType="none"/>
    </fill>
    <fill>
      <patternFill patternType="gray125"/>
    </fill>
    <fill>
      <patternFill patternType="solid">
        <fgColor rgb="FF0F6E56"/>
        <bgColor rgb="FF0F6E56"/>
      </patternFill>
    </fill>
    <fill>
      <patternFill patternType="solid">
        <fgColor rgb="FFFFFDF0"/>
        <bgColor rgb="FFFFFDF0"/>
      </patternFill>
    </fill>
    <fill>
      <patternFill patternType="solid">
        <fgColor rgb="FFE1F5EE"/>
        <bgColor rgb="FFE1F5EE"/>
      </patternFill>
    </fill>
    <fill>
      <patternFill patternType="solid">
        <fgColor rgb="FFFAFAF8"/>
        <bgColor rgb="FFFAFAF8"/>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22">
    <xf numFmtId="0" fontId="0" fillId="0" borderId="0" xfId="0"/>
    <xf numFmtId="0" fontId="3" fillId="0" borderId="0" xfId="0" applyFont="1"/>
    <xf numFmtId="164" fontId="4" fillId="3" borderId="1" xfId="0" applyNumberFormat="1" applyFont="1" applyFill="1" applyBorder="1"/>
    <xf numFmtId="0" fontId="5" fillId="0" borderId="0" xfId="0" applyFont="1"/>
    <xf numFmtId="165" fontId="4" fillId="3" borderId="1" xfId="0" applyNumberFormat="1" applyFont="1" applyFill="1" applyBorder="1"/>
    <xf numFmtId="166" fontId="4" fillId="3" borderId="1" xfId="0" applyNumberFormat="1" applyFont="1" applyFill="1" applyBorder="1"/>
    <xf numFmtId="167" fontId="4" fillId="3" borderId="1" xfId="0" applyNumberFormat="1" applyFont="1" applyFill="1" applyBorder="1"/>
    <xf numFmtId="0" fontId="6" fillId="0" borderId="0" xfId="0" applyFont="1"/>
    <xf numFmtId="164" fontId="6" fillId="4" borderId="1" xfId="0" applyNumberFormat="1" applyFont="1" applyFill="1" applyBorder="1"/>
    <xf numFmtId="0" fontId="7" fillId="2" borderId="1" xfId="0" applyFont="1" applyFill="1" applyBorder="1" applyAlignment="1">
      <alignment horizontal="center" vertical="center" wrapText="1"/>
    </xf>
    <xf numFmtId="166" fontId="8" fillId="0" borderId="1" xfId="0" applyNumberFormat="1" applyFont="1" applyBorder="1"/>
    <xf numFmtId="167" fontId="8" fillId="0" borderId="1" xfId="0" applyNumberFormat="1" applyFont="1" applyBorder="1"/>
    <xf numFmtId="164" fontId="8" fillId="0" borderId="1" xfId="0" applyNumberFormat="1" applyFont="1" applyBorder="1"/>
    <xf numFmtId="166" fontId="8" fillId="5" borderId="1" xfId="0" applyNumberFormat="1" applyFont="1" applyFill="1" applyBorder="1"/>
    <xf numFmtId="167" fontId="8" fillId="5" borderId="1" xfId="0" applyNumberFormat="1" applyFont="1" applyFill="1" applyBorder="1"/>
    <xf numFmtId="164" fontId="8" fillId="5" borderId="1" xfId="0" applyNumberFormat="1" applyFont="1" applyFill="1" applyBorder="1"/>
    <xf numFmtId="0" fontId="2" fillId="2" borderId="0" xfId="0" applyFont="1" applyFill="1" applyAlignment="1">
      <alignment vertical="center" indent="1"/>
    </xf>
    <xf numFmtId="0" fontId="0" fillId="2" borderId="0" xfId="0" applyFill="1"/>
    <xf numFmtId="0" fontId="1" fillId="2" borderId="0" xfId="0" applyFont="1" applyFill="1" applyAlignment="1">
      <alignment vertical="center" indent="1"/>
    </xf>
    <xf numFmtId="0" fontId="8" fillId="0" borderId="0" xfId="0" applyFont="1" applyAlignment="1">
      <alignment vertical="top" wrapText="1"/>
    </xf>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
  <sheetViews>
    <sheetView showGridLines="0" tabSelected="1" workbookViewId="0">
      <pane ySplit="14" topLeftCell="A15" activePane="bottomLeft" state="frozen"/>
      <selection pane="bottomLeft" sqref="A1:H1"/>
    </sheetView>
  </sheetViews>
  <sheetFormatPr defaultRowHeight="14.4" x14ac:dyDescent="0.3"/>
  <cols>
    <col min="1" max="1" width="7" customWidth="1"/>
    <col min="2" max="3" width="14" customWidth="1"/>
    <col min="4" max="4" width="13" customWidth="1"/>
    <col min="5" max="5" width="12" customWidth="1"/>
    <col min="6" max="6" width="14" customWidth="1"/>
    <col min="7" max="7" width="15" customWidth="1"/>
    <col min="8" max="8" width="34" customWidth="1"/>
  </cols>
  <sheetData>
    <row r="1" spans="1:8" ht="25.95" customHeight="1" x14ac:dyDescent="0.3">
      <c r="A1" s="18" t="s">
        <v>0</v>
      </c>
      <c r="B1" s="17"/>
      <c r="C1" s="17"/>
      <c r="D1" s="17"/>
      <c r="E1" s="17"/>
      <c r="F1" s="17"/>
      <c r="G1" s="17"/>
      <c r="H1" s="17"/>
    </row>
    <row r="2" spans="1:8" ht="15" customHeight="1" x14ac:dyDescent="0.3">
      <c r="A2" s="16" t="s">
        <v>1</v>
      </c>
      <c r="B2" s="17"/>
      <c r="C2" s="17"/>
      <c r="D2" s="17"/>
      <c r="E2" s="17"/>
      <c r="F2" s="17"/>
      <c r="G2" s="17"/>
      <c r="H2" s="17"/>
    </row>
    <row r="4" spans="1:8" x14ac:dyDescent="0.3">
      <c r="A4" s="1" t="s">
        <v>2</v>
      </c>
      <c r="C4" s="2">
        <v>250000</v>
      </c>
      <c r="D4" s="3" t="s">
        <v>3</v>
      </c>
    </row>
    <row r="5" spans="1:8" x14ac:dyDescent="0.3">
      <c r="A5" s="1" t="s">
        <v>4</v>
      </c>
      <c r="C5" s="4">
        <v>7.4999999999999997E-2</v>
      </c>
      <c r="D5" s="3" t="s">
        <v>5</v>
      </c>
    </row>
    <row r="6" spans="1:8" x14ac:dyDescent="0.3">
      <c r="A6" s="1" t="s">
        <v>6</v>
      </c>
      <c r="C6" s="5">
        <v>60</v>
      </c>
      <c r="D6" s="3" t="s">
        <v>7</v>
      </c>
    </row>
    <row r="7" spans="1:8" x14ac:dyDescent="0.3">
      <c r="A7" s="1" t="s">
        <v>8</v>
      </c>
      <c r="C7" s="6" t="s">
        <v>9</v>
      </c>
      <c r="D7" s="3" t="s">
        <v>10</v>
      </c>
    </row>
    <row r="8" spans="1:8" x14ac:dyDescent="0.3">
      <c r="A8" s="1" t="s">
        <v>11</v>
      </c>
      <c r="C8" s="2">
        <v>0</v>
      </c>
      <c r="D8" s="3" t="s">
        <v>12</v>
      </c>
    </row>
    <row r="10" spans="1:8" x14ac:dyDescent="0.3">
      <c r="A10" s="7" t="s">
        <v>13</v>
      </c>
      <c r="C10" s="8">
        <f>IFERROR(-PMT(C5/12,C6,C4),0)</f>
        <v>5009.4871489059406</v>
      </c>
      <c r="D10" s="3" t="s">
        <v>14</v>
      </c>
    </row>
    <row r="11" spans="1:8" x14ac:dyDescent="0.3">
      <c r="A11" s="7" t="s">
        <v>15</v>
      </c>
      <c r="C11" s="8">
        <f>SUM(D15:D134)</f>
        <v>50569.200000000004</v>
      </c>
    </row>
    <row r="12" spans="1:8" x14ac:dyDescent="0.3">
      <c r="A12" s="7" t="s">
        <v>16</v>
      </c>
      <c r="C12" s="8">
        <f>SUM(C15:C134)+SUM(D15:D134)</f>
        <v>300569.2</v>
      </c>
    </row>
    <row r="14" spans="1:8" ht="24" customHeight="1" x14ac:dyDescent="0.3">
      <c r="A14" s="9" t="s">
        <v>17</v>
      </c>
      <c r="B14" s="9" t="s">
        <v>18</v>
      </c>
      <c r="C14" s="9" t="s">
        <v>19</v>
      </c>
      <c r="D14" s="9" t="s">
        <v>20</v>
      </c>
      <c r="E14" s="9" t="s">
        <v>21</v>
      </c>
      <c r="F14" s="9" t="s">
        <v>22</v>
      </c>
      <c r="G14" s="9" t="s">
        <v>23</v>
      </c>
      <c r="H14" s="9"/>
    </row>
    <row r="15" spans="1:8" x14ac:dyDescent="0.3">
      <c r="A15" s="10">
        <v>1</v>
      </c>
      <c r="B15" s="11">
        <f>IF(G15="","",EDATE($C$7,0))</f>
        <v>46054</v>
      </c>
      <c r="C15" s="12">
        <f>IF(OR($C$4="",N($C$4)&lt;=0),"",MIN(N($C$4),ROUND($C$10-D15,2)))</f>
        <v>3446.99</v>
      </c>
      <c r="D15" s="12">
        <f>IF(OR($C$4="",N($C$4)&lt;=0),"",ROUND(N($C$4)*$C$5/12,2))</f>
        <v>1562.5</v>
      </c>
      <c r="E15" s="12">
        <f>IF(OR($C$4="",N($C$4)&lt;=0),"",MIN(MAX(0,N($C$4)-C15),$C$8))</f>
        <v>0</v>
      </c>
      <c r="F15" s="12">
        <f t="shared" ref="F15:F46" si="0">IF(C15="","",C15+D15+E15)</f>
        <v>5009.49</v>
      </c>
      <c r="G15" s="12">
        <f>IF(OR($C$4="",N($C$4)&lt;=0),"",MAX(0,N($C$4)-C15-E15))</f>
        <v>246553.01</v>
      </c>
    </row>
    <row r="16" spans="1:8" x14ac:dyDescent="0.3">
      <c r="A16" s="13">
        <v>2</v>
      </c>
      <c r="B16" s="14">
        <f>IF(G16="","",EDATE($C$7,1))</f>
        <v>46082</v>
      </c>
      <c r="C16" s="15">
        <f t="shared" ref="C16:C47" si="1">IF(OR(G15="",N(G15)&lt;=0),"",MIN(N(G15),ROUND($C$10-D16,2)))</f>
        <v>3468.53</v>
      </c>
      <c r="D16" s="15">
        <f t="shared" ref="D16:D47" si="2">IF(OR(G15="",N(G15)&lt;=0),"",ROUND(N(G15)*$C$5/12,2))</f>
        <v>1540.96</v>
      </c>
      <c r="E16" s="15">
        <f t="shared" ref="E16:E47" si="3">IF(OR(G15="",N(G15)&lt;=0),"",MIN(MAX(0,N(G15)-C16),$C$8))</f>
        <v>0</v>
      </c>
      <c r="F16" s="15">
        <f t="shared" si="0"/>
        <v>5009.49</v>
      </c>
      <c r="G16" s="15">
        <f t="shared" ref="G16:G47" si="4">IF(OR(G15="",N(G15)&lt;=0),"",MAX(0,N(G15)-C16-E16))</f>
        <v>243084.48</v>
      </c>
    </row>
    <row r="17" spans="1:7" x14ac:dyDescent="0.3">
      <c r="A17" s="10">
        <v>3</v>
      </c>
      <c r="B17" s="11">
        <f>IF(G17="","",EDATE($C$7,2))</f>
        <v>46113</v>
      </c>
      <c r="C17" s="12">
        <f t="shared" si="1"/>
        <v>3490.21</v>
      </c>
      <c r="D17" s="12">
        <f t="shared" si="2"/>
        <v>1519.28</v>
      </c>
      <c r="E17" s="12">
        <f t="shared" si="3"/>
        <v>0</v>
      </c>
      <c r="F17" s="12">
        <f t="shared" si="0"/>
        <v>5009.49</v>
      </c>
      <c r="G17" s="12">
        <f t="shared" si="4"/>
        <v>239594.27000000002</v>
      </c>
    </row>
    <row r="18" spans="1:7" x14ac:dyDescent="0.3">
      <c r="A18" s="13">
        <v>4</v>
      </c>
      <c r="B18" s="14">
        <f>IF(G18="","",EDATE($C$7,3))</f>
        <v>46143</v>
      </c>
      <c r="C18" s="15">
        <f t="shared" si="1"/>
        <v>3512.03</v>
      </c>
      <c r="D18" s="15">
        <f t="shared" si="2"/>
        <v>1497.46</v>
      </c>
      <c r="E18" s="15">
        <f t="shared" si="3"/>
        <v>0</v>
      </c>
      <c r="F18" s="15">
        <f t="shared" si="0"/>
        <v>5009.49</v>
      </c>
      <c r="G18" s="15">
        <f t="shared" si="4"/>
        <v>236082.24000000002</v>
      </c>
    </row>
    <row r="19" spans="1:7" x14ac:dyDescent="0.3">
      <c r="A19" s="10">
        <v>5</v>
      </c>
      <c r="B19" s="11">
        <f>IF(G19="","",EDATE($C$7,4))</f>
        <v>46174</v>
      </c>
      <c r="C19" s="12">
        <f t="shared" si="1"/>
        <v>3533.98</v>
      </c>
      <c r="D19" s="12">
        <f t="shared" si="2"/>
        <v>1475.51</v>
      </c>
      <c r="E19" s="12">
        <f t="shared" si="3"/>
        <v>0</v>
      </c>
      <c r="F19" s="12">
        <f t="shared" si="0"/>
        <v>5009.49</v>
      </c>
      <c r="G19" s="12">
        <f t="shared" si="4"/>
        <v>232548.26</v>
      </c>
    </row>
    <row r="20" spans="1:7" x14ac:dyDescent="0.3">
      <c r="A20" s="13">
        <v>6</v>
      </c>
      <c r="B20" s="14">
        <f>IF(G20="","",EDATE($C$7,5))</f>
        <v>46204</v>
      </c>
      <c r="C20" s="15">
        <f t="shared" si="1"/>
        <v>3556.06</v>
      </c>
      <c r="D20" s="15">
        <f t="shared" si="2"/>
        <v>1453.43</v>
      </c>
      <c r="E20" s="15">
        <f t="shared" si="3"/>
        <v>0</v>
      </c>
      <c r="F20" s="15">
        <f t="shared" si="0"/>
        <v>5009.49</v>
      </c>
      <c r="G20" s="15">
        <f t="shared" si="4"/>
        <v>228992.2</v>
      </c>
    </row>
    <row r="21" spans="1:7" x14ac:dyDescent="0.3">
      <c r="A21" s="10">
        <v>7</v>
      </c>
      <c r="B21" s="11">
        <f>IF(G21="","",EDATE($C$7,6))</f>
        <v>46235</v>
      </c>
      <c r="C21" s="12">
        <f t="shared" si="1"/>
        <v>3578.29</v>
      </c>
      <c r="D21" s="12">
        <f t="shared" si="2"/>
        <v>1431.2</v>
      </c>
      <c r="E21" s="12">
        <f t="shared" si="3"/>
        <v>0</v>
      </c>
      <c r="F21" s="12">
        <f t="shared" si="0"/>
        <v>5009.49</v>
      </c>
      <c r="G21" s="12">
        <f t="shared" si="4"/>
        <v>225413.91</v>
      </c>
    </row>
    <row r="22" spans="1:7" x14ac:dyDescent="0.3">
      <c r="A22" s="13">
        <v>8</v>
      </c>
      <c r="B22" s="14">
        <f>IF(G22="","",EDATE($C$7,7))</f>
        <v>46266</v>
      </c>
      <c r="C22" s="15">
        <f t="shared" si="1"/>
        <v>3600.65</v>
      </c>
      <c r="D22" s="15">
        <f t="shared" si="2"/>
        <v>1408.84</v>
      </c>
      <c r="E22" s="15">
        <f t="shared" si="3"/>
        <v>0</v>
      </c>
      <c r="F22" s="15">
        <f t="shared" si="0"/>
        <v>5009.49</v>
      </c>
      <c r="G22" s="15">
        <f t="shared" si="4"/>
        <v>221813.26</v>
      </c>
    </row>
    <row r="23" spans="1:7" x14ac:dyDescent="0.3">
      <c r="A23" s="10">
        <v>9</v>
      </c>
      <c r="B23" s="11">
        <f>IF(G23="","",EDATE($C$7,8))</f>
        <v>46296</v>
      </c>
      <c r="C23" s="12">
        <f t="shared" si="1"/>
        <v>3623.16</v>
      </c>
      <c r="D23" s="12">
        <f t="shared" si="2"/>
        <v>1386.33</v>
      </c>
      <c r="E23" s="12">
        <f t="shared" si="3"/>
        <v>0</v>
      </c>
      <c r="F23" s="12">
        <f t="shared" si="0"/>
        <v>5009.49</v>
      </c>
      <c r="G23" s="12">
        <f t="shared" si="4"/>
        <v>218190.1</v>
      </c>
    </row>
    <row r="24" spans="1:7" x14ac:dyDescent="0.3">
      <c r="A24" s="13">
        <v>10</v>
      </c>
      <c r="B24" s="14">
        <f>IF(G24="","",EDATE($C$7,9))</f>
        <v>46327</v>
      </c>
      <c r="C24" s="15">
        <f t="shared" si="1"/>
        <v>3645.8</v>
      </c>
      <c r="D24" s="15">
        <f t="shared" si="2"/>
        <v>1363.69</v>
      </c>
      <c r="E24" s="15">
        <f t="shared" si="3"/>
        <v>0</v>
      </c>
      <c r="F24" s="15">
        <f t="shared" si="0"/>
        <v>5009.49</v>
      </c>
      <c r="G24" s="15">
        <f t="shared" si="4"/>
        <v>214544.30000000002</v>
      </c>
    </row>
    <row r="25" spans="1:7" x14ac:dyDescent="0.3">
      <c r="A25" s="10">
        <v>11</v>
      </c>
      <c r="B25" s="11">
        <f>IF(G25="","",EDATE($C$7,10))</f>
        <v>46357</v>
      </c>
      <c r="C25" s="12">
        <f t="shared" si="1"/>
        <v>3668.59</v>
      </c>
      <c r="D25" s="12">
        <f t="shared" si="2"/>
        <v>1340.9</v>
      </c>
      <c r="E25" s="12">
        <f t="shared" si="3"/>
        <v>0</v>
      </c>
      <c r="F25" s="12">
        <f t="shared" si="0"/>
        <v>5009.49</v>
      </c>
      <c r="G25" s="12">
        <f t="shared" si="4"/>
        <v>210875.71000000002</v>
      </c>
    </row>
    <row r="26" spans="1:7" x14ac:dyDescent="0.3">
      <c r="A26" s="13">
        <v>12</v>
      </c>
      <c r="B26" s="14">
        <f>IF(G26="","",EDATE($C$7,11))</f>
        <v>46388</v>
      </c>
      <c r="C26" s="15">
        <f t="shared" si="1"/>
        <v>3691.52</v>
      </c>
      <c r="D26" s="15">
        <f t="shared" si="2"/>
        <v>1317.97</v>
      </c>
      <c r="E26" s="15">
        <f t="shared" si="3"/>
        <v>0</v>
      </c>
      <c r="F26" s="15">
        <f t="shared" si="0"/>
        <v>5009.49</v>
      </c>
      <c r="G26" s="15">
        <f t="shared" si="4"/>
        <v>207184.19000000003</v>
      </c>
    </row>
    <row r="27" spans="1:7" x14ac:dyDescent="0.3">
      <c r="A27" s="10">
        <v>13</v>
      </c>
      <c r="B27" s="11">
        <f>IF(G27="","",EDATE($C$7,12))</f>
        <v>46419</v>
      </c>
      <c r="C27" s="12">
        <f t="shared" si="1"/>
        <v>3714.59</v>
      </c>
      <c r="D27" s="12">
        <f t="shared" si="2"/>
        <v>1294.9000000000001</v>
      </c>
      <c r="E27" s="12">
        <f t="shared" si="3"/>
        <v>0</v>
      </c>
      <c r="F27" s="12">
        <f t="shared" si="0"/>
        <v>5009.49</v>
      </c>
      <c r="G27" s="12">
        <f t="shared" si="4"/>
        <v>203469.60000000003</v>
      </c>
    </row>
    <row r="28" spans="1:7" x14ac:dyDescent="0.3">
      <c r="A28" s="13">
        <v>14</v>
      </c>
      <c r="B28" s="14">
        <f>IF(G28="","",EDATE($C$7,13))</f>
        <v>46447</v>
      </c>
      <c r="C28" s="15">
        <f t="shared" si="1"/>
        <v>3737.8</v>
      </c>
      <c r="D28" s="15">
        <f t="shared" si="2"/>
        <v>1271.69</v>
      </c>
      <c r="E28" s="15">
        <f t="shared" si="3"/>
        <v>0</v>
      </c>
      <c r="F28" s="15">
        <f t="shared" si="0"/>
        <v>5009.49</v>
      </c>
      <c r="G28" s="15">
        <f t="shared" si="4"/>
        <v>199731.80000000005</v>
      </c>
    </row>
    <row r="29" spans="1:7" x14ac:dyDescent="0.3">
      <c r="A29" s="10">
        <v>15</v>
      </c>
      <c r="B29" s="11">
        <f>IF(G29="","",EDATE($C$7,14))</f>
        <v>46478</v>
      </c>
      <c r="C29" s="12">
        <f t="shared" si="1"/>
        <v>3761.17</v>
      </c>
      <c r="D29" s="12">
        <f t="shared" si="2"/>
        <v>1248.32</v>
      </c>
      <c r="E29" s="12">
        <f t="shared" si="3"/>
        <v>0</v>
      </c>
      <c r="F29" s="12">
        <f t="shared" si="0"/>
        <v>5009.49</v>
      </c>
      <c r="G29" s="12">
        <f t="shared" si="4"/>
        <v>195970.63000000003</v>
      </c>
    </row>
    <row r="30" spans="1:7" x14ac:dyDescent="0.3">
      <c r="A30" s="13">
        <v>16</v>
      </c>
      <c r="B30" s="14">
        <f>IF(G30="","",EDATE($C$7,15))</f>
        <v>46508</v>
      </c>
      <c r="C30" s="15">
        <f t="shared" si="1"/>
        <v>3784.67</v>
      </c>
      <c r="D30" s="15">
        <f t="shared" si="2"/>
        <v>1224.82</v>
      </c>
      <c r="E30" s="15">
        <f t="shared" si="3"/>
        <v>0</v>
      </c>
      <c r="F30" s="15">
        <f t="shared" si="0"/>
        <v>5009.49</v>
      </c>
      <c r="G30" s="15">
        <f t="shared" si="4"/>
        <v>192185.96000000002</v>
      </c>
    </row>
    <row r="31" spans="1:7" x14ac:dyDescent="0.3">
      <c r="A31" s="10">
        <v>17</v>
      </c>
      <c r="B31" s="11">
        <f>IF(G31="","",EDATE($C$7,16))</f>
        <v>46539</v>
      </c>
      <c r="C31" s="12">
        <f t="shared" si="1"/>
        <v>3808.33</v>
      </c>
      <c r="D31" s="12">
        <f t="shared" si="2"/>
        <v>1201.1600000000001</v>
      </c>
      <c r="E31" s="12">
        <f t="shared" si="3"/>
        <v>0</v>
      </c>
      <c r="F31" s="12">
        <f t="shared" si="0"/>
        <v>5009.49</v>
      </c>
      <c r="G31" s="12">
        <f t="shared" si="4"/>
        <v>188377.63000000003</v>
      </c>
    </row>
    <row r="32" spans="1:7" x14ac:dyDescent="0.3">
      <c r="A32" s="13">
        <v>18</v>
      </c>
      <c r="B32" s="14">
        <f>IF(G32="","",EDATE($C$7,17))</f>
        <v>46569</v>
      </c>
      <c r="C32" s="15">
        <f t="shared" si="1"/>
        <v>3832.13</v>
      </c>
      <c r="D32" s="15">
        <f t="shared" si="2"/>
        <v>1177.3599999999999</v>
      </c>
      <c r="E32" s="15">
        <f t="shared" si="3"/>
        <v>0</v>
      </c>
      <c r="F32" s="15">
        <f t="shared" si="0"/>
        <v>5009.49</v>
      </c>
      <c r="G32" s="15">
        <f t="shared" si="4"/>
        <v>184545.50000000003</v>
      </c>
    </row>
    <row r="33" spans="1:7" x14ac:dyDescent="0.3">
      <c r="A33" s="10">
        <v>19</v>
      </c>
      <c r="B33" s="11">
        <f>IF(G33="","",EDATE($C$7,18))</f>
        <v>46600</v>
      </c>
      <c r="C33" s="12">
        <f t="shared" si="1"/>
        <v>3856.08</v>
      </c>
      <c r="D33" s="12">
        <f t="shared" si="2"/>
        <v>1153.4100000000001</v>
      </c>
      <c r="E33" s="12">
        <f t="shared" si="3"/>
        <v>0</v>
      </c>
      <c r="F33" s="12">
        <f t="shared" si="0"/>
        <v>5009.49</v>
      </c>
      <c r="G33" s="12">
        <f t="shared" si="4"/>
        <v>180689.42000000004</v>
      </c>
    </row>
    <row r="34" spans="1:7" x14ac:dyDescent="0.3">
      <c r="A34" s="13">
        <v>20</v>
      </c>
      <c r="B34" s="14">
        <f>IF(G34="","",EDATE($C$7,19))</f>
        <v>46631</v>
      </c>
      <c r="C34" s="15">
        <f t="shared" si="1"/>
        <v>3880.18</v>
      </c>
      <c r="D34" s="15">
        <f t="shared" si="2"/>
        <v>1129.31</v>
      </c>
      <c r="E34" s="15">
        <f t="shared" si="3"/>
        <v>0</v>
      </c>
      <c r="F34" s="15">
        <f t="shared" si="0"/>
        <v>5009.49</v>
      </c>
      <c r="G34" s="15">
        <f t="shared" si="4"/>
        <v>176809.24000000005</v>
      </c>
    </row>
    <row r="35" spans="1:7" x14ac:dyDescent="0.3">
      <c r="A35" s="10">
        <v>21</v>
      </c>
      <c r="B35" s="11">
        <f>IF(G35="","",EDATE($C$7,20))</f>
        <v>46661</v>
      </c>
      <c r="C35" s="12">
        <f t="shared" si="1"/>
        <v>3904.43</v>
      </c>
      <c r="D35" s="12">
        <f t="shared" si="2"/>
        <v>1105.06</v>
      </c>
      <c r="E35" s="12">
        <f t="shared" si="3"/>
        <v>0</v>
      </c>
      <c r="F35" s="12">
        <f t="shared" si="0"/>
        <v>5009.49</v>
      </c>
      <c r="G35" s="12">
        <f t="shared" si="4"/>
        <v>172904.81000000006</v>
      </c>
    </row>
    <row r="36" spans="1:7" x14ac:dyDescent="0.3">
      <c r="A36" s="13">
        <v>22</v>
      </c>
      <c r="B36" s="14">
        <f>IF(G36="","",EDATE($C$7,21))</f>
        <v>46692</v>
      </c>
      <c r="C36" s="15">
        <f t="shared" si="1"/>
        <v>3928.83</v>
      </c>
      <c r="D36" s="15">
        <f t="shared" si="2"/>
        <v>1080.6600000000001</v>
      </c>
      <c r="E36" s="15">
        <f t="shared" si="3"/>
        <v>0</v>
      </c>
      <c r="F36" s="15">
        <f t="shared" si="0"/>
        <v>5009.49</v>
      </c>
      <c r="G36" s="15">
        <f t="shared" si="4"/>
        <v>168975.98000000007</v>
      </c>
    </row>
    <row r="37" spans="1:7" x14ac:dyDescent="0.3">
      <c r="A37" s="10">
        <v>23</v>
      </c>
      <c r="B37" s="11">
        <f>IF(G37="","",EDATE($C$7,22))</f>
        <v>46722</v>
      </c>
      <c r="C37" s="12">
        <f t="shared" si="1"/>
        <v>3953.39</v>
      </c>
      <c r="D37" s="12">
        <f t="shared" si="2"/>
        <v>1056.0999999999999</v>
      </c>
      <c r="E37" s="12">
        <f t="shared" si="3"/>
        <v>0</v>
      </c>
      <c r="F37" s="12">
        <f t="shared" si="0"/>
        <v>5009.49</v>
      </c>
      <c r="G37" s="12">
        <f t="shared" si="4"/>
        <v>165022.59000000005</v>
      </c>
    </row>
    <row r="38" spans="1:7" x14ac:dyDescent="0.3">
      <c r="A38" s="13">
        <v>24</v>
      </c>
      <c r="B38" s="14">
        <f>IF(G38="","",EDATE($C$7,23))</f>
        <v>46753</v>
      </c>
      <c r="C38" s="15">
        <f t="shared" si="1"/>
        <v>3978.1</v>
      </c>
      <c r="D38" s="15">
        <f t="shared" si="2"/>
        <v>1031.3900000000001</v>
      </c>
      <c r="E38" s="15">
        <f t="shared" si="3"/>
        <v>0</v>
      </c>
      <c r="F38" s="15">
        <f t="shared" si="0"/>
        <v>5009.49</v>
      </c>
      <c r="G38" s="15">
        <f t="shared" si="4"/>
        <v>161044.49000000005</v>
      </c>
    </row>
    <row r="39" spans="1:7" x14ac:dyDescent="0.3">
      <c r="A39" s="10">
        <v>25</v>
      </c>
      <c r="B39" s="11">
        <f>IF(G39="","",EDATE($C$7,24))</f>
        <v>46784</v>
      </c>
      <c r="C39" s="12">
        <f t="shared" si="1"/>
        <v>4002.96</v>
      </c>
      <c r="D39" s="12">
        <f t="shared" si="2"/>
        <v>1006.53</v>
      </c>
      <c r="E39" s="12">
        <f t="shared" si="3"/>
        <v>0</v>
      </c>
      <c r="F39" s="12">
        <f t="shared" si="0"/>
        <v>5009.49</v>
      </c>
      <c r="G39" s="12">
        <f t="shared" si="4"/>
        <v>157041.53000000006</v>
      </c>
    </row>
    <row r="40" spans="1:7" x14ac:dyDescent="0.3">
      <c r="A40" s="13">
        <v>26</v>
      </c>
      <c r="B40" s="14">
        <f>IF(G40="","",EDATE($C$7,25))</f>
        <v>46813</v>
      </c>
      <c r="C40" s="15">
        <f t="shared" si="1"/>
        <v>4027.98</v>
      </c>
      <c r="D40" s="15">
        <f t="shared" si="2"/>
        <v>981.51</v>
      </c>
      <c r="E40" s="15">
        <f t="shared" si="3"/>
        <v>0</v>
      </c>
      <c r="F40" s="15">
        <f t="shared" si="0"/>
        <v>5009.49</v>
      </c>
      <c r="G40" s="15">
        <f t="shared" si="4"/>
        <v>153013.55000000005</v>
      </c>
    </row>
    <row r="41" spans="1:7" x14ac:dyDescent="0.3">
      <c r="A41" s="10">
        <v>27</v>
      </c>
      <c r="B41" s="11">
        <f>IF(G41="","",EDATE($C$7,26))</f>
        <v>46844</v>
      </c>
      <c r="C41" s="12">
        <f t="shared" si="1"/>
        <v>4053.16</v>
      </c>
      <c r="D41" s="12">
        <f t="shared" si="2"/>
        <v>956.33</v>
      </c>
      <c r="E41" s="12">
        <f t="shared" si="3"/>
        <v>0</v>
      </c>
      <c r="F41" s="12">
        <f t="shared" si="0"/>
        <v>5009.49</v>
      </c>
      <c r="G41" s="12">
        <f t="shared" si="4"/>
        <v>148960.39000000004</v>
      </c>
    </row>
    <row r="42" spans="1:7" x14ac:dyDescent="0.3">
      <c r="A42" s="13">
        <v>28</v>
      </c>
      <c r="B42" s="14">
        <f>IF(G42="","",EDATE($C$7,27))</f>
        <v>46874</v>
      </c>
      <c r="C42" s="15">
        <f t="shared" si="1"/>
        <v>4078.49</v>
      </c>
      <c r="D42" s="15">
        <f t="shared" si="2"/>
        <v>931</v>
      </c>
      <c r="E42" s="15">
        <f t="shared" si="3"/>
        <v>0</v>
      </c>
      <c r="F42" s="15">
        <f t="shared" si="0"/>
        <v>5009.49</v>
      </c>
      <c r="G42" s="15">
        <f t="shared" si="4"/>
        <v>144881.90000000005</v>
      </c>
    </row>
    <row r="43" spans="1:7" x14ac:dyDescent="0.3">
      <c r="A43" s="10">
        <v>29</v>
      </c>
      <c r="B43" s="11">
        <f>IF(G43="","",EDATE($C$7,28))</f>
        <v>46905</v>
      </c>
      <c r="C43" s="12">
        <f t="shared" si="1"/>
        <v>4103.9799999999996</v>
      </c>
      <c r="D43" s="12">
        <f t="shared" si="2"/>
        <v>905.51</v>
      </c>
      <c r="E43" s="12">
        <f t="shared" si="3"/>
        <v>0</v>
      </c>
      <c r="F43" s="12">
        <f t="shared" si="0"/>
        <v>5009.49</v>
      </c>
      <c r="G43" s="12">
        <f t="shared" si="4"/>
        <v>140777.92000000004</v>
      </c>
    </row>
    <row r="44" spans="1:7" x14ac:dyDescent="0.3">
      <c r="A44" s="13">
        <v>30</v>
      </c>
      <c r="B44" s="14">
        <f>IF(G44="","",EDATE($C$7,29))</f>
        <v>46935</v>
      </c>
      <c r="C44" s="15">
        <f t="shared" si="1"/>
        <v>4129.63</v>
      </c>
      <c r="D44" s="15">
        <f t="shared" si="2"/>
        <v>879.86</v>
      </c>
      <c r="E44" s="15">
        <f t="shared" si="3"/>
        <v>0</v>
      </c>
      <c r="F44" s="15">
        <f t="shared" si="0"/>
        <v>5009.49</v>
      </c>
      <c r="G44" s="15">
        <f t="shared" si="4"/>
        <v>136648.29000000004</v>
      </c>
    </row>
    <row r="45" spans="1:7" x14ac:dyDescent="0.3">
      <c r="A45" s="10">
        <v>31</v>
      </c>
      <c r="B45" s="11">
        <f>IF(G45="","",EDATE($C$7,30))</f>
        <v>46966</v>
      </c>
      <c r="C45" s="12">
        <f t="shared" si="1"/>
        <v>4155.4399999999996</v>
      </c>
      <c r="D45" s="12">
        <f t="shared" si="2"/>
        <v>854.05</v>
      </c>
      <c r="E45" s="12">
        <f t="shared" si="3"/>
        <v>0</v>
      </c>
      <c r="F45" s="12">
        <f t="shared" si="0"/>
        <v>5009.49</v>
      </c>
      <c r="G45" s="12">
        <f t="shared" si="4"/>
        <v>132492.85000000003</v>
      </c>
    </row>
    <row r="46" spans="1:7" x14ac:dyDescent="0.3">
      <c r="A46" s="13">
        <v>32</v>
      </c>
      <c r="B46" s="14">
        <f>IF(G46="","",EDATE($C$7,31))</f>
        <v>46997</v>
      </c>
      <c r="C46" s="15">
        <f t="shared" si="1"/>
        <v>4181.41</v>
      </c>
      <c r="D46" s="15">
        <f t="shared" si="2"/>
        <v>828.08</v>
      </c>
      <c r="E46" s="15">
        <f t="shared" si="3"/>
        <v>0</v>
      </c>
      <c r="F46" s="15">
        <f t="shared" si="0"/>
        <v>5009.49</v>
      </c>
      <c r="G46" s="15">
        <f t="shared" si="4"/>
        <v>128311.44000000003</v>
      </c>
    </row>
    <row r="47" spans="1:7" x14ac:dyDescent="0.3">
      <c r="A47" s="10">
        <v>33</v>
      </c>
      <c r="B47" s="11">
        <f>IF(G47="","",EDATE($C$7,32))</f>
        <v>47027</v>
      </c>
      <c r="C47" s="12">
        <f t="shared" si="1"/>
        <v>4207.54</v>
      </c>
      <c r="D47" s="12">
        <f t="shared" si="2"/>
        <v>801.95</v>
      </c>
      <c r="E47" s="12">
        <f t="shared" si="3"/>
        <v>0</v>
      </c>
      <c r="F47" s="12">
        <f t="shared" ref="F47:F78" si="5">IF(C47="","",C47+D47+E47)</f>
        <v>5009.49</v>
      </c>
      <c r="G47" s="12">
        <f t="shared" si="4"/>
        <v>124103.90000000004</v>
      </c>
    </row>
    <row r="48" spans="1:7" x14ac:dyDescent="0.3">
      <c r="A48" s="13">
        <v>34</v>
      </c>
      <c r="B48" s="14">
        <f>IF(G48="","",EDATE($C$7,33))</f>
        <v>47058</v>
      </c>
      <c r="C48" s="15">
        <f t="shared" ref="C48:C79" si="6">IF(OR(G47="",N(G47)&lt;=0),"",MIN(N(G47),ROUND($C$10-D48,2)))</f>
        <v>4233.84</v>
      </c>
      <c r="D48" s="15">
        <f t="shared" ref="D48:D79" si="7">IF(OR(G47="",N(G47)&lt;=0),"",ROUND(N(G47)*$C$5/12,2))</f>
        <v>775.65</v>
      </c>
      <c r="E48" s="15">
        <f t="shared" ref="E48:E79" si="8">IF(OR(G47="",N(G47)&lt;=0),"",MIN(MAX(0,N(G47)-C48),$C$8))</f>
        <v>0</v>
      </c>
      <c r="F48" s="15">
        <f t="shared" si="5"/>
        <v>5009.49</v>
      </c>
      <c r="G48" s="15">
        <f t="shared" ref="G48:G79" si="9">IF(OR(G47="",N(G47)&lt;=0),"",MAX(0,N(G47)-C48-E48))</f>
        <v>119870.06000000004</v>
      </c>
    </row>
    <row r="49" spans="1:7" x14ac:dyDescent="0.3">
      <c r="A49" s="10">
        <v>35</v>
      </c>
      <c r="B49" s="11">
        <f>IF(G49="","",EDATE($C$7,34))</f>
        <v>47088</v>
      </c>
      <c r="C49" s="12">
        <f t="shared" si="6"/>
        <v>4260.3</v>
      </c>
      <c r="D49" s="12">
        <f t="shared" si="7"/>
        <v>749.19</v>
      </c>
      <c r="E49" s="12">
        <f t="shared" si="8"/>
        <v>0</v>
      </c>
      <c r="F49" s="12">
        <f t="shared" si="5"/>
        <v>5009.49</v>
      </c>
      <c r="G49" s="12">
        <f t="shared" si="9"/>
        <v>115609.76000000004</v>
      </c>
    </row>
    <row r="50" spans="1:7" x14ac:dyDescent="0.3">
      <c r="A50" s="13">
        <v>36</v>
      </c>
      <c r="B50" s="14">
        <f>IF(G50="","",EDATE($C$7,35))</f>
        <v>47119</v>
      </c>
      <c r="C50" s="15">
        <f t="shared" si="6"/>
        <v>4286.93</v>
      </c>
      <c r="D50" s="15">
        <f t="shared" si="7"/>
        <v>722.56</v>
      </c>
      <c r="E50" s="15">
        <f t="shared" si="8"/>
        <v>0</v>
      </c>
      <c r="F50" s="15">
        <f t="shared" si="5"/>
        <v>5009.49</v>
      </c>
      <c r="G50" s="15">
        <f t="shared" si="9"/>
        <v>111322.83000000005</v>
      </c>
    </row>
    <row r="51" spans="1:7" x14ac:dyDescent="0.3">
      <c r="A51" s="10">
        <v>37</v>
      </c>
      <c r="B51" s="11">
        <f>IF(G51="","",EDATE($C$7,36))</f>
        <v>47150</v>
      </c>
      <c r="C51" s="12">
        <f t="shared" si="6"/>
        <v>4313.72</v>
      </c>
      <c r="D51" s="12">
        <f t="shared" si="7"/>
        <v>695.77</v>
      </c>
      <c r="E51" s="12">
        <f t="shared" si="8"/>
        <v>0</v>
      </c>
      <c r="F51" s="12">
        <f t="shared" si="5"/>
        <v>5009.49</v>
      </c>
      <c r="G51" s="12">
        <f t="shared" si="9"/>
        <v>107009.11000000004</v>
      </c>
    </row>
    <row r="52" spans="1:7" x14ac:dyDescent="0.3">
      <c r="A52" s="13">
        <v>38</v>
      </c>
      <c r="B52" s="14">
        <f>IF(G52="","",EDATE($C$7,37))</f>
        <v>47178</v>
      </c>
      <c r="C52" s="15">
        <f t="shared" si="6"/>
        <v>4340.68</v>
      </c>
      <c r="D52" s="15">
        <f t="shared" si="7"/>
        <v>668.81</v>
      </c>
      <c r="E52" s="15">
        <f t="shared" si="8"/>
        <v>0</v>
      </c>
      <c r="F52" s="15">
        <f t="shared" si="5"/>
        <v>5009.49</v>
      </c>
      <c r="G52" s="15">
        <f t="shared" si="9"/>
        <v>102668.43000000005</v>
      </c>
    </row>
    <row r="53" spans="1:7" x14ac:dyDescent="0.3">
      <c r="A53" s="10">
        <v>39</v>
      </c>
      <c r="B53" s="11">
        <f>IF(G53="","",EDATE($C$7,38))</f>
        <v>47209</v>
      </c>
      <c r="C53" s="12">
        <f t="shared" si="6"/>
        <v>4367.8100000000004</v>
      </c>
      <c r="D53" s="12">
        <f t="shared" si="7"/>
        <v>641.67999999999995</v>
      </c>
      <c r="E53" s="12">
        <f t="shared" si="8"/>
        <v>0</v>
      </c>
      <c r="F53" s="12">
        <f t="shared" si="5"/>
        <v>5009.4900000000007</v>
      </c>
      <c r="G53" s="12">
        <f t="shared" si="9"/>
        <v>98300.620000000054</v>
      </c>
    </row>
    <row r="54" spans="1:7" x14ac:dyDescent="0.3">
      <c r="A54" s="13">
        <v>40</v>
      </c>
      <c r="B54" s="14">
        <f>IF(G54="","",EDATE($C$7,39))</f>
        <v>47239</v>
      </c>
      <c r="C54" s="15">
        <f t="shared" si="6"/>
        <v>4395.1099999999997</v>
      </c>
      <c r="D54" s="15">
        <f t="shared" si="7"/>
        <v>614.38</v>
      </c>
      <c r="E54" s="15">
        <f t="shared" si="8"/>
        <v>0</v>
      </c>
      <c r="F54" s="15">
        <f t="shared" si="5"/>
        <v>5009.49</v>
      </c>
      <c r="G54" s="15">
        <f t="shared" si="9"/>
        <v>93905.510000000053</v>
      </c>
    </row>
    <row r="55" spans="1:7" x14ac:dyDescent="0.3">
      <c r="A55" s="10">
        <v>41</v>
      </c>
      <c r="B55" s="11">
        <f>IF(G55="","",EDATE($C$7,40))</f>
        <v>47270</v>
      </c>
      <c r="C55" s="12">
        <f t="shared" si="6"/>
        <v>4422.58</v>
      </c>
      <c r="D55" s="12">
        <f t="shared" si="7"/>
        <v>586.91</v>
      </c>
      <c r="E55" s="12">
        <f t="shared" si="8"/>
        <v>0</v>
      </c>
      <c r="F55" s="12">
        <f t="shared" si="5"/>
        <v>5009.49</v>
      </c>
      <c r="G55" s="12">
        <f t="shared" si="9"/>
        <v>89482.930000000051</v>
      </c>
    </row>
    <row r="56" spans="1:7" x14ac:dyDescent="0.3">
      <c r="A56" s="13">
        <v>42</v>
      </c>
      <c r="B56" s="14">
        <f>IF(G56="","",EDATE($C$7,41))</f>
        <v>47300</v>
      </c>
      <c r="C56" s="15">
        <f t="shared" si="6"/>
        <v>4450.22</v>
      </c>
      <c r="D56" s="15">
        <f t="shared" si="7"/>
        <v>559.27</v>
      </c>
      <c r="E56" s="15">
        <f t="shared" si="8"/>
        <v>0</v>
      </c>
      <c r="F56" s="15">
        <f t="shared" si="5"/>
        <v>5009.49</v>
      </c>
      <c r="G56" s="15">
        <f t="shared" si="9"/>
        <v>85032.71000000005</v>
      </c>
    </row>
    <row r="57" spans="1:7" x14ac:dyDescent="0.3">
      <c r="A57" s="10">
        <v>43</v>
      </c>
      <c r="B57" s="11">
        <f>IF(G57="","",EDATE($C$7,42))</f>
        <v>47331</v>
      </c>
      <c r="C57" s="12">
        <f t="shared" si="6"/>
        <v>4478.04</v>
      </c>
      <c r="D57" s="12">
        <f t="shared" si="7"/>
        <v>531.45000000000005</v>
      </c>
      <c r="E57" s="12">
        <f t="shared" si="8"/>
        <v>0</v>
      </c>
      <c r="F57" s="12">
        <f t="shared" si="5"/>
        <v>5009.49</v>
      </c>
      <c r="G57" s="12">
        <f t="shared" si="9"/>
        <v>80554.670000000056</v>
      </c>
    </row>
    <row r="58" spans="1:7" x14ac:dyDescent="0.3">
      <c r="A58" s="13">
        <v>44</v>
      </c>
      <c r="B58" s="14">
        <f>IF(G58="","",EDATE($C$7,43))</f>
        <v>47362</v>
      </c>
      <c r="C58" s="15">
        <f t="shared" si="6"/>
        <v>4506.0200000000004</v>
      </c>
      <c r="D58" s="15">
        <f t="shared" si="7"/>
        <v>503.47</v>
      </c>
      <c r="E58" s="15">
        <f t="shared" si="8"/>
        <v>0</v>
      </c>
      <c r="F58" s="15">
        <f t="shared" si="5"/>
        <v>5009.4900000000007</v>
      </c>
      <c r="G58" s="15">
        <f t="shared" si="9"/>
        <v>76048.650000000052</v>
      </c>
    </row>
    <row r="59" spans="1:7" x14ac:dyDescent="0.3">
      <c r="A59" s="10">
        <v>45</v>
      </c>
      <c r="B59" s="11">
        <f>IF(G59="","",EDATE($C$7,44))</f>
        <v>47392</v>
      </c>
      <c r="C59" s="12">
        <f t="shared" si="6"/>
        <v>4534.1899999999996</v>
      </c>
      <c r="D59" s="12">
        <f t="shared" si="7"/>
        <v>475.3</v>
      </c>
      <c r="E59" s="12">
        <f t="shared" si="8"/>
        <v>0</v>
      </c>
      <c r="F59" s="12">
        <f t="shared" si="5"/>
        <v>5009.49</v>
      </c>
      <c r="G59" s="12">
        <f t="shared" si="9"/>
        <v>71514.46000000005</v>
      </c>
    </row>
    <row r="60" spans="1:7" x14ac:dyDescent="0.3">
      <c r="A60" s="13">
        <v>46</v>
      </c>
      <c r="B60" s="14">
        <f>IF(G60="","",EDATE($C$7,45))</f>
        <v>47423</v>
      </c>
      <c r="C60" s="15">
        <f t="shared" si="6"/>
        <v>4562.5200000000004</v>
      </c>
      <c r="D60" s="15">
        <f t="shared" si="7"/>
        <v>446.97</v>
      </c>
      <c r="E60" s="15">
        <f t="shared" si="8"/>
        <v>0</v>
      </c>
      <c r="F60" s="15">
        <f t="shared" si="5"/>
        <v>5009.4900000000007</v>
      </c>
      <c r="G60" s="15">
        <f t="shared" si="9"/>
        <v>66951.940000000046</v>
      </c>
    </row>
    <row r="61" spans="1:7" x14ac:dyDescent="0.3">
      <c r="A61" s="10">
        <v>47</v>
      </c>
      <c r="B61" s="11">
        <f>IF(G61="","",EDATE($C$7,46))</f>
        <v>47453</v>
      </c>
      <c r="C61" s="12">
        <f t="shared" si="6"/>
        <v>4591.04</v>
      </c>
      <c r="D61" s="12">
        <f t="shared" si="7"/>
        <v>418.45</v>
      </c>
      <c r="E61" s="12">
        <f t="shared" si="8"/>
        <v>0</v>
      </c>
      <c r="F61" s="12">
        <f t="shared" si="5"/>
        <v>5009.49</v>
      </c>
      <c r="G61" s="12">
        <f t="shared" si="9"/>
        <v>62360.900000000045</v>
      </c>
    </row>
    <row r="62" spans="1:7" x14ac:dyDescent="0.3">
      <c r="A62" s="13">
        <v>48</v>
      </c>
      <c r="B62" s="14">
        <f>IF(G62="","",EDATE($C$7,47))</f>
        <v>47484</v>
      </c>
      <c r="C62" s="15">
        <f t="shared" si="6"/>
        <v>4619.7299999999996</v>
      </c>
      <c r="D62" s="15">
        <f t="shared" si="7"/>
        <v>389.76</v>
      </c>
      <c r="E62" s="15">
        <f t="shared" si="8"/>
        <v>0</v>
      </c>
      <c r="F62" s="15">
        <f t="shared" si="5"/>
        <v>5009.49</v>
      </c>
      <c r="G62" s="15">
        <f t="shared" si="9"/>
        <v>57741.170000000042</v>
      </c>
    </row>
    <row r="63" spans="1:7" x14ac:dyDescent="0.3">
      <c r="A63" s="10">
        <v>49</v>
      </c>
      <c r="B63" s="11">
        <f>IF(G63="","",EDATE($C$7,48))</f>
        <v>47515</v>
      </c>
      <c r="C63" s="12">
        <f t="shared" si="6"/>
        <v>4648.6099999999997</v>
      </c>
      <c r="D63" s="12">
        <f t="shared" si="7"/>
        <v>360.88</v>
      </c>
      <c r="E63" s="12">
        <f t="shared" si="8"/>
        <v>0</v>
      </c>
      <c r="F63" s="12">
        <f t="shared" si="5"/>
        <v>5009.49</v>
      </c>
      <c r="G63" s="12">
        <f t="shared" si="9"/>
        <v>53092.560000000041</v>
      </c>
    </row>
    <row r="64" spans="1:7" x14ac:dyDescent="0.3">
      <c r="A64" s="13">
        <v>50</v>
      </c>
      <c r="B64" s="14">
        <f>IF(G64="","",EDATE($C$7,49))</f>
        <v>47543</v>
      </c>
      <c r="C64" s="15">
        <f t="shared" si="6"/>
        <v>4677.66</v>
      </c>
      <c r="D64" s="15">
        <f t="shared" si="7"/>
        <v>331.83</v>
      </c>
      <c r="E64" s="15">
        <f t="shared" si="8"/>
        <v>0</v>
      </c>
      <c r="F64" s="15">
        <f t="shared" si="5"/>
        <v>5009.49</v>
      </c>
      <c r="G64" s="15">
        <f t="shared" si="9"/>
        <v>48414.900000000038</v>
      </c>
    </row>
    <row r="65" spans="1:7" x14ac:dyDescent="0.3">
      <c r="A65" s="10">
        <v>51</v>
      </c>
      <c r="B65" s="11">
        <f>IF(G65="","",EDATE($C$7,50))</f>
        <v>47574</v>
      </c>
      <c r="C65" s="12">
        <f t="shared" si="6"/>
        <v>4706.8999999999996</v>
      </c>
      <c r="D65" s="12">
        <f t="shared" si="7"/>
        <v>302.58999999999997</v>
      </c>
      <c r="E65" s="12">
        <f t="shared" si="8"/>
        <v>0</v>
      </c>
      <c r="F65" s="12">
        <f t="shared" si="5"/>
        <v>5009.49</v>
      </c>
      <c r="G65" s="12">
        <f t="shared" si="9"/>
        <v>43708.000000000036</v>
      </c>
    </row>
    <row r="66" spans="1:7" x14ac:dyDescent="0.3">
      <c r="A66" s="13">
        <v>52</v>
      </c>
      <c r="B66" s="14">
        <f>IF(G66="","",EDATE($C$7,51))</f>
        <v>47604</v>
      </c>
      <c r="C66" s="15">
        <f t="shared" si="6"/>
        <v>4736.3100000000004</v>
      </c>
      <c r="D66" s="15">
        <f t="shared" si="7"/>
        <v>273.18</v>
      </c>
      <c r="E66" s="15">
        <f t="shared" si="8"/>
        <v>0</v>
      </c>
      <c r="F66" s="15">
        <f t="shared" si="5"/>
        <v>5009.4900000000007</v>
      </c>
      <c r="G66" s="15">
        <f t="shared" si="9"/>
        <v>38971.690000000039</v>
      </c>
    </row>
    <row r="67" spans="1:7" x14ac:dyDescent="0.3">
      <c r="A67" s="10">
        <v>53</v>
      </c>
      <c r="B67" s="11">
        <f>IF(G67="","",EDATE($C$7,52))</f>
        <v>47635</v>
      </c>
      <c r="C67" s="12">
        <f t="shared" si="6"/>
        <v>4765.92</v>
      </c>
      <c r="D67" s="12">
        <f t="shared" si="7"/>
        <v>243.57</v>
      </c>
      <c r="E67" s="12">
        <f t="shared" si="8"/>
        <v>0</v>
      </c>
      <c r="F67" s="12">
        <f t="shared" si="5"/>
        <v>5009.49</v>
      </c>
      <c r="G67" s="12">
        <f t="shared" si="9"/>
        <v>34205.77000000004</v>
      </c>
    </row>
    <row r="68" spans="1:7" x14ac:dyDescent="0.3">
      <c r="A68" s="13">
        <v>54</v>
      </c>
      <c r="B68" s="14">
        <f>IF(G68="","",EDATE($C$7,53))</f>
        <v>47665</v>
      </c>
      <c r="C68" s="15">
        <f t="shared" si="6"/>
        <v>4795.7</v>
      </c>
      <c r="D68" s="15">
        <f t="shared" si="7"/>
        <v>213.79</v>
      </c>
      <c r="E68" s="15">
        <f t="shared" si="8"/>
        <v>0</v>
      </c>
      <c r="F68" s="15">
        <f t="shared" si="5"/>
        <v>5009.49</v>
      </c>
      <c r="G68" s="15">
        <f t="shared" si="9"/>
        <v>29410.07000000004</v>
      </c>
    </row>
    <row r="69" spans="1:7" x14ac:dyDescent="0.3">
      <c r="A69" s="10">
        <v>55</v>
      </c>
      <c r="B69" s="11">
        <f>IF(G69="","",EDATE($C$7,54))</f>
        <v>47696</v>
      </c>
      <c r="C69" s="12">
        <f t="shared" si="6"/>
        <v>4825.68</v>
      </c>
      <c r="D69" s="12">
        <f t="shared" si="7"/>
        <v>183.81</v>
      </c>
      <c r="E69" s="12">
        <f t="shared" si="8"/>
        <v>0</v>
      </c>
      <c r="F69" s="12">
        <f t="shared" si="5"/>
        <v>5009.4900000000007</v>
      </c>
      <c r="G69" s="12">
        <f t="shared" si="9"/>
        <v>24584.390000000039</v>
      </c>
    </row>
    <row r="70" spans="1:7" x14ac:dyDescent="0.3">
      <c r="A70" s="13">
        <v>56</v>
      </c>
      <c r="B70" s="14">
        <f>IF(G70="","",EDATE($C$7,55))</f>
        <v>47727</v>
      </c>
      <c r="C70" s="15">
        <f t="shared" si="6"/>
        <v>4855.84</v>
      </c>
      <c r="D70" s="15">
        <f t="shared" si="7"/>
        <v>153.65</v>
      </c>
      <c r="E70" s="15">
        <f t="shared" si="8"/>
        <v>0</v>
      </c>
      <c r="F70" s="15">
        <f t="shared" si="5"/>
        <v>5009.49</v>
      </c>
      <c r="G70" s="15">
        <f t="shared" si="9"/>
        <v>19728.550000000039</v>
      </c>
    </row>
    <row r="71" spans="1:7" x14ac:dyDescent="0.3">
      <c r="A71" s="10">
        <v>57</v>
      </c>
      <c r="B71" s="11">
        <f>IF(G71="","",EDATE($C$7,56))</f>
        <v>47757</v>
      </c>
      <c r="C71" s="12">
        <f t="shared" si="6"/>
        <v>4886.1899999999996</v>
      </c>
      <c r="D71" s="12">
        <f t="shared" si="7"/>
        <v>123.3</v>
      </c>
      <c r="E71" s="12">
        <f t="shared" si="8"/>
        <v>0</v>
      </c>
      <c r="F71" s="12">
        <f t="shared" si="5"/>
        <v>5009.49</v>
      </c>
      <c r="G71" s="12">
        <f t="shared" si="9"/>
        <v>14842.360000000041</v>
      </c>
    </row>
    <row r="72" spans="1:7" x14ac:dyDescent="0.3">
      <c r="A72" s="13">
        <v>58</v>
      </c>
      <c r="B72" s="14">
        <f>IF(G72="","",EDATE($C$7,57))</f>
        <v>47788</v>
      </c>
      <c r="C72" s="15">
        <f t="shared" si="6"/>
        <v>4916.7299999999996</v>
      </c>
      <c r="D72" s="15">
        <f t="shared" si="7"/>
        <v>92.76</v>
      </c>
      <c r="E72" s="15">
        <f t="shared" si="8"/>
        <v>0</v>
      </c>
      <c r="F72" s="15">
        <f t="shared" si="5"/>
        <v>5009.49</v>
      </c>
      <c r="G72" s="15">
        <f t="shared" si="9"/>
        <v>9925.630000000041</v>
      </c>
    </row>
    <row r="73" spans="1:7" x14ac:dyDescent="0.3">
      <c r="A73" s="10">
        <v>59</v>
      </c>
      <c r="B73" s="11">
        <f>IF(G73="","",EDATE($C$7,58))</f>
        <v>47818</v>
      </c>
      <c r="C73" s="12">
        <f t="shared" si="6"/>
        <v>4947.45</v>
      </c>
      <c r="D73" s="12">
        <f t="shared" si="7"/>
        <v>62.04</v>
      </c>
      <c r="E73" s="12">
        <f t="shared" si="8"/>
        <v>0</v>
      </c>
      <c r="F73" s="12">
        <f t="shared" si="5"/>
        <v>5009.49</v>
      </c>
      <c r="G73" s="12">
        <f t="shared" si="9"/>
        <v>4978.1800000000412</v>
      </c>
    </row>
    <row r="74" spans="1:7" x14ac:dyDescent="0.3">
      <c r="A74" s="13">
        <v>60</v>
      </c>
      <c r="B74" s="14">
        <f>IF(G74="","",EDATE($C$7,59))</f>
        <v>47849</v>
      </c>
      <c r="C74" s="15">
        <f t="shared" si="6"/>
        <v>4978.1800000000412</v>
      </c>
      <c r="D74" s="15">
        <f t="shared" si="7"/>
        <v>31.11</v>
      </c>
      <c r="E74" s="15">
        <f t="shared" si="8"/>
        <v>0</v>
      </c>
      <c r="F74" s="15">
        <f t="shared" si="5"/>
        <v>5009.2900000000409</v>
      </c>
      <c r="G74" s="15">
        <f t="shared" si="9"/>
        <v>0</v>
      </c>
    </row>
    <row r="75" spans="1:7" x14ac:dyDescent="0.3">
      <c r="A75" s="10">
        <v>61</v>
      </c>
      <c r="B75" s="11" t="str">
        <f>IF(G75="","",EDATE($C$7,60))</f>
        <v/>
      </c>
      <c r="C75" s="12" t="str">
        <f t="shared" si="6"/>
        <v/>
      </c>
      <c r="D75" s="12" t="str">
        <f t="shared" si="7"/>
        <v/>
      </c>
      <c r="E75" s="12" t="str">
        <f t="shared" si="8"/>
        <v/>
      </c>
      <c r="F75" s="12" t="str">
        <f t="shared" si="5"/>
        <v/>
      </c>
      <c r="G75" s="12" t="str">
        <f t="shared" si="9"/>
        <v/>
      </c>
    </row>
    <row r="76" spans="1:7" x14ac:dyDescent="0.3">
      <c r="A76" s="13">
        <v>62</v>
      </c>
      <c r="B76" s="14" t="str">
        <f>IF(G76="","",EDATE($C$7,61))</f>
        <v/>
      </c>
      <c r="C76" s="15" t="str">
        <f t="shared" si="6"/>
        <v/>
      </c>
      <c r="D76" s="15" t="str">
        <f t="shared" si="7"/>
        <v/>
      </c>
      <c r="E76" s="15" t="str">
        <f t="shared" si="8"/>
        <v/>
      </c>
      <c r="F76" s="15" t="str">
        <f t="shared" si="5"/>
        <v/>
      </c>
      <c r="G76" s="15" t="str">
        <f t="shared" si="9"/>
        <v/>
      </c>
    </row>
    <row r="77" spans="1:7" x14ac:dyDescent="0.3">
      <c r="A77" s="10">
        <v>63</v>
      </c>
      <c r="B77" s="11" t="str">
        <f>IF(G77="","",EDATE($C$7,62))</f>
        <v/>
      </c>
      <c r="C77" s="12" t="str">
        <f t="shared" si="6"/>
        <v/>
      </c>
      <c r="D77" s="12" t="str">
        <f t="shared" si="7"/>
        <v/>
      </c>
      <c r="E77" s="12" t="str">
        <f t="shared" si="8"/>
        <v/>
      </c>
      <c r="F77" s="12" t="str">
        <f t="shared" si="5"/>
        <v/>
      </c>
      <c r="G77" s="12" t="str">
        <f t="shared" si="9"/>
        <v/>
      </c>
    </row>
    <row r="78" spans="1:7" x14ac:dyDescent="0.3">
      <c r="A78" s="13">
        <v>64</v>
      </c>
      <c r="B78" s="14" t="str">
        <f>IF(G78="","",EDATE($C$7,63))</f>
        <v/>
      </c>
      <c r="C78" s="15" t="str">
        <f t="shared" si="6"/>
        <v/>
      </c>
      <c r="D78" s="15" t="str">
        <f t="shared" si="7"/>
        <v/>
      </c>
      <c r="E78" s="15" t="str">
        <f t="shared" si="8"/>
        <v/>
      </c>
      <c r="F78" s="15" t="str">
        <f t="shared" si="5"/>
        <v/>
      </c>
      <c r="G78" s="15" t="str">
        <f t="shared" si="9"/>
        <v/>
      </c>
    </row>
    <row r="79" spans="1:7" x14ac:dyDescent="0.3">
      <c r="A79" s="10">
        <v>65</v>
      </c>
      <c r="B79" s="11" t="str">
        <f>IF(G79="","",EDATE($C$7,64))</f>
        <v/>
      </c>
      <c r="C79" s="12" t="str">
        <f t="shared" si="6"/>
        <v/>
      </c>
      <c r="D79" s="12" t="str">
        <f t="shared" si="7"/>
        <v/>
      </c>
      <c r="E79" s="12" t="str">
        <f t="shared" si="8"/>
        <v/>
      </c>
      <c r="F79" s="12" t="str">
        <f t="shared" ref="F79:F110" si="10">IF(C79="","",C79+D79+E79)</f>
        <v/>
      </c>
      <c r="G79" s="12" t="str">
        <f t="shared" si="9"/>
        <v/>
      </c>
    </row>
    <row r="80" spans="1:7" x14ac:dyDescent="0.3">
      <c r="A80" s="13">
        <v>66</v>
      </c>
      <c r="B80" s="14" t="str">
        <f>IF(G80="","",EDATE($C$7,65))</f>
        <v/>
      </c>
      <c r="C80" s="15" t="str">
        <f t="shared" ref="C80:C111" si="11">IF(OR(G79="",N(G79)&lt;=0),"",MIN(N(G79),ROUND($C$10-D80,2)))</f>
        <v/>
      </c>
      <c r="D80" s="15" t="str">
        <f t="shared" ref="D80:D111" si="12">IF(OR(G79="",N(G79)&lt;=0),"",ROUND(N(G79)*$C$5/12,2))</f>
        <v/>
      </c>
      <c r="E80" s="15" t="str">
        <f t="shared" ref="E80:E111" si="13">IF(OR(G79="",N(G79)&lt;=0),"",MIN(MAX(0,N(G79)-C80),$C$8))</f>
        <v/>
      </c>
      <c r="F80" s="15" t="str">
        <f t="shared" si="10"/>
        <v/>
      </c>
      <c r="G80" s="15" t="str">
        <f t="shared" ref="G80:G111" si="14">IF(OR(G79="",N(G79)&lt;=0),"",MAX(0,N(G79)-C80-E80))</f>
        <v/>
      </c>
    </row>
    <row r="81" spans="1:7" x14ac:dyDescent="0.3">
      <c r="A81" s="10">
        <v>67</v>
      </c>
      <c r="B81" s="11" t="str">
        <f>IF(G81="","",EDATE($C$7,66))</f>
        <v/>
      </c>
      <c r="C81" s="12" t="str">
        <f t="shared" si="11"/>
        <v/>
      </c>
      <c r="D81" s="12" t="str">
        <f t="shared" si="12"/>
        <v/>
      </c>
      <c r="E81" s="12" t="str">
        <f t="shared" si="13"/>
        <v/>
      </c>
      <c r="F81" s="12" t="str">
        <f t="shared" si="10"/>
        <v/>
      </c>
      <c r="G81" s="12" t="str">
        <f t="shared" si="14"/>
        <v/>
      </c>
    </row>
    <row r="82" spans="1:7" x14ac:dyDescent="0.3">
      <c r="A82" s="13">
        <v>68</v>
      </c>
      <c r="B82" s="14" t="str">
        <f>IF(G82="","",EDATE($C$7,67))</f>
        <v/>
      </c>
      <c r="C82" s="15" t="str">
        <f t="shared" si="11"/>
        <v/>
      </c>
      <c r="D82" s="15" t="str">
        <f t="shared" si="12"/>
        <v/>
      </c>
      <c r="E82" s="15" t="str">
        <f t="shared" si="13"/>
        <v/>
      </c>
      <c r="F82" s="15" t="str">
        <f t="shared" si="10"/>
        <v/>
      </c>
      <c r="G82" s="15" t="str">
        <f t="shared" si="14"/>
        <v/>
      </c>
    </row>
    <row r="83" spans="1:7" x14ac:dyDescent="0.3">
      <c r="A83" s="10">
        <v>69</v>
      </c>
      <c r="B83" s="11" t="str">
        <f>IF(G83="","",EDATE($C$7,68))</f>
        <v/>
      </c>
      <c r="C83" s="12" t="str">
        <f t="shared" si="11"/>
        <v/>
      </c>
      <c r="D83" s="12" t="str">
        <f t="shared" si="12"/>
        <v/>
      </c>
      <c r="E83" s="12" t="str">
        <f t="shared" si="13"/>
        <v/>
      </c>
      <c r="F83" s="12" t="str">
        <f t="shared" si="10"/>
        <v/>
      </c>
      <c r="G83" s="12" t="str">
        <f t="shared" si="14"/>
        <v/>
      </c>
    </row>
    <row r="84" spans="1:7" x14ac:dyDescent="0.3">
      <c r="A84" s="13">
        <v>70</v>
      </c>
      <c r="B84" s="14" t="str">
        <f>IF(G84="","",EDATE($C$7,69))</f>
        <v/>
      </c>
      <c r="C84" s="15" t="str">
        <f t="shared" si="11"/>
        <v/>
      </c>
      <c r="D84" s="15" t="str">
        <f t="shared" si="12"/>
        <v/>
      </c>
      <c r="E84" s="15" t="str">
        <f t="shared" si="13"/>
        <v/>
      </c>
      <c r="F84" s="15" t="str">
        <f t="shared" si="10"/>
        <v/>
      </c>
      <c r="G84" s="15" t="str">
        <f t="shared" si="14"/>
        <v/>
      </c>
    </row>
    <row r="85" spans="1:7" x14ac:dyDescent="0.3">
      <c r="A85" s="10">
        <v>71</v>
      </c>
      <c r="B85" s="11" t="str">
        <f>IF(G85="","",EDATE($C$7,70))</f>
        <v/>
      </c>
      <c r="C85" s="12" t="str">
        <f t="shared" si="11"/>
        <v/>
      </c>
      <c r="D85" s="12" t="str">
        <f t="shared" si="12"/>
        <v/>
      </c>
      <c r="E85" s="12" t="str">
        <f t="shared" si="13"/>
        <v/>
      </c>
      <c r="F85" s="12" t="str">
        <f t="shared" si="10"/>
        <v/>
      </c>
      <c r="G85" s="12" t="str">
        <f t="shared" si="14"/>
        <v/>
      </c>
    </row>
    <row r="86" spans="1:7" x14ac:dyDescent="0.3">
      <c r="A86" s="13">
        <v>72</v>
      </c>
      <c r="B86" s="14" t="str">
        <f>IF(G86="","",EDATE($C$7,71))</f>
        <v/>
      </c>
      <c r="C86" s="15" t="str">
        <f t="shared" si="11"/>
        <v/>
      </c>
      <c r="D86" s="15" t="str">
        <f t="shared" si="12"/>
        <v/>
      </c>
      <c r="E86" s="15" t="str">
        <f t="shared" si="13"/>
        <v/>
      </c>
      <c r="F86" s="15" t="str">
        <f t="shared" si="10"/>
        <v/>
      </c>
      <c r="G86" s="15" t="str">
        <f t="shared" si="14"/>
        <v/>
      </c>
    </row>
    <row r="87" spans="1:7" x14ac:dyDescent="0.3">
      <c r="A87" s="10">
        <v>73</v>
      </c>
      <c r="B87" s="11" t="str">
        <f>IF(G87="","",EDATE($C$7,72))</f>
        <v/>
      </c>
      <c r="C87" s="12" t="str">
        <f t="shared" si="11"/>
        <v/>
      </c>
      <c r="D87" s="12" t="str">
        <f t="shared" si="12"/>
        <v/>
      </c>
      <c r="E87" s="12" t="str">
        <f t="shared" si="13"/>
        <v/>
      </c>
      <c r="F87" s="12" t="str">
        <f t="shared" si="10"/>
        <v/>
      </c>
      <c r="G87" s="12" t="str">
        <f t="shared" si="14"/>
        <v/>
      </c>
    </row>
    <row r="88" spans="1:7" x14ac:dyDescent="0.3">
      <c r="A88" s="13">
        <v>74</v>
      </c>
      <c r="B88" s="14" t="str">
        <f>IF(G88="","",EDATE($C$7,73))</f>
        <v/>
      </c>
      <c r="C88" s="15" t="str">
        <f t="shared" si="11"/>
        <v/>
      </c>
      <c r="D88" s="15" t="str">
        <f t="shared" si="12"/>
        <v/>
      </c>
      <c r="E88" s="15" t="str">
        <f t="shared" si="13"/>
        <v/>
      </c>
      <c r="F88" s="15" t="str">
        <f t="shared" si="10"/>
        <v/>
      </c>
      <c r="G88" s="15" t="str">
        <f t="shared" si="14"/>
        <v/>
      </c>
    </row>
    <row r="89" spans="1:7" x14ac:dyDescent="0.3">
      <c r="A89" s="10">
        <v>75</v>
      </c>
      <c r="B89" s="11" t="str">
        <f>IF(G89="","",EDATE($C$7,74))</f>
        <v/>
      </c>
      <c r="C89" s="12" t="str">
        <f t="shared" si="11"/>
        <v/>
      </c>
      <c r="D89" s="12" t="str">
        <f t="shared" si="12"/>
        <v/>
      </c>
      <c r="E89" s="12" t="str">
        <f t="shared" si="13"/>
        <v/>
      </c>
      <c r="F89" s="12" t="str">
        <f t="shared" si="10"/>
        <v/>
      </c>
      <c r="G89" s="12" t="str">
        <f t="shared" si="14"/>
        <v/>
      </c>
    </row>
    <row r="90" spans="1:7" x14ac:dyDescent="0.3">
      <c r="A90" s="13">
        <v>76</v>
      </c>
      <c r="B90" s="14" t="str">
        <f>IF(G90="","",EDATE($C$7,75))</f>
        <v/>
      </c>
      <c r="C90" s="15" t="str">
        <f t="shared" si="11"/>
        <v/>
      </c>
      <c r="D90" s="15" t="str">
        <f t="shared" si="12"/>
        <v/>
      </c>
      <c r="E90" s="15" t="str">
        <f t="shared" si="13"/>
        <v/>
      </c>
      <c r="F90" s="15" t="str">
        <f t="shared" si="10"/>
        <v/>
      </c>
      <c r="G90" s="15" t="str">
        <f t="shared" si="14"/>
        <v/>
      </c>
    </row>
    <row r="91" spans="1:7" x14ac:dyDescent="0.3">
      <c r="A91" s="10">
        <v>77</v>
      </c>
      <c r="B91" s="11" t="str">
        <f>IF(G91="","",EDATE($C$7,76))</f>
        <v/>
      </c>
      <c r="C91" s="12" t="str">
        <f t="shared" si="11"/>
        <v/>
      </c>
      <c r="D91" s="12" t="str">
        <f t="shared" si="12"/>
        <v/>
      </c>
      <c r="E91" s="12" t="str">
        <f t="shared" si="13"/>
        <v/>
      </c>
      <c r="F91" s="12" t="str">
        <f t="shared" si="10"/>
        <v/>
      </c>
      <c r="G91" s="12" t="str">
        <f t="shared" si="14"/>
        <v/>
      </c>
    </row>
    <row r="92" spans="1:7" x14ac:dyDescent="0.3">
      <c r="A92" s="13">
        <v>78</v>
      </c>
      <c r="B92" s="14" t="str">
        <f>IF(G92="","",EDATE($C$7,77))</f>
        <v/>
      </c>
      <c r="C92" s="15" t="str">
        <f t="shared" si="11"/>
        <v/>
      </c>
      <c r="D92" s="15" t="str">
        <f t="shared" si="12"/>
        <v/>
      </c>
      <c r="E92" s="15" t="str">
        <f t="shared" si="13"/>
        <v/>
      </c>
      <c r="F92" s="15" t="str">
        <f t="shared" si="10"/>
        <v/>
      </c>
      <c r="G92" s="15" t="str">
        <f t="shared" si="14"/>
        <v/>
      </c>
    </row>
    <row r="93" spans="1:7" x14ac:dyDescent="0.3">
      <c r="A93" s="10">
        <v>79</v>
      </c>
      <c r="B93" s="11" t="str">
        <f>IF(G93="","",EDATE($C$7,78))</f>
        <v/>
      </c>
      <c r="C93" s="12" t="str">
        <f t="shared" si="11"/>
        <v/>
      </c>
      <c r="D93" s="12" t="str">
        <f t="shared" si="12"/>
        <v/>
      </c>
      <c r="E93" s="12" t="str">
        <f t="shared" si="13"/>
        <v/>
      </c>
      <c r="F93" s="12" t="str">
        <f t="shared" si="10"/>
        <v/>
      </c>
      <c r="G93" s="12" t="str">
        <f t="shared" si="14"/>
        <v/>
      </c>
    </row>
    <row r="94" spans="1:7" x14ac:dyDescent="0.3">
      <c r="A94" s="13">
        <v>80</v>
      </c>
      <c r="B94" s="14" t="str">
        <f>IF(G94="","",EDATE($C$7,79))</f>
        <v/>
      </c>
      <c r="C94" s="15" t="str">
        <f t="shared" si="11"/>
        <v/>
      </c>
      <c r="D94" s="15" t="str">
        <f t="shared" si="12"/>
        <v/>
      </c>
      <c r="E94" s="15" t="str">
        <f t="shared" si="13"/>
        <v/>
      </c>
      <c r="F94" s="15" t="str">
        <f t="shared" si="10"/>
        <v/>
      </c>
      <c r="G94" s="15" t="str">
        <f t="shared" si="14"/>
        <v/>
      </c>
    </row>
    <row r="95" spans="1:7" x14ac:dyDescent="0.3">
      <c r="A95" s="10">
        <v>81</v>
      </c>
      <c r="B95" s="11" t="str">
        <f>IF(G95="","",EDATE($C$7,80))</f>
        <v/>
      </c>
      <c r="C95" s="12" t="str">
        <f t="shared" si="11"/>
        <v/>
      </c>
      <c r="D95" s="12" t="str">
        <f t="shared" si="12"/>
        <v/>
      </c>
      <c r="E95" s="12" t="str">
        <f t="shared" si="13"/>
        <v/>
      </c>
      <c r="F95" s="12" t="str">
        <f t="shared" si="10"/>
        <v/>
      </c>
      <c r="G95" s="12" t="str">
        <f t="shared" si="14"/>
        <v/>
      </c>
    </row>
    <row r="96" spans="1:7" x14ac:dyDescent="0.3">
      <c r="A96" s="13">
        <v>82</v>
      </c>
      <c r="B96" s="14" t="str">
        <f>IF(G96="","",EDATE($C$7,81))</f>
        <v/>
      </c>
      <c r="C96" s="15" t="str">
        <f t="shared" si="11"/>
        <v/>
      </c>
      <c r="D96" s="15" t="str">
        <f t="shared" si="12"/>
        <v/>
      </c>
      <c r="E96" s="15" t="str">
        <f t="shared" si="13"/>
        <v/>
      </c>
      <c r="F96" s="15" t="str">
        <f t="shared" si="10"/>
        <v/>
      </c>
      <c r="G96" s="15" t="str">
        <f t="shared" si="14"/>
        <v/>
      </c>
    </row>
    <row r="97" spans="1:7" x14ac:dyDescent="0.3">
      <c r="A97" s="10">
        <v>83</v>
      </c>
      <c r="B97" s="11" t="str">
        <f>IF(G97="","",EDATE($C$7,82))</f>
        <v/>
      </c>
      <c r="C97" s="12" t="str">
        <f t="shared" si="11"/>
        <v/>
      </c>
      <c r="D97" s="12" t="str">
        <f t="shared" si="12"/>
        <v/>
      </c>
      <c r="E97" s="12" t="str">
        <f t="shared" si="13"/>
        <v/>
      </c>
      <c r="F97" s="12" t="str">
        <f t="shared" si="10"/>
        <v/>
      </c>
      <c r="G97" s="12" t="str">
        <f t="shared" si="14"/>
        <v/>
      </c>
    </row>
    <row r="98" spans="1:7" x14ac:dyDescent="0.3">
      <c r="A98" s="13">
        <v>84</v>
      </c>
      <c r="B98" s="14" t="str">
        <f>IF(G98="","",EDATE($C$7,83))</f>
        <v/>
      </c>
      <c r="C98" s="15" t="str">
        <f t="shared" si="11"/>
        <v/>
      </c>
      <c r="D98" s="15" t="str">
        <f t="shared" si="12"/>
        <v/>
      </c>
      <c r="E98" s="15" t="str">
        <f t="shared" si="13"/>
        <v/>
      </c>
      <c r="F98" s="15" t="str">
        <f t="shared" si="10"/>
        <v/>
      </c>
      <c r="G98" s="15" t="str">
        <f t="shared" si="14"/>
        <v/>
      </c>
    </row>
    <row r="99" spans="1:7" x14ac:dyDescent="0.3">
      <c r="A99" s="10">
        <v>85</v>
      </c>
      <c r="B99" s="11" t="str">
        <f>IF(G99="","",EDATE($C$7,84))</f>
        <v/>
      </c>
      <c r="C99" s="12" t="str">
        <f t="shared" si="11"/>
        <v/>
      </c>
      <c r="D99" s="12" t="str">
        <f t="shared" si="12"/>
        <v/>
      </c>
      <c r="E99" s="12" t="str">
        <f t="shared" si="13"/>
        <v/>
      </c>
      <c r="F99" s="12" t="str">
        <f t="shared" si="10"/>
        <v/>
      </c>
      <c r="G99" s="12" t="str">
        <f t="shared" si="14"/>
        <v/>
      </c>
    </row>
    <row r="100" spans="1:7" x14ac:dyDescent="0.3">
      <c r="A100" s="13">
        <v>86</v>
      </c>
      <c r="B100" s="14" t="str">
        <f>IF(G100="","",EDATE($C$7,85))</f>
        <v/>
      </c>
      <c r="C100" s="15" t="str">
        <f t="shared" si="11"/>
        <v/>
      </c>
      <c r="D100" s="15" t="str">
        <f t="shared" si="12"/>
        <v/>
      </c>
      <c r="E100" s="15" t="str">
        <f t="shared" si="13"/>
        <v/>
      </c>
      <c r="F100" s="15" t="str">
        <f t="shared" si="10"/>
        <v/>
      </c>
      <c r="G100" s="15" t="str">
        <f t="shared" si="14"/>
        <v/>
      </c>
    </row>
    <row r="101" spans="1:7" x14ac:dyDescent="0.3">
      <c r="A101" s="10">
        <v>87</v>
      </c>
      <c r="B101" s="11" t="str">
        <f>IF(G101="","",EDATE($C$7,86))</f>
        <v/>
      </c>
      <c r="C101" s="12" t="str">
        <f t="shared" si="11"/>
        <v/>
      </c>
      <c r="D101" s="12" t="str">
        <f t="shared" si="12"/>
        <v/>
      </c>
      <c r="E101" s="12" t="str">
        <f t="shared" si="13"/>
        <v/>
      </c>
      <c r="F101" s="12" t="str">
        <f t="shared" si="10"/>
        <v/>
      </c>
      <c r="G101" s="12" t="str">
        <f t="shared" si="14"/>
        <v/>
      </c>
    </row>
    <row r="102" spans="1:7" x14ac:dyDescent="0.3">
      <c r="A102" s="13">
        <v>88</v>
      </c>
      <c r="B102" s="14" t="str">
        <f>IF(G102="","",EDATE($C$7,87))</f>
        <v/>
      </c>
      <c r="C102" s="15" t="str">
        <f t="shared" si="11"/>
        <v/>
      </c>
      <c r="D102" s="15" t="str">
        <f t="shared" si="12"/>
        <v/>
      </c>
      <c r="E102" s="15" t="str">
        <f t="shared" si="13"/>
        <v/>
      </c>
      <c r="F102" s="15" t="str">
        <f t="shared" si="10"/>
        <v/>
      </c>
      <c r="G102" s="15" t="str">
        <f t="shared" si="14"/>
        <v/>
      </c>
    </row>
    <row r="103" spans="1:7" x14ac:dyDescent="0.3">
      <c r="A103" s="10">
        <v>89</v>
      </c>
      <c r="B103" s="11" t="str">
        <f>IF(G103="","",EDATE($C$7,88))</f>
        <v/>
      </c>
      <c r="C103" s="12" t="str">
        <f t="shared" si="11"/>
        <v/>
      </c>
      <c r="D103" s="12" t="str">
        <f t="shared" si="12"/>
        <v/>
      </c>
      <c r="E103" s="12" t="str">
        <f t="shared" si="13"/>
        <v/>
      </c>
      <c r="F103" s="12" t="str">
        <f t="shared" si="10"/>
        <v/>
      </c>
      <c r="G103" s="12" t="str">
        <f t="shared" si="14"/>
        <v/>
      </c>
    </row>
    <row r="104" spans="1:7" x14ac:dyDescent="0.3">
      <c r="A104" s="13">
        <v>90</v>
      </c>
      <c r="B104" s="14" t="str">
        <f>IF(G104="","",EDATE($C$7,89))</f>
        <v/>
      </c>
      <c r="C104" s="15" t="str">
        <f t="shared" si="11"/>
        <v/>
      </c>
      <c r="D104" s="15" t="str">
        <f t="shared" si="12"/>
        <v/>
      </c>
      <c r="E104" s="15" t="str">
        <f t="shared" si="13"/>
        <v/>
      </c>
      <c r="F104" s="15" t="str">
        <f t="shared" si="10"/>
        <v/>
      </c>
      <c r="G104" s="15" t="str">
        <f t="shared" si="14"/>
        <v/>
      </c>
    </row>
    <row r="105" spans="1:7" x14ac:dyDescent="0.3">
      <c r="A105" s="10">
        <v>91</v>
      </c>
      <c r="B105" s="11" t="str">
        <f>IF(G105="","",EDATE($C$7,90))</f>
        <v/>
      </c>
      <c r="C105" s="12" t="str">
        <f t="shared" si="11"/>
        <v/>
      </c>
      <c r="D105" s="12" t="str">
        <f t="shared" si="12"/>
        <v/>
      </c>
      <c r="E105" s="12" t="str">
        <f t="shared" si="13"/>
        <v/>
      </c>
      <c r="F105" s="12" t="str">
        <f t="shared" si="10"/>
        <v/>
      </c>
      <c r="G105" s="12" t="str">
        <f t="shared" si="14"/>
        <v/>
      </c>
    </row>
    <row r="106" spans="1:7" x14ac:dyDescent="0.3">
      <c r="A106" s="13">
        <v>92</v>
      </c>
      <c r="B106" s="14" t="str">
        <f>IF(G106="","",EDATE($C$7,91))</f>
        <v/>
      </c>
      <c r="C106" s="15" t="str">
        <f t="shared" si="11"/>
        <v/>
      </c>
      <c r="D106" s="15" t="str">
        <f t="shared" si="12"/>
        <v/>
      </c>
      <c r="E106" s="15" t="str">
        <f t="shared" si="13"/>
        <v/>
      </c>
      <c r="F106" s="15" t="str">
        <f t="shared" si="10"/>
        <v/>
      </c>
      <c r="G106" s="15" t="str">
        <f t="shared" si="14"/>
        <v/>
      </c>
    </row>
    <row r="107" spans="1:7" x14ac:dyDescent="0.3">
      <c r="A107" s="10">
        <v>93</v>
      </c>
      <c r="B107" s="11" t="str">
        <f>IF(G107="","",EDATE($C$7,92))</f>
        <v/>
      </c>
      <c r="C107" s="12" t="str">
        <f t="shared" si="11"/>
        <v/>
      </c>
      <c r="D107" s="12" t="str">
        <f t="shared" si="12"/>
        <v/>
      </c>
      <c r="E107" s="12" t="str">
        <f t="shared" si="13"/>
        <v/>
      </c>
      <c r="F107" s="12" t="str">
        <f t="shared" si="10"/>
        <v/>
      </c>
      <c r="G107" s="12" t="str">
        <f t="shared" si="14"/>
        <v/>
      </c>
    </row>
    <row r="108" spans="1:7" x14ac:dyDescent="0.3">
      <c r="A108" s="13">
        <v>94</v>
      </c>
      <c r="B108" s="14" t="str">
        <f>IF(G108="","",EDATE($C$7,93))</f>
        <v/>
      </c>
      <c r="C108" s="15" t="str">
        <f t="shared" si="11"/>
        <v/>
      </c>
      <c r="D108" s="15" t="str">
        <f t="shared" si="12"/>
        <v/>
      </c>
      <c r="E108" s="15" t="str">
        <f t="shared" si="13"/>
        <v/>
      </c>
      <c r="F108" s="15" t="str">
        <f t="shared" si="10"/>
        <v/>
      </c>
      <c r="G108" s="15" t="str">
        <f t="shared" si="14"/>
        <v/>
      </c>
    </row>
    <row r="109" spans="1:7" x14ac:dyDescent="0.3">
      <c r="A109" s="10">
        <v>95</v>
      </c>
      <c r="B109" s="11" t="str">
        <f>IF(G109="","",EDATE($C$7,94))</f>
        <v/>
      </c>
      <c r="C109" s="12" t="str">
        <f t="shared" si="11"/>
        <v/>
      </c>
      <c r="D109" s="12" t="str">
        <f t="shared" si="12"/>
        <v/>
      </c>
      <c r="E109" s="12" t="str">
        <f t="shared" si="13"/>
        <v/>
      </c>
      <c r="F109" s="12" t="str">
        <f t="shared" si="10"/>
        <v/>
      </c>
      <c r="G109" s="12" t="str">
        <f t="shared" si="14"/>
        <v/>
      </c>
    </row>
    <row r="110" spans="1:7" x14ac:dyDescent="0.3">
      <c r="A110" s="13">
        <v>96</v>
      </c>
      <c r="B110" s="14" t="str">
        <f>IF(G110="","",EDATE($C$7,95))</f>
        <v/>
      </c>
      <c r="C110" s="15" t="str">
        <f t="shared" si="11"/>
        <v/>
      </c>
      <c r="D110" s="15" t="str">
        <f t="shared" si="12"/>
        <v/>
      </c>
      <c r="E110" s="15" t="str">
        <f t="shared" si="13"/>
        <v/>
      </c>
      <c r="F110" s="15" t="str">
        <f t="shared" si="10"/>
        <v/>
      </c>
      <c r="G110" s="15" t="str">
        <f t="shared" si="14"/>
        <v/>
      </c>
    </row>
    <row r="111" spans="1:7" x14ac:dyDescent="0.3">
      <c r="A111" s="10">
        <v>97</v>
      </c>
      <c r="B111" s="11" t="str">
        <f>IF(G111="","",EDATE($C$7,96))</f>
        <v/>
      </c>
      <c r="C111" s="12" t="str">
        <f t="shared" si="11"/>
        <v/>
      </c>
      <c r="D111" s="12" t="str">
        <f t="shared" si="12"/>
        <v/>
      </c>
      <c r="E111" s="12" t="str">
        <f t="shared" si="13"/>
        <v/>
      </c>
      <c r="F111" s="12" t="str">
        <f t="shared" ref="F111:F134" si="15">IF(C111="","",C111+D111+E111)</f>
        <v/>
      </c>
      <c r="G111" s="12" t="str">
        <f t="shared" si="14"/>
        <v/>
      </c>
    </row>
    <row r="112" spans="1:7" x14ac:dyDescent="0.3">
      <c r="A112" s="13">
        <v>98</v>
      </c>
      <c r="B112" s="14" t="str">
        <f>IF(G112="","",EDATE($C$7,97))</f>
        <v/>
      </c>
      <c r="C112" s="15" t="str">
        <f t="shared" ref="C112:C134" si="16">IF(OR(G111="",N(G111)&lt;=0),"",MIN(N(G111),ROUND($C$10-D112,2)))</f>
        <v/>
      </c>
      <c r="D112" s="15" t="str">
        <f t="shared" ref="D112:D134" si="17">IF(OR(G111="",N(G111)&lt;=0),"",ROUND(N(G111)*$C$5/12,2))</f>
        <v/>
      </c>
      <c r="E112" s="15" t="str">
        <f t="shared" ref="E112:E134" si="18">IF(OR(G111="",N(G111)&lt;=0),"",MIN(MAX(0,N(G111)-C112),$C$8))</f>
        <v/>
      </c>
      <c r="F112" s="15" t="str">
        <f t="shared" si="15"/>
        <v/>
      </c>
      <c r="G112" s="15" t="str">
        <f t="shared" ref="G112:G134" si="19">IF(OR(G111="",N(G111)&lt;=0),"",MAX(0,N(G111)-C112-E112))</f>
        <v/>
      </c>
    </row>
    <row r="113" spans="1:7" x14ac:dyDescent="0.3">
      <c r="A113" s="10">
        <v>99</v>
      </c>
      <c r="B113" s="11" t="str">
        <f>IF(G113="","",EDATE($C$7,98))</f>
        <v/>
      </c>
      <c r="C113" s="12" t="str">
        <f t="shared" si="16"/>
        <v/>
      </c>
      <c r="D113" s="12" t="str">
        <f t="shared" si="17"/>
        <v/>
      </c>
      <c r="E113" s="12" t="str">
        <f t="shared" si="18"/>
        <v/>
      </c>
      <c r="F113" s="12" t="str">
        <f t="shared" si="15"/>
        <v/>
      </c>
      <c r="G113" s="12" t="str">
        <f t="shared" si="19"/>
        <v/>
      </c>
    </row>
    <row r="114" spans="1:7" x14ac:dyDescent="0.3">
      <c r="A114" s="13">
        <v>100</v>
      </c>
      <c r="B114" s="14" t="str">
        <f>IF(G114="","",EDATE($C$7,99))</f>
        <v/>
      </c>
      <c r="C114" s="15" t="str">
        <f t="shared" si="16"/>
        <v/>
      </c>
      <c r="D114" s="15" t="str">
        <f t="shared" si="17"/>
        <v/>
      </c>
      <c r="E114" s="15" t="str">
        <f t="shared" si="18"/>
        <v/>
      </c>
      <c r="F114" s="15" t="str">
        <f t="shared" si="15"/>
        <v/>
      </c>
      <c r="G114" s="15" t="str">
        <f t="shared" si="19"/>
        <v/>
      </c>
    </row>
    <row r="115" spans="1:7" x14ac:dyDescent="0.3">
      <c r="A115" s="10">
        <v>101</v>
      </c>
      <c r="B115" s="11" t="str">
        <f>IF(G115="","",EDATE($C$7,100))</f>
        <v/>
      </c>
      <c r="C115" s="12" t="str">
        <f t="shared" si="16"/>
        <v/>
      </c>
      <c r="D115" s="12" t="str">
        <f t="shared" si="17"/>
        <v/>
      </c>
      <c r="E115" s="12" t="str">
        <f t="shared" si="18"/>
        <v/>
      </c>
      <c r="F115" s="12" t="str">
        <f t="shared" si="15"/>
        <v/>
      </c>
      <c r="G115" s="12" t="str">
        <f t="shared" si="19"/>
        <v/>
      </c>
    </row>
    <row r="116" spans="1:7" x14ac:dyDescent="0.3">
      <c r="A116" s="13">
        <v>102</v>
      </c>
      <c r="B116" s="14" t="str">
        <f>IF(G116="","",EDATE($C$7,101))</f>
        <v/>
      </c>
      <c r="C116" s="15" t="str">
        <f t="shared" si="16"/>
        <v/>
      </c>
      <c r="D116" s="15" t="str">
        <f t="shared" si="17"/>
        <v/>
      </c>
      <c r="E116" s="15" t="str">
        <f t="shared" si="18"/>
        <v/>
      </c>
      <c r="F116" s="15" t="str">
        <f t="shared" si="15"/>
        <v/>
      </c>
      <c r="G116" s="15" t="str">
        <f t="shared" si="19"/>
        <v/>
      </c>
    </row>
    <row r="117" spans="1:7" x14ac:dyDescent="0.3">
      <c r="A117" s="10">
        <v>103</v>
      </c>
      <c r="B117" s="11" t="str">
        <f>IF(G117="","",EDATE($C$7,102))</f>
        <v/>
      </c>
      <c r="C117" s="12" t="str">
        <f t="shared" si="16"/>
        <v/>
      </c>
      <c r="D117" s="12" t="str">
        <f t="shared" si="17"/>
        <v/>
      </c>
      <c r="E117" s="12" t="str">
        <f t="shared" si="18"/>
        <v/>
      </c>
      <c r="F117" s="12" t="str">
        <f t="shared" si="15"/>
        <v/>
      </c>
      <c r="G117" s="12" t="str">
        <f t="shared" si="19"/>
        <v/>
      </c>
    </row>
    <row r="118" spans="1:7" x14ac:dyDescent="0.3">
      <c r="A118" s="13">
        <v>104</v>
      </c>
      <c r="B118" s="14" t="str">
        <f>IF(G118="","",EDATE($C$7,103))</f>
        <v/>
      </c>
      <c r="C118" s="15" t="str">
        <f t="shared" si="16"/>
        <v/>
      </c>
      <c r="D118" s="15" t="str">
        <f t="shared" si="17"/>
        <v/>
      </c>
      <c r="E118" s="15" t="str">
        <f t="shared" si="18"/>
        <v/>
      </c>
      <c r="F118" s="15" t="str">
        <f t="shared" si="15"/>
        <v/>
      </c>
      <c r="G118" s="15" t="str">
        <f t="shared" si="19"/>
        <v/>
      </c>
    </row>
    <row r="119" spans="1:7" x14ac:dyDescent="0.3">
      <c r="A119" s="10">
        <v>105</v>
      </c>
      <c r="B119" s="11" t="str">
        <f>IF(G119="","",EDATE($C$7,104))</f>
        <v/>
      </c>
      <c r="C119" s="12" t="str">
        <f t="shared" si="16"/>
        <v/>
      </c>
      <c r="D119" s="12" t="str">
        <f t="shared" si="17"/>
        <v/>
      </c>
      <c r="E119" s="12" t="str">
        <f t="shared" si="18"/>
        <v/>
      </c>
      <c r="F119" s="12" t="str">
        <f t="shared" si="15"/>
        <v/>
      </c>
      <c r="G119" s="12" t="str">
        <f t="shared" si="19"/>
        <v/>
      </c>
    </row>
    <row r="120" spans="1:7" x14ac:dyDescent="0.3">
      <c r="A120" s="13">
        <v>106</v>
      </c>
      <c r="B120" s="14" t="str">
        <f>IF(G120="","",EDATE($C$7,105))</f>
        <v/>
      </c>
      <c r="C120" s="15" t="str">
        <f t="shared" si="16"/>
        <v/>
      </c>
      <c r="D120" s="15" t="str">
        <f t="shared" si="17"/>
        <v/>
      </c>
      <c r="E120" s="15" t="str">
        <f t="shared" si="18"/>
        <v/>
      </c>
      <c r="F120" s="15" t="str">
        <f t="shared" si="15"/>
        <v/>
      </c>
      <c r="G120" s="15" t="str">
        <f t="shared" si="19"/>
        <v/>
      </c>
    </row>
    <row r="121" spans="1:7" x14ac:dyDescent="0.3">
      <c r="A121" s="10">
        <v>107</v>
      </c>
      <c r="B121" s="11" t="str">
        <f>IF(G121="","",EDATE($C$7,106))</f>
        <v/>
      </c>
      <c r="C121" s="12" t="str">
        <f t="shared" si="16"/>
        <v/>
      </c>
      <c r="D121" s="12" t="str">
        <f t="shared" si="17"/>
        <v/>
      </c>
      <c r="E121" s="12" t="str">
        <f t="shared" si="18"/>
        <v/>
      </c>
      <c r="F121" s="12" t="str">
        <f t="shared" si="15"/>
        <v/>
      </c>
      <c r="G121" s="12" t="str">
        <f t="shared" si="19"/>
        <v/>
      </c>
    </row>
    <row r="122" spans="1:7" x14ac:dyDescent="0.3">
      <c r="A122" s="13">
        <v>108</v>
      </c>
      <c r="B122" s="14" t="str">
        <f>IF(G122="","",EDATE($C$7,107))</f>
        <v/>
      </c>
      <c r="C122" s="15" t="str">
        <f t="shared" si="16"/>
        <v/>
      </c>
      <c r="D122" s="15" t="str">
        <f t="shared" si="17"/>
        <v/>
      </c>
      <c r="E122" s="15" t="str">
        <f t="shared" si="18"/>
        <v/>
      </c>
      <c r="F122" s="15" t="str">
        <f t="shared" si="15"/>
        <v/>
      </c>
      <c r="G122" s="15" t="str">
        <f t="shared" si="19"/>
        <v/>
      </c>
    </row>
    <row r="123" spans="1:7" x14ac:dyDescent="0.3">
      <c r="A123" s="10">
        <v>109</v>
      </c>
      <c r="B123" s="11" t="str">
        <f>IF(G123="","",EDATE($C$7,108))</f>
        <v/>
      </c>
      <c r="C123" s="12" t="str">
        <f t="shared" si="16"/>
        <v/>
      </c>
      <c r="D123" s="12" t="str">
        <f t="shared" si="17"/>
        <v/>
      </c>
      <c r="E123" s="12" t="str">
        <f t="shared" si="18"/>
        <v/>
      </c>
      <c r="F123" s="12" t="str">
        <f t="shared" si="15"/>
        <v/>
      </c>
      <c r="G123" s="12" t="str">
        <f t="shared" si="19"/>
        <v/>
      </c>
    </row>
    <row r="124" spans="1:7" x14ac:dyDescent="0.3">
      <c r="A124" s="13">
        <v>110</v>
      </c>
      <c r="B124" s="14" t="str">
        <f>IF(G124="","",EDATE($C$7,109))</f>
        <v/>
      </c>
      <c r="C124" s="15" t="str">
        <f t="shared" si="16"/>
        <v/>
      </c>
      <c r="D124" s="15" t="str">
        <f t="shared" si="17"/>
        <v/>
      </c>
      <c r="E124" s="15" t="str">
        <f t="shared" si="18"/>
        <v/>
      </c>
      <c r="F124" s="15" t="str">
        <f t="shared" si="15"/>
        <v/>
      </c>
      <c r="G124" s="15" t="str">
        <f t="shared" si="19"/>
        <v/>
      </c>
    </row>
    <row r="125" spans="1:7" x14ac:dyDescent="0.3">
      <c r="A125" s="10">
        <v>111</v>
      </c>
      <c r="B125" s="11" t="str">
        <f>IF(G125="","",EDATE($C$7,110))</f>
        <v/>
      </c>
      <c r="C125" s="12" t="str">
        <f t="shared" si="16"/>
        <v/>
      </c>
      <c r="D125" s="12" t="str">
        <f t="shared" si="17"/>
        <v/>
      </c>
      <c r="E125" s="12" t="str">
        <f t="shared" si="18"/>
        <v/>
      </c>
      <c r="F125" s="12" t="str">
        <f t="shared" si="15"/>
        <v/>
      </c>
      <c r="G125" s="12" t="str">
        <f t="shared" si="19"/>
        <v/>
      </c>
    </row>
    <row r="126" spans="1:7" x14ac:dyDescent="0.3">
      <c r="A126" s="13">
        <v>112</v>
      </c>
      <c r="B126" s="14" t="str">
        <f>IF(G126="","",EDATE($C$7,111))</f>
        <v/>
      </c>
      <c r="C126" s="15" t="str">
        <f t="shared" si="16"/>
        <v/>
      </c>
      <c r="D126" s="15" t="str">
        <f t="shared" si="17"/>
        <v/>
      </c>
      <c r="E126" s="15" t="str">
        <f t="shared" si="18"/>
        <v/>
      </c>
      <c r="F126" s="15" t="str">
        <f t="shared" si="15"/>
        <v/>
      </c>
      <c r="G126" s="15" t="str">
        <f t="shared" si="19"/>
        <v/>
      </c>
    </row>
    <row r="127" spans="1:7" x14ac:dyDescent="0.3">
      <c r="A127" s="10">
        <v>113</v>
      </c>
      <c r="B127" s="11" t="str">
        <f>IF(G127="","",EDATE($C$7,112))</f>
        <v/>
      </c>
      <c r="C127" s="12" t="str">
        <f t="shared" si="16"/>
        <v/>
      </c>
      <c r="D127" s="12" t="str">
        <f t="shared" si="17"/>
        <v/>
      </c>
      <c r="E127" s="12" t="str">
        <f t="shared" si="18"/>
        <v/>
      </c>
      <c r="F127" s="12" t="str">
        <f t="shared" si="15"/>
        <v/>
      </c>
      <c r="G127" s="12" t="str">
        <f t="shared" si="19"/>
        <v/>
      </c>
    </row>
    <row r="128" spans="1:7" x14ac:dyDescent="0.3">
      <c r="A128" s="13">
        <v>114</v>
      </c>
      <c r="B128" s="14" t="str">
        <f>IF(G128="","",EDATE($C$7,113))</f>
        <v/>
      </c>
      <c r="C128" s="15" t="str">
        <f t="shared" si="16"/>
        <v/>
      </c>
      <c r="D128" s="15" t="str">
        <f t="shared" si="17"/>
        <v/>
      </c>
      <c r="E128" s="15" t="str">
        <f t="shared" si="18"/>
        <v/>
      </c>
      <c r="F128" s="15" t="str">
        <f t="shared" si="15"/>
        <v/>
      </c>
      <c r="G128" s="15" t="str">
        <f t="shared" si="19"/>
        <v/>
      </c>
    </row>
    <row r="129" spans="1:7" x14ac:dyDescent="0.3">
      <c r="A129" s="10">
        <v>115</v>
      </c>
      <c r="B129" s="11" t="str">
        <f>IF(G129="","",EDATE($C$7,114))</f>
        <v/>
      </c>
      <c r="C129" s="12" t="str">
        <f t="shared" si="16"/>
        <v/>
      </c>
      <c r="D129" s="12" t="str">
        <f t="shared" si="17"/>
        <v/>
      </c>
      <c r="E129" s="12" t="str">
        <f t="shared" si="18"/>
        <v/>
      </c>
      <c r="F129" s="12" t="str">
        <f t="shared" si="15"/>
        <v/>
      </c>
      <c r="G129" s="12" t="str">
        <f t="shared" si="19"/>
        <v/>
      </c>
    </row>
    <row r="130" spans="1:7" x14ac:dyDescent="0.3">
      <c r="A130" s="13">
        <v>116</v>
      </c>
      <c r="B130" s="14" t="str">
        <f>IF(G130="","",EDATE($C$7,115))</f>
        <v/>
      </c>
      <c r="C130" s="15" t="str">
        <f t="shared" si="16"/>
        <v/>
      </c>
      <c r="D130" s="15" t="str">
        <f t="shared" si="17"/>
        <v/>
      </c>
      <c r="E130" s="15" t="str">
        <f t="shared" si="18"/>
        <v/>
      </c>
      <c r="F130" s="15" t="str">
        <f t="shared" si="15"/>
        <v/>
      </c>
      <c r="G130" s="15" t="str">
        <f t="shared" si="19"/>
        <v/>
      </c>
    </row>
    <row r="131" spans="1:7" x14ac:dyDescent="0.3">
      <c r="A131" s="10">
        <v>117</v>
      </c>
      <c r="B131" s="11" t="str">
        <f>IF(G131="","",EDATE($C$7,116))</f>
        <v/>
      </c>
      <c r="C131" s="12" t="str">
        <f t="shared" si="16"/>
        <v/>
      </c>
      <c r="D131" s="12" t="str">
        <f t="shared" si="17"/>
        <v/>
      </c>
      <c r="E131" s="12" t="str">
        <f t="shared" si="18"/>
        <v/>
      </c>
      <c r="F131" s="12" t="str">
        <f t="shared" si="15"/>
        <v/>
      </c>
      <c r="G131" s="12" t="str">
        <f t="shared" si="19"/>
        <v/>
      </c>
    </row>
    <row r="132" spans="1:7" x14ac:dyDescent="0.3">
      <c r="A132" s="13">
        <v>118</v>
      </c>
      <c r="B132" s="14" t="str">
        <f>IF(G132="","",EDATE($C$7,117))</f>
        <v/>
      </c>
      <c r="C132" s="15" t="str">
        <f t="shared" si="16"/>
        <v/>
      </c>
      <c r="D132" s="15" t="str">
        <f t="shared" si="17"/>
        <v/>
      </c>
      <c r="E132" s="15" t="str">
        <f t="shared" si="18"/>
        <v/>
      </c>
      <c r="F132" s="15" t="str">
        <f t="shared" si="15"/>
        <v/>
      </c>
      <c r="G132" s="15" t="str">
        <f t="shared" si="19"/>
        <v/>
      </c>
    </row>
    <row r="133" spans="1:7" x14ac:dyDescent="0.3">
      <c r="A133" s="10">
        <v>119</v>
      </c>
      <c r="B133" s="11" t="str">
        <f>IF(G133="","",EDATE($C$7,118))</f>
        <v/>
      </c>
      <c r="C133" s="12" t="str">
        <f t="shared" si="16"/>
        <v/>
      </c>
      <c r="D133" s="12" t="str">
        <f t="shared" si="17"/>
        <v/>
      </c>
      <c r="E133" s="12" t="str">
        <f t="shared" si="18"/>
        <v/>
      </c>
      <c r="F133" s="12" t="str">
        <f t="shared" si="15"/>
        <v/>
      </c>
      <c r="G133" s="12" t="str">
        <f t="shared" si="19"/>
        <v/>
      </c>
    </row>
    <row r="134" spans="1:7" x14ac:dyDescent="0.3">
      <c r="A134" s="13">
        <v>120</v>
      </c>
      <c r="B134" s="14" t="str">
        <f>IF(G134="","",EDATE($C$7,119))</f>
        <v/>
      </c>
      <c r="C134" s="15" t="str">
        <f t="shared" si="16"/>
        <v/>
      </c>
      <c r="D134" s="15" t="str">
        <f t="shared" si="17"/>
        <v/>
      </c>
      <c r="E134" s="15" t="str">
        <f t="shared" si="18"/>
        <v/>
      </c>
      <c r="F134" s="15" t="str">
        <f t="shared" si="15"/>
        <v/>
      </c>
      <c r="G134" s="15" t="str">
        <f t="shared" si="19"/>
        <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showGridLines="0" workbookViewId="0">
      <selection sqref="A1:C1"/>
    </sheetView>
  </sheetViews>
  <sheetFormatPr defaultRowHeight="14.4" x14ac:dyDescent="0.3"/>
  <cols>
    <col min="1" max="1" width="40" customWidth="1"/>
    <col min="2" max="3" width="30" customWidth="1"/>
  </cols>
  <sheetData>
    <row r="1" spans="1:3" ht="25.95" customHeight="1" x14ac:dyDescent="0.3">
      <c r="A1" s="18" t="s">
        <v>24</v>
      </c>
      <c r="B1" s="17"/>
      <c r="C1" s="17"/>
    </row>
    <row r="2" spans="1:3" ht="15" customHeight="1" x14ac:dyDescent="0.3">
      <c r="A2" s="16" t="s">
        <v>25</v>
      </c>
      <c r="B2" s="17"/>
      <c r="C2" s="17"/>
    </row>
    <row r="4" spans="1:3" x14ac:dyDescent="0.3">
      <c r="A4" s="21" t="s">
        <v>26</v>
      </c>
      <c r="B4" s="20"/>
      <c r="C4" s="20"/>
    </row>
    <row r="5" spans="1:3" ht="34.049999999999997" customHeight="1" x14ac:dyDescent="0.3">
      <c r="A5" s="19" t="s">
        <v>27</v>
      </c>
      <c r="B5" s="20"/>
      <c r="C5" s="20"/>
    </row>
    <row r="7" spans="1:3" x14ac:dyDescent="0.3">
      <c r="A7" s="21" t="s">
        <v>28</v>
      </c>
      <c r="B7" s="20"/>
      <c r="C7" s="20"/>
    </row>
    <row r="8" spans="1:3" ht="34.049999999999997" customHeight="1" x14ac:dyDescent="0.3">
      <c r="A8" s="19" t="s">
        <v>29</v>
      </c>
      <c r="B8" s="20"/>
      <c r="C8" s="20"/>
    </row>
    <row r="10" spans="1:3" x14ac:dyDescent="0.3">
      <c r="A10" s="21" t="s">
        <v>30</v>
      </c>
      <c r="B10" s="20"/>
      <c r="C10" s="20"/>
    </row>
    <row r="11" spans="1:3" ht="42.3" customHeight="1" x14ac:dyDescent="0.3">
      <c r="A11" s="19" t="s">
        <v>31</v>
      </c>
      <c r="B11" s="20"/>
      <c r="C11" s="20"/>
    </row>
    <row r="13" spans="1:3" x14ac:dyDescent="0.3">
      <c r="A13" s="21" t="s">
        <v>32</v>
      </c>
      <c r="B13" s="20"/>
      <c r="C13" s="20"/>
    </row>
    <row r="14" spans="1:3" ht="42.3" customHeight="1" x14ac:dyDescent="0.3">
      <c r="A14" s="19" t="s">
        <v>33</v>
      </c>
      <c r="B14" s="20"/>
      <c r="C14" s="20"/>
    </row>
    <row r="16" spans="1:3" x14ac:dyDescent="0.3">
      <c r="A16" s="21" t="s">
        <v>34</v>
      </c>
      <c r="B16" s="20"/>
      <c r="C16" s="20"/>
    </row>
    <row r="17" spans="1:3" ht="42.3" customHeight="1" x14ac:dyDescent="0.3">
      <c r="A17" s="19" t="s">
        <v>35</v>
      </c>
      <c r="B17" s="20"/>
      <c r="C17" s="20"/>
    </row>
    <row r="19" spans="1:3" x14ac:dyDescent="0.3">
      <c r="A19" s="21" t="s">
        <v>36</v>
      </c>
      <c r="B19" s="20"/>
      <c r="C19" s="20"/>
    </row>
    <row r="20" spans="1:3" ht="34.049999999999997" customHeight="1" x14ac:dyDescent="0.3">
      <c r="A20" s="19" t="s">
        <v>37</v>
      </c>
      <c r="B20" s="20"/>
      <c r="C20" s="20"/>
    </row>
  </sheetData>
  <mergeCells count="14">
    <mergeCell ref="A1:C1"/>
    <mergeCell ref="A5:C5"/>
    <mergeCell ref="A16:C16"/>
    <mergeCell ref="A8:C8"/>
    <mergeCell ref="A14:C14"/>
    <mergeCell ref="A7:C7"/>
    <mergeCell ref="A4:C4"/>
    <mergeCell ref="A20:C20"/>
    <mergeCell ref="A2:C2"/>
    <mergeCell ref="A10:C10"/>
    <mergeCell ref="A13:C13"/>
    <mergeCell ref="A11:C11"/>
    <mergeCell ref="A19:C19"/>
    <mergeCell ref="A17:C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Waseem Ahmad Khan</cp:lastModifiedBy>
  <dcterms:created xsi:type="dcterms:W3CDTF">2026-07-23T18:22:56Z</dcterms:created>
  <dcterms:modified xsi:type="dcterms:W3CDTF">2026-08-19T06:16:55Z</dcterms:modified>
</cp:coreProperties>
</file>