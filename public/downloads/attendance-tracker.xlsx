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Read me" state="visible" r:id="rId4"/>
    <sheet sheetId="2" name="Codes" state="visible" r:id="rId5"/>
    <sheet sheetId="3" name="Attendance" state="visible" r:id="rId6"/>
    <sheet sheetId="4" name="Summary" state="visible" r:id="rId7"/>
  </sheets>
  <calcPr calcId="171027"/>
</workbook>
</file>

<file path=xl/sharedStrings.xml><?xml version="1.0" encoding="utf-8"?>
<sst xmlns="http://schemas.openxmlformats.org/spreadsheetml/2006/main" count="93" uniqueCount="61">
  <si>
    <t>How this workbook works</t>
  </si>
  <si>
    <t>Explore Excel  ·  exploreexcel.com</t>
  </si>
  <si>
    <t>What this is</t>
  </si>
  <si>
    <t>Attendance and leave tracker</t>
  </si>
  <si>
    <t>What this does</t>
  </si>
  <si>
    <t>Records daily attendance for a team across one month and totals every code automatically.</t>
  </si>
  <si>
    <t>Using it</t>
  </si>
  <si>
    <t>1. Set the month in the cream cell B3 on the Attendance sheet. Every column heading follows from it.</t>
  </si>
  <si>
    <t>2. Replace the names in column B with your team.</t>
  </si>
  <si>
    <t>3. Each day, pick a code from the dropdown. The totals on the right count themselves.</t>
  </si>
  <si>
    <t>4. The Summary sheet totals the whole team.</t>
  </si>
  <si>
    <t>The codes</t>
  </si>
  <si>
    <t>P present, V vacation, S sick, L late, R remote, U unpaid leave, X company holiday. Each one colours its own cell so a month reads at a glance.</t>
  </si>
  <si>
    <t>Why the dropdown matters</t>
  </si>
  <si>
    <t>A tracker breaks the moment someone types "p" one day and "Present" the next, because COUNTIF treats them as different values. The dropdown makes that impossible, which is why the whole grid carries one.</t>
  </si>
  <si>
    <t>Reading the colors</t>
  </si>
  <si>
    <t>Blue figures are yours to type over. Black figures are calculated — typing over one replaces the formula. Green shading is a heading or a total. This is the standard financial-modeling convention, so anyone in a finance or audit role will read it without being told.</t>
  </si>
  <si>
    <t>Codes</t>
  </si>
  <si>
    <t>Explore Excel  ·  exploreexcel.com  ·  The only values the grid accepts</t>
  </si>
  <si>
    <t>Code</t>
  </si>
  <si>
    <t>Meaning</t>
  </si>
  <si>
    <t>Counts towards</t>
  </si>
  <si>
    <t>P</t>
  </si>
  <si>
    <t>Present</t>
  </si>
  <si>
    <t>Working days</t>
  </si>
  <si>
    <t>V</t>
  </si>
  <si>
    <t>Vacation</t>
  </si>
  <si>
    <t>Paid time off entitlement</t>
  </si>
  <si>
    <t>S</t>
  </si>
  <si>
    <t>Sick</t>
  </si>
  <si>
    <t>Sickness absence</t>
  </si>
  <si>
    <t>L</t>
  </si>
  <si>
    <t>Late</t>
  </si>
  <si>
    <t>Working days, flagged</t>
  </si>
  <si>
    <t>R</t>
  </si>
  <si>
    <t>Remote</t>
  </si>
  <si>
    <t>U</t>
  </si>
  <si>
    <t>Unpaid leave</t>
  </si>
  <si>
    <t>Unpaid absence</t>
  </si>
  <si>
    <t>X</t>
  </si>
  <si>
    <t>Company holiday</t>
  </si>
  <si>
    <t>Not counted as absence</t>
  </si>
  <si>
    <t>Attendance and leave</t>
  </si>
  <si>
    <t>Explore Excel  ·  exploreexcel.com  ·  Set the month, then fill the grid from the dropdowns</t>
  </si>
  <si>
    <t>Month</t>
  </si>
  <si>
    <t>#</t>
  </si>
  <si>
    <t>Name</t>
  </si>
  <si>
    <t>Adams, R</t>
  </si>
  <si>
    <t>Brennan, T</t>
  </si>
  <si>
    <t>Fischer, L</t>
  </si>
  <si>
    <t>Okafor, J</t>
  </si>
  <si>
    <t>Pritchard, O</t>
  </si>
  <si>
    <t>Raman, P</t>
  </si>
  <si>
    <t>Whitfield, S</t>
  </si>
  <si>
    <t>Zhang, M</t>
  </si>
  <si>
    <t>Month summary</t>
  </si>
  <si>
    <t>Explore Excel  ·  exploreexcel.com  ·  Totals across the whole team</t>
  </si>
  <si>
    <t>Days</t>
  </si>
  <si>
    <t/>
  </si>
  <si>
    <t>Total entries</t>
  </si>
  <si>
    <t>Every code entered this month</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</si>
</sst>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2">
    <numFmt numFmtId="164" formatCode="mmmm yyyy"/>
    <numFmt numFmtId="165" formatCode="d"/>
  </numFmts>
  <fonts count="12" x14ac:knownFonts="1">
    <font>
      <color theme="1"/>
      <family val="2"/>
      <scheme val="minor"/>
      <sz val="11"/>
      <name val="Calibri"/>
    </font>
    <font>
      <b/>
      <color rgb="FFFFFFFF"/>
      <sz val="16"/>
      <name val="Arial"/>
    </font>
    <font>
      <color rgb="FFC6E4D9"/>
      <sz val="9"/>
      <name val="Arial"/>
    </font>
    <font>
      <b/>
      <color rgb="FF0A4A3A"/>
      <sz val="11"/>
      <name val="Arial"/>
    </font>
    <font>
      <color rgb="FF141414"/>
      <sz val="10"/>
      <name val="Arial"/>
    </font>
    <font>
      <b/>
      <color rgb="FFFFFFFF"/>
      <sz val="10"/>
      <name val="Arial"/>
    </font>
    <font>
      <b/>
      <color rgb="FF4A4A48"/>
      <sz val="9"/>
      <name val="Arial"/>
    </font>
    <font>
      <b/>
      <color rgb="FF0000FF"/>
      <sz val="11"/>
      <name val="Arial"/>
    </font>
    <font>
      <b/>
      <color rgb="FFFFFFFF"/>
      <sz val="8"/>
      <name val="Arial"/>
    </font>
    <font>
      <color rgb="FF0000FF"/>
      <sz val="10"/>
      <name val="Arial"/>
    </font>
    <font>
      <b/>
      <color rgb="FF141414"/>
      <sz val="9"/>
      <name val="Arial"/>
    </font>
    <font>
      <b/>
      <color rgb="FF0A4A3A"/>
      <sz val="10"/>
      <name val="Arial"/>
    </font>
  </fonts>
  <fills count="12">
    <fill>
      <patternFill patternType="none"/>
    </fill>
    <fill>
      <patternFill patternType="gray125"/>
    </fill>
    <fill>
      <patternFill patternType="solid">
        <fgColor rgb="FF0F6E56"/>
      </patternFill>
    </fill>
    <fill>
      <patternFill patternType="solid">
        <fgColor rgb="FF2E6E8E"/>
      </patternFill>
    </fill>
    <fill>
      <patternFill patternType="solid">
        <fgColor rgb="FFFAFAF8"/>
      </patternFill>
    </fill>
    <fill>
      <patternFill patternType="solid">
        <fgColor rgb="FF7A2020"/>
      </patternFill>
    </fill>
    <fill>
      <patternFill patternType="solid">
        <fgColor rgb="FF7A5410"/>
      </patternFill>
    </fill>
    <fill>
      <patternFill patternType="solid">
        <fgColor rgb="FF0A4A3A"/>
      </patternFill>
    </fill>
    <fill>
      <patternFill patternType="solid">
        <fgColor rgb="FF4A4A48"/>
      </patternFill>
    </fill>
    <fill>
      <patternFill patternType="solid">
        <fgColor rgb="FF6E6E6C"/>
      </patternFill>
    </fill>
    <fill>
      <patternFill patternType="solid">
        <fgColor rgb="FFFFFDF0"/>
      </patternFill>
    </fill>
    <fill>
      <patternFill patternType="solid">
        <fgColor rgb="FFE1F5EE"/>
      </patternFill>
    </fill>
  </fills>
  <borders count="2">
    <border>
      <left/>
      <right/>
      <top/>
      <bottom/>
      <diagonal/>
    </border>
    <border>
      <left style="thin">
        <color rgb="FFE4E4E0"/>
      </left>
      <right style="thin">
        <color rgb="FFE4E4E0"/>
      </right>
      <top style="thin">
        <color rgb="FFE4E4E0"/>
      </top>
      <bottom style="thin">
        <color rgb="FFE4E4E0"/>
      </bottom>
      <diagonal/>
    </border>
  </borders>
  <cellStyleXfs count="1">
    <xf numFmtId="0" fontId="0" fillId="0" borderId="0"/>
  </cellStyleXfs>
  <cellXfs count="25">
    <xf numFmtId="0" fontId="0" fillId="0" borderId="0" xfId="0"/>
    <xf numFmtId="0" fontId="1" fillId="2" borderId="0" xfId="0" applyFont="1" applyFill="1" applyAlignment="1">
      <alignment vertical="center"/>
    </xf>
    <xf numFmtId="0" fontId="2" fillId="2" borderId="0" xfId="0" applyFont="1" applyFill="1"/>
    <xf numFmtId="0" fontId="3" fillId="0" borderId="0" xfId="0" applyFont="1"/>
    <xf numFmtId="0" fontId="4" fillId="0" borderId="0" xfId="0" applyFont="1" applyAlignment="1">
      <alignment vertical="top" wrapText="1"/>
    </xf>
    <xf numFmtId="0" fontId="5" fillId="2" borderId="1" xfId="0" applyFont="1" applyFill="1" applyBorder="1" applyAlignment="1">
      <alignment horizontal="center" vertical="center" wrapText="1"/>
    </xf>
    <xf numFmtId="0" fontId="5" fillId="2" borderId="1" xfId="0" applyFont="1" applyFill="1" applyBorder="1" applyAlignment="1">
      <alignment horizontal="center"/>
    </xf>
    <xf numFmtId="0" fontId="4" fillId="0" borderId="1" xfId="0" applyFont="1" applyBorder="1"/>
    <xf numFmtId="0" fontId="5" fillId="3" borderId="1" xfId="0" applyFont="1" applyFill="1" applyBorder="1" applyAlignment="1">
      <alignment horizontal="center"/>
    </xf>
    <xf numFmtId="0" fontId="4" fillId="4" borderId="1" xfId="0" applyFont="1" applyFill="1" applyBorder="1"/>
    <xf numFmtId="0" fontId="5" fillId="5" borderId="1" xfId="0" applyFont="1" applyFill="1" applyBorder="1" applyAlignment="1">
      <alignment horizontal="center"/>
    </xf>
    <xf numFmtId="0" fontId="5" fillId="6" borderId="1" xfId="0" applyFont="1" applyFill="1" applyBorder="1" applyAlignment="1">
      <alignment horizontal="center"/>
    </xf>
    <xf numFmtId="0" fontId="5" fillId="7" borderId="1" xfId="0" applyFont="1" applyFill="1" applyBorder="1" applyAlignment="1">
      <alignment horizontal="center"/>
    </xf>
    <xf numFmtId="0" fontId="5" fillId="8" borderId="1" xfId="0" applyFont="1" applyFill="1" applyBorder="1" applyAlignment="1">
      <alignment horizontal="center"/>
    </xf>
    <xf numFmtId="0" fontId="5" fillId="9" borderId="1" xfId="0" applyFont="1" applyFill="1" applyBorder="1" applyAlignment="1">
      <alignment horizontal="center"/>
    </xf>
    <xf numFmtId="0" fontId="6" fillId="0" borderId="0" xfId="0" applyFont="1"/>
    <xf numFmtId="164" fontId="7" fillId="10" borderId="1" xfId="0" applyNumberFormat="1" applyFont="1" applyFill="1" applyBorder="1" applyAlignment="1">
      <alignment horizontal="left"/>
    </xf>
    <xf numFmtId="0" fontId="5" fillId="2" borderId="1" xfId="0" applyFont="1" applyFill="1" applyBorder="1" applyAlignment="1">
      <alignment horizontal="center" vertical="center"/>
    </xf>
    <xf numFmtId="165" fontId="8" fillId="2" borderId="1" xfId="0" applyNumberFormat="1" applyFont="1" applyFill="1" applyBorder="1" applyAlignment="1">
      <alignment horizontal="center"/>
    </xf>
    <xf numFmtId="0" fontId="4" fillId="0" borderId="1" xfId="0" applyFont="1" applyBorder="1" applyAlignment="1">
      <alignment horizontal="center"/>
    </xf>
    <xf numFmtId="0" fontId="9" fillId="10" borderId="1" xfId="0" applyFont="1" applyFill="1" applyBorder="1"/>
    <xf numFmtId="0" fontId="10" fillId="0" borderId="1" xfId="0" applyFont="1" applyBorder="1" applyAlignment="1">
      <alignment horizontal="center"/>
    </xf>
    <xf numFmtId="0" fontId="11" fillId="11" borderId="1" xfId="0" applyFont="1" applyFill="1" applyBorder="1" applyAlignment="1">
      <alignment horizontal="center"/>
    </xf>
    <xf numFmtId="0" fontId="4" fillId="4" borderId="1" xfId="0" applyFont="1" applyFill="1" applyBorder="1" applyAlignment="1">
      <alignment horizontal="center"/>
    </xf>
    <xf numFmtId="0" fontId="5" fillId="2" borderId="1" xfId="0" applyFont="1" applyFill="1" applyBorder="1"/>
  </cellXfs>
  <cellStyles count="1">
    <cellStyle name="Normal" xfId="0" builtinId="0"/>
  </cellStyles>
  <dxfs count="8">
    <dxf>
      <font>
        <b/>
        <color rgb="FFFFFFFF"/>
      </font>
      <fill>
        <patternFill patternType="solid">
          <bgColor rgb="FF0F6E56"/>
        </patternFill>
      </fill>
    </dxf>
    <dxf>
      <font>
        <b/>
        <color rgb="FFFFFFFF"/>
      </font>
      <fill>
        <patternFill patternType="solid">
          <bgColor rgb="FF2E6E8E"/>
        </patternFill>
      </fill>
    </dxf>
    <dxf>
      <font>
        <b/>
        <color rgb="FFFFFFFF"/>
      </font>
      <fill>
        <patternFill patternType="solid">
          <bgColor rgb="FF7A2020"/>
        </patternFill>
      </fill>
    </dxf>
    <dxf>
      <font>
        <b/>
        <color rgb="FFFFFFFF"/>
      </font>
      <fill>
        <patternFill patternType="solid">
          <bgColor rgb="FF7A5410"/>
        </patternFill>
      </fill>
    </dxf>
    <dxf>
      <font>
        <b/>
        <color rgb="FFFFFFFF"/>
      </font>
      <fill>
        <patternFill patternType="solid">
          <bgColor rgb="FF0A4A3A"/>
        </patternFill>
      </fill>
    </dxf>
    <dxf>
      <font>
        <b/>
        <color rgb="FFFFFFFF"/>
      </font>
      <fill>
        <patternFill patternType="solid">
          <bgColor rgb="FF4A4A48"/>
        </patternFill>
      </fill>
    </dxf>
    <dxf>
      <font>
        <b/>
        <color rgb="FFFFFFFF"/>
      </font>
      <fill>
        <patternFill patternType="solid">
          <bgColor rgb="FF6E6E6C"/>
        </patternFill>
      </fill>
    </dxf>
    <dxf>
      <fill>
        <patternFill patternType="solid">
          <bgColor rgb="FFFAFAF8"/>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4A48"/>
    <pageSetUpPr fitToPage="1"/>
  </sheetPr>
  <dimension ref="A1:A26"/>
  <sheetViews>
    <sheetView workbookViewId="0" showGridLines="0" zoomScale="100"/>
  </sheetViews>
  <sheetFormatPr defaultRowHeight="15" outlineLevelRow="0" outlineLevelCol="0" x14ac:dyDescent="55"/>
  <cols>
    <col min="1" max="1" width="104" customWidth="1"/>
  </cols>
  <sheetData>
    <row r="1" ht="25.5" customHeight="1" spans="1:1" x14ac:dyDescent="0.25">
      <c r="A1" s="1" t="s">
        <v>0</v>
      </c>
    </row>
    <row r="2" ht="15" customHeight="1" spans="1:1" x14ac:dyDescent="0.25">
      <c r="A2" s="2" t="s">
        <v>1</v>
      </c>
    </row>
    <row r="4" ht="15" customHeight="1" spans="1:1" x14ac:dyDescent="0.25">
      <c r="A4" s="3" t="s">
        <v>2</v>
      </c>
    </row>
    <row r="5" ht="16.75" customHeight="1" spans="1:1" x14ac:dyDescent="0.25">
      <c r="A5" s="4" t="s">
        <v>3</v>
      </c>
    </row>
    <row r="7" ht="15" customHeight="1" spans="1:1" x14ac:dyDescent="0.25">
      <c r="A7" s="3" t="s">
        <v>4</v>
      </c>
    </row>
    <row r="8" ht="16.75" customHeight="1" spans="1:1" x14ac:dyDescent="0.25">
      <c r="A8" s="4" t="s">
        <v>5</v>
      </c>
    </row>
    <row r="10" ht="15" customHeight="1" spans="1:1" x14ac:dyDescent="0.25">
      <c r="A10" s="3" t="s">
        <v>6</v>
      </c>
    </row>
    <row r="11" ht="29.5" customHeight="1" spans="1:1" x14ac:dyDescent="0.25">
      <c r="A11" s="4" t="s">
        <v>7</v>
      </c>
    </row>
    <row r="13" ht="16.75" customHeight="1" spans="1:1" x14ac:dyDescent="0.25">
      <c r="A13" s="4" t="s">
        <v>8</v>
      </c>
    </row>
    <row r="15" ht="16.75" customHeight="1" spans="1:1" x14ac:dyDescent="0.25">
      <c r="A15" s="4" t="s">
        <v>9</v>
      </c>
    </row>
    <row r="17" ht="16.75" customHeight="1" spans="1:1" x14ac:dyDescent="0.25">
      <c r="A17" s="4" t="s">
        <v>10</v>
      </c>
    </row>
    <row r="19" ht="15" customHeight="1" spans="1:1" x14ac:dyDescent="0.25">
      <c r="A19" s="3" t="s">
        <v>11</v>
      </c>
    </row>
    <row r="20" ht="29.5" customHeight="1" spans="1:1" x14ac:dyDescent="0.25">
      <c r="A20" s="4" t="s">
        <v>12</v>
      </c>
    </row>
    <row r="22" ht="15" customHeight="1" spans="1:1" x14ac:dyDescent="0.25">
      <c r="A22" s="3" t="s">
        <v>13</v>
      </c>
    </row>
    <row r="23" ht="42.25" customHeight="1" spans="1:1" x14ac:dyDescent="0.25">
      <c r="A23" s="4" t="s">
        <v>14</v>
      </c>
    </row>
    <row r="25" ht="15" customHeight="1" spans="1:1" x14ac:dyDescent="0.25">
      <c r="A25" s="3" t="s">
        <v>15</v>
      </c>
    </row>
    <row r="26" ht="42.25" customHeight="1" spans="1:1" x14ac:dyDescent="0.25">
      <c r="A26" s="4" t="s">
        <v>16</v>
      </c>
    </row>
  </sheetData>
  <printOptions horizontalCentered="1"/>
  <pageMargins left="0.4" right="0.4" top="0.6" bottom="0.6" header="0.3" footer="0.3"/>
  <pageSetup paperSize="1" orientation="portrait" fitToWidth="1" fitToHeight="0"/>
  <headerFooter>
    <oddFooter>&amp;L&amp;9Explore Excel&amp;R&amp;9Page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4A4A48"/>
    <pageSetUpPr fitToPage="1"/>
  </sheetPr>
  <dimension ref="A1:C11"/>
  <sheetViews>
    <sheetView workbookViewId="0" showGridLines="0" zoomScale="100">
      <pane ySplit="4" topLeftCell="A5" activePane="bottomLeft" state="frozen"/>
      <selection pane="bottomLeft"/>
    </sheetView>
  </sheetViews>
  <sheetFormatPr defaultRowHeight="15" outlineLevelRow="0" outlineLevelCol="0" x14ac:dyDescent="55"/>
  <cols>
    <col min="1" max="1" width="10" customWidth="1"/>
    <col min="2" max="2" width="28" customWidth="1"/>
    <col min="3" max="3" width="44" customWidth="1"/>
  </cols>
  <sheetData>
    <row r="1" ht="25.5" customHeight="1" spans="1:3" x14ac:dyDescent="0.25">
      <c r="A1" s="1" t="s">
        <v>17</v>
      </c>
      <c r="B1" s="1"/>
      <c r="C1" s="1"/>
    </row>
    <row r="2" ht="15" customHeight="1" spans="1:3" x14ac:dyDescent="0.25">
      <c r="A2" s="2" t="s">
        <v>18</v>
      </c>
      <c r="B2" s="2"/>
      <c r="C2" s="2"/>
    </row>
    <row r="4" ht="24" customHeight="1" spans="1:3" x14ac:dyDescent="0.25">
      <c r="A4" s="5" t="s">
        <v>19</v>
      </c>
      <c r="B4" s="5" t="s">
        <v>20</v>
      </c>
      <c r="C4" s="5" t="s">
        <v>21</v>
      </c>
    </row>
    <row r="5" spans="1:3" x14ac:dyDescent="0.25">
      <c r="A5" s="6" t="s">
        <v>22</v>
      </c>
      <c r="B5" s="7" t="s">
        <v>23</v>
      </c>
      <c r="C5" s="7" t="s">
        <v>24</v>
      </c>
    </row>
    <row r="6" spans="1:3" x14ac:dyDescent="0.25">
      <c r="A6" s="8" t="s">
        <v>25</v>
      </c>
      <c r="B6" s="9" t="s">
        <v>26</v>
      </c>
      <c r="C6" s="9" t="s">
        <v>27</v>
      </c>
    </row>
    <row r="7" spans="1:3" x14ac:dyDescent="0.25">
      <c r="A7" s="10" t="s">
        <v>28</v>
      </c>
      <c r="B7" s="7" t="s">
        <v>29</v>
      </c>
      <c r="C7" s="7" t="s">
        <v>30</v>
      </c>
    </row>
    <row r="8" spans="1:3" x14ac:dyDescent="0.25">
      <c r="A8" s="11" t="s">
        <v>31</v>
      </c>
      <c r="B8" s="9" t="s">
        <v>32</v>
      </c>
      <c r="C8" s="9" t="s">
        <v>33</v>
      </c>
    </row>
    <row r="9" spans="1:3" x14ac:dyDescent="0.25">
      <c r="A9" s="12" t="s">
        <v>34</v>
      </c>
      <c r="B9" s="7" t="s">
        <v>35</v>
      </c>
      <c r="C9" s="7" t="s">
        <v>24</v>
      </c>
    </row>
    <row r="10" spans="1:3" x14ac:dyDescent="0.25">
      <c r="A10" s="13" t="s">
        <v>36</v>
      </c>
      <c r="B10" s="9" t="s">
        <v>37</v>
      </c>
      <c r="C10" s="9" t="s">
        <v>38</v>
      </c>
    </row>
    <row r="11" spans="1:3" x14ac:dyDescent="0.25">
      <c r="A11" s="14" t="s">
        <v>39</v>
      </c>
      <c r="B11" s="7" t="s">
        <v>40</v>
      </c>
      <c r="C11" s="7" t="s">
        <v>41</v>
      </c>
    </row>
  </sheetData>
  <printOptions horizontalCentered="1"/>
  <pageMargins left="0.4" right="0.4" top="0.6" bottom="0.6" header="0.3" footer="0.3"/>
  <pageSetup paperSize="1" orientation="portrait" fitToWidth="1" fitToHeight="0"/>
  <headerFooter>
    <oddFooter>&amp;L&amp;9Explore Excel&amp;R&amp;9Page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F6E56"/>
    <pageSetUpPr fitToPage="1"/>
  </sheetPr>
  <dimension ref="A1:AN14"/>
  <sheetViews>
    <sheetView workbookViewId="0" showGridLines="0" zoomScale="100">
      <pane xSplit="2" ySplit="6" topLeftCell="C7" activePane="bottomRight" state="frozen"/>
      <selection pane="bottomRight"/>
    </sheetView>
  </sheetViews>
  <sheetFormatPr defaultRowHeight="15" outlineLevelRow="0" outlineLevelCol="0" x14ac:dyDescent="55"/>
  <cols>
    <col min="1" max="1" width="5" customWidth="1"/>
    <col min="2" max="2" width="22" customWidth="1"/>
    <col min="3" max="33" width="3.1" customWidth="1"/>
    <col min="34" max="40" width="5" customWidth="1"/>
  </cols>
  <sheetData>
    <row r="1" ht="25.5" customHeight="1" spans="1:10" x14ac:dyDescent="0.25">
      <c r="A1" s="1" t="s">
        <v>42</v>
      </c>
      <c r="B1" s="1"/>
      <c r="C1" s="1"/>
      <c r="D1" s="1"/>
      <c r="E1" s="1"/>
      <c r="F1" s="1"/>
      <c r="G1" s="1"/>
      <c r="H1" s="1"/>
      <c r="I1" s="1"/>
      <c r="J1" s="1"/>
    </row>
    <row r="2" ht="15" customHeight="1" spans="1:10" x14ac:dyDescent="0.25">
      <c r="A2" s="2" t="s">
        <v>43</v>
      </c>
      <c r="B2" s="2"/>
      <c r="C2" s="2"/>
      <c r="D2" s="2"/>
      <c r="E2" s="2"/>
      <c r="F2" s="2"/>
      <c r="G2" s="2"/>
      <c r="H2" s="2"/>
      <c r="I2" s="2"/>
      <c r="J2" s="2"/>
    </row>
    <row r="3" spans="1:2" x14ac:dyDescent="0.25">
      <c r="A3" s="15" t="s">
        <v>44</v>
      </c>
      <c r="B3" s="16">
        <v>46023</v>
      </c>
    </row>
    <row r="6" ht="26" customHeight="1" spans="1:40" x14ac:dyDescent="0.25">
      <c r="A6" s="17" t="s">
        <v>45</v>
      </c>
      <c r="B6" s="17" t="s">
        <v>46</v>
      </c>
      <c r="C6" s="18">
        <f>IF(MONTH($B$3+0)=MONTH($B$3),$B$3+0,"")</f>
      </c>
      <c r="D6" s="18">
        <f>IF(MONTH($B$3+1)=MONTH($B$3),$B$3+1,"")</f>
      </c>
      <c r="E6" s="18">
        <f>IF(MONTH($B$3+2)=MONTH($B$3),$B$3+2,"")</f>
      </c>
      <c r="F6" s="18">
        <f>IF(MONTH($B$3+3)=MONTH($B$3),$B$3+3,"")</f>
      </c>
      <c r="G6" s="18">
        <f>IF(MONTH($B$3+4)=MONTH($B$3),$B$3+4,"")</f>
      </c>
      <c r="H6" s="18">
        <f>IF(MONTH($B$3+5)=MONTH($B$3),$B$3+5,"")</f>
      </c>
      <c r="I6" s="18">
        <f>IF(MONTH($B$3+6)=MONTH($B$3),$B$3+6,"")</f>
      </c>
      <c r="J6" s="18">
        <f>IF(MONTH($B$3+7)=MONTH($B$3),$B$3+7,"")</f>
      </c>
      <c r="K6" s="18">
        <f>IF(MONTH($B$3+8)=MONTH($B$3),$B$3+8,"")</f>
      </c>
      <c r="L6" s="18">
        <f>IF(MONTH($B$3+9)=MONTH($B$3),$B$3+9,"")</f>
      </c>
      <c r="M6" s="18">
        <f>IF(MONTH($B$3+10)=MONTH($B$3),$B$3+10,"")</f>
      </c>
      <c r="N6" s="18">
        <f>IF(MONTH($B$3+11)=MONTH($B$3),$B$3+11,"")</f>
      </c>
      <c r="O6" s="18">
        <f>IF(MONTH($B$3+12)=MONTH($B$3),$B$3+12,"")</f>
      </c>
      <c r="P6" s="18">
        <f>IF(MONTH($B$3+13)=MONTH($B$3),$B$3+13,"")</f>
      </c>
      <c r="Q6" s="18">
        <f>IF(MONTH($B$3+14)=MONTH($B$3),$B$3+14,"")</f>
      </c>
      <c r="R6" s="18">
        <f>IF(MONTH($B$3+15)=MONTH($B$3),$B$3+15,"")</f>
      </c>
      <c r="S6" s="18">
        <f>IF(MONTH($B$3+16)=MONTH($B$3),$B$3+16,"")</f>
      </c>
      <c r="T6" s="18">
        <f>IF(MONTH($B$3+17)=MONTH($B$3),$B$3+17,"")</f>
      </c>
      <c r="U6" s="18">
        <f>IF(MONTH($B$3+18)=MONTH($B$3),$B$3+18,"")</f>
      </c>
      <c r="V6" s="18">
        <f>IF(MONTH($B$3+19)=MONTH($B$3),$B$3+19,"")</f>
      </c>
      <c r="W6" s="18">
        <f>IF(MONTH($B$3+20)=MONTH($B$3),$B$3+20,"")</f>
      </c>
      <c r="X6" s="18">
        <f>IF(MONTH($B$3+21)=MONTH($B$3),$B$3+21,"")</f>
      </c>
      <c r="Y6" s="18">
        <f>IF(MONTH($B$3+22)=MONTH($B$3),$B$3+22,"")</f>
      </c>
      <c r="Z6" s="18">
        <f>IF(MONTH($B$3+23)=MONTH($B$3),$B$3+23,"")</f>
      </c>
      <c r="AA6" s="18">
        <f>IF(MONTH($B$3+24)=MONTH($B$3),$B$3+24,"")</f>
      </c>
      <c r="AB6" s="18">
        <f>IF(MONTH($B$3+25)=MONTH($B$3),$B$3+25,"")</f>
      </c>
      <c r="AC6" s="18">
        <f>IF(MONTH($B$3+26)=MONTH($B$3),$B$3+26,"")</f>
      </c>
      <c r="AD6" s="18">
        <f>IF(MONTH($B$3+27)=MONTH($B$3),$B$3+27,"")</f>
      </c>
      <c r="AE6" s="18">
        <f>IF(MONTH($B$3+28)=MONTH($B$3),$B$3+28,"")</f>
      </c>
      <c r="AF6" s="18">
        <f>IF(MONTH($B$3+29)=MONTH($B$3),$B$3+29,"")</f>
      </c>
      <c r="AG6" s="18">
        <f>IF(MONTH($B$3+30)=MONTH($B$3),$B$3+30,"")</f>
      </c>
      <c r="AH6" s="6" t="s">
        <v>22</v>
      </c>
      <c r="AI6" s="8" t="s">
        <v>25</v>
      </c>
      <c r="AJ6" s="10" t="s">
        <v>28</v>
      </c>
      <c r="AK6" s="11" t="s">
        <v>31</v>
      </c>
      <c r="AL6" s="12" t="s">
        <v>34</v>
      </c>
      <c r="AM6" s="13" t="s">
        <v>36</v>
      </c>
      <c r="AN6" s="14" t="s">
        <v>39</v>
      </c>
    </row>
    <row r="7" spans="1:40" x14ac:dyDescent="0.25">
      <c r="A7" s="19">
        <v>1</v>
      </c>
      <c r="B7" s="20" t="s">
        <v>47</v>
      </c>
      <c r="C7" s="21"/>
      <c r="D7" s="21"/>
      <c r="E7" s="21"/>
      <c r="F7" s="21"/>
      <c r="G7" s="21"/>
      <c r="H7" s="21"/>
      <c r="I7" s="21"/>
      <c r="J7" s="21"/>
      <c r="K7" s="21"/>
      <c r="L7" s="21"/>
      <c r="M7" s="21"/>
      <c r="N7" s="21"/>
      <c r="O7" s="21"/>
      <c r="P7" s="21"/>
      <c r="Q7" s="21"/>
      <c r="R7" s="21"/>
      <c r="S7" s="21"/>
      <c r="T7" s="21"/>
      <c r="U7" s="21"/>
      <c r="V7" s="21"/>
      <c r="W7" s="21"/>
      <c r="X7" s="21"/>
      <c r="Y7" s="21"/>
      <c r="Z7" s="21"/>
      <c r="AA7" s="21"/>
      <c r="AB7" s="21"/>
      <c r="AC7" s="21"/>
      <c r="AD7" s="21"/>
      <c r="AE7" s="21"/>
      <c r="AF7" s="21"/>
      <c r="AG7" s="21"/>
      <c r="AH7" s="22">
        <f>COUNTIF($C7:$AG7,"P")</f>
      </c>
      <c r="AI7" s="22">
        <f>COUNTIF($C7:$AG7,"V")</f>
      </c>
      <c r="AJ7" s="22">
        <f>COUNTIF($C7:$AG7,"S")</f>
      </c>
      <c r="AK7" s="22">
        <f>COUNTIF($C7:$AG7,"L")</f>
      </c>
      <c r="AL7" s="22">
        <f>COUNTIF($C7:$AG7,"R")</f>
      </c>
      <c r="AM7" s="22">
        <f>COUNTIF($C7:$AG7,"U")</f>
      </c>
      <c r="AN7" s="22">
        <f>COUNTIF($C7:$AG7,"X")</f>
      </c>
    </row>
    <row r="8" spans="1:40" x14ac:dyDescent="0.25">
      <c r="A8" s="19">
        <v>2</v>
      </c>
      <c r="B8" s="20" t="s">
        <v>48</v>
      </c>
      <c r="C8" s="21"/>
      <c r="D8" s="21"/>
      <c r="E8" s="21"/>
      <c r="F8" s="21"/>
      <c r="G8" s="21"/>
      <c r="H8" s="21"/>
      <c r="I8" s="21"/>
      <c r="J8" s="21"/>
      <c r="K8" s="21"/>
      <c r="L8" s="21"/>
      <c r="M8" s="21"/>
      <c r="N8" s="21"/>
      <c r="O8" s="21"/>
      <c r="P8" s="21"/>
      <c r="Q8" s="21"/>
      <c r="R8" s="21"/>
      <c r="S8" s="21"/>
      <c r="T8" s="21"/>
      <c r="U8" s="21"/>
      <c r="V8" s="21"/>
      <c r="W8" s="21"/>
      <c r="X8" s="21"/>
      <c r="Y8" s="21"/>
      <c r="Z8" s="21"/>
      <c r="AA8" s="21"/>
      <c r="AB8" s="21"/>
      <c r="AC8" s="21"/>
      <c r="AD8" s="21"/>
      <c r="AE8" s="21"/>
      <c r="AF8" s="21"/>
      <c r="AG8" s="21"/>
      <c r="AH8" s="22">
        <f>COUNTIF($C8:$AG8,"P")</f>
      </c>
      <c r="AI8" s="22">
        <f>COUNTIF($C8:$AG8,"V")</f>
      </c>
      <c r="AJ8" s="22">
        <f>COUNTIF($C8:$AG8,"S")</f>
      </c>
      <c r="AK8" s="22">
        <f>COUNTIF($C8:$AG8,"L")</f>
      </c>
      <c r="AL8" s="22">
        <f>COUNTIF($C8:$AG8,"R")</f>
      </c>
      <c r="AM8" s="22">
        <f>COUNTIF($C8:$AG8,"U")</f>
      </c>
      <c r="AN8" s="22">
        <f>COUNTIF($C8:$AG8,"X")</f>
      </c>
    </row>
    <row r="9" spans="1:40" x14ac:dyDescent="0.25">
      <c r="A9" s="19">
        <v>3</v>
      </c>
      <c r="B9" s="20" t="s">
        <v>49</v>
      </c>
      <c r="C9" s="21"/>
      <c r="D9" s="21"/>
      <c r="E9" s="21"/>
      <c r="F9" s="21"/>
      <c r="G9" s="21"/>
      <c r="H9" s="21"/>
      <c r="I9" s="21"/>
      <c r="J9" s="21"/>
      <c r="K9" s="21"/>
      <c r="L9" s="21"/>
      <c r="M9" s="21"/>
      <c r="N9" s="21"/>
      <c r="O9" s="21"/>
      <c r="P9" s="21"/>
      <c r="Q9" s="21"/>
      <c r="R9" s="21"/>
      <c r="S9" s="21"/>
      <c r="T9" s="21"/>
      <c r="U9" s="21"/>
      <c r="V9" s="21"/>
      <c r="W9" s="21"/>
      <c r="X9" s="21"/>
      <c r="Y9" s="21"/>
      <c r="Z9" s="21"/>
      <c r="AA9" s="21"/>
      <c r="AB9" s="21"/>
      <c r="AC9" s="21"/>
      <c r="AD9" s="21"/>
      <c r="AE9" s="21"/>
      <c r="AF9" s="21"/>
      <c r="AG9" s="21"/>
      <c r="AH9" s="22">
        <f>COUNTIF($C9:$AG9,"P")</f>
      </c>
      <c r="AI9" s="22">
        <f>COUNTIF($C9:$AG9,"V")</f>
      </c>
      <c r="AJ9" s="22">
        <f>COUNTIF($C9:$AG9,"S")</f>
      </c>
      <c r="AK9" s="22">
        <f>COUNTIF($C9:$AG9,"L")</f>
      </c>
      <c r="AL9" s="22">
        <f>COUNTIF($C9:$AG9,"R")</f>
      </c>
      <c r="AM9" s="22">
        <f>COUNTIF($C9:$AG9,"U")</f>
      </c>
      <c r="AN9" s="22">
        <f>COUNTIF($C9:$AG9,"X")</f>
      </c>
    </row>
    <row r="10" spans="1:40" x14ac:dyDescent="0.25">
      <c r="A10" s="19">
        <v>4</v>
      </c>
      <c r="B10" s="20" t="s">
        <v>50</v>
      </c>
      <c r="C10" s="21"/>
      <c r="D10" s="21"/>
      <c r="E10" s="21"/>
      <c r="F10" s="21"/>
      <c r="G10" s="21"/>
      <c r="H10" s="21"/>
      <c r="I10" s="21"/>
      <c r="J10" s="21"/>
      <c r="K10" s="21"/>
      <c r="L10" s="21"/>
      <c r="M10" s="21"/>
      <c r="N10" s="21"/>
      <c r="O10" s="21"/>
      <c r="P10" s="21"/>
      <c r="Q10" s="21"/>
      <c r="R10" s="21"/>
      <c r="S10" s="21"/>
      <c r="T10" s="21"/>
      <c r="U10" s="21"/>
      <c r="V10" s="21"/>
      <c r="W10" s="21"/>
      <c r="X10" s="21"/>
      <c r="Y10" s="21"/>
      <c r="Z10" s="21"/>
      <c r="AA10" s="21"/>
      <c r="AB10" s="21"/>
      <c r="AC10" s="21"/>
      <c r="AD10" s="21"/>
      <c r="AE10" s="21"/>
      <c r="AF10" s="21"/>
      <c r="AG10" s="21"/>
      <c r="AH10" s="22">
        <f>COUNTIF($C10:$AG10,"P")</f>
      </c>
      <c r="AI10" s="22">
        <f>COUNTIF($C10:$AG10,"V")</f>
      </c>
      <c r="AJ10" s="22">
        <f>COUNTIF($C10:$AG10,"S")</f>
      </c>
      <c r="AK10" s="22">
        <f>COUNTIF($C10:$AG10,"L")</f>
      </c>
      <c r="AL10" s="22">
        <f>COUNTIF($C10:$AG10,"R")</f>
      </c>
      <c r="AM10" s="22">
        <f>COUNTIF($C10:$AG10,"U")</f>
      </c>
      <c r="AN10" s="22">
        <f>COUNTIF($C10:$AG10,"X")</f>
      </c>
    </row>
    <row r="11" spans="1:40" x14ac:dyDescent="0.25">
      <c r="A11" s="19">
        <v>5</v>
      </c>
      <c r="B11" s="20" t="s">
        <v>51</v>
      </c>
      <c r="C11" s="21"/>
      <c r="D11" s="21"/>
      <c r="E11" s="21"/>
      <c r="F11" s="21"/>
      <c r="G11" s="21"/>
      <c r="H11" s="21"/>
      <c r="I11" s="21"/>
      <c r="J11" s="21"/>
      <c r="K11" s="21"/>
      <c r="L11" s="21"/>
      <c r="M11" s="21"/>
      <c r="N11" s="21"/>
      <c r="O11" s="21"/>
      <c r="P11" s="21"/>
      <c r="Q11" s="21"/>
      <c r="R11" s="21"/>
      <c r="S11" s="21"/>
      <c r="T11" s="21"/>
      <c r="U11" s="21"/>
      <c r="V11" s="21"/>
      <c r="W11" s="21"/>
      <c r="X11" s="21"/>
      <c r="Y11" s="21"/>
      <c r="Z11" s="21"/>
      <c r="AA11" s="21"/>
      <c r="AB11" s="21"/>
      <c r="AC11" s="21"/>
      <c r="AD11" s="21"/>
      <c r="AE11" s="21"/>
      <c r="AF11" s="21"/>
      <c r="AG11" s="21"/>
      <c r="AH11" s="22">
        <f>COUNTIF($C11:$AG11,"P")</f>
      </c>
      <c r="AI11" s="22">
        <f>COUNTIF($C11:$AG11,"V")</f>
      </c>
      <c r="AJ11" s="22">
        <f>COUNTIF($C11:$AG11,"S")</f>
      </c>
      <c r="AK11" s="22">
        <f>COUNTIF($C11:$AG11,"L")</f>
      </c>
      <c r="AL11" s="22">
        <f>COUNTIF($C11:$AG11,"R")</f>
      </c>
      <c r="AM11" s="22">
        <f>COUNTIF($C11:$AG11,"U")</f>
      </c>
      <c r="AN11" s="22">
        <f>COUNTIF($C11:$AG11,"X")</f>
      </c>
    </row>
    <row r="12" spans="1:40" x14ac:dyDescent="0.25">
      <c r="A12" s="19">
        <v>6</v>
      </c>
      <c r="B12" s="20" t="s">
        <v>52</v>
      </c>
      <c r="C12" s="21"/>
      <c r="D12" s="21"/>
      <c r="E12" s="21"/>
      <c r="F12" s="21"/>
      <c r="G12" s="21"/>
      <c r="H12" s="21"/>
      <c r="I12" s="21"/>
      <c r="J12" s="21"/>
      <c r="K12" s="21"/>
      <c r="L12" s="21"/>
      <c r="M12" s="21"/>
      <c r="N12" s="21"/>
      <c r="O12" s="21"/>
      <c r="P12" s="21"/>
      <c r="Q12" s="21"/>
      <c r="R12" s="21"/>
      <c r="S12" s="21"/>
      <c r="T12" s="21"/>
      <c r="U12" s="21"/>
      <c r="V12" s="21"/>
      <c r="W12" s="21"/>
      <c r="X12" s="21"/>
      <c r="Y12" s="21"/>
      <c r="Z12" s="21"/>
      <c r="AA12" s="21"/>
      <c r="AB12" s="21"/>
      <c r="AC12" s="21"/>
      <c r="AD12" s="21"/>
      <c r="AE12" s="21"/>
      <c r="AF12" s="21"/>
      <c r="AG12" s="21"/>
      <c r="AH12" s="22">
        <f>COUNTIF($C12:$AG12,"P")</f>
      </c>
      <c r="AI12" s="22">
        <f>COUNTIF($C12:$AG12,"V")</f>
      </c>
      <c r="AJ12" s="22">
        <f>COUNTIF($C12:$AG12,"S")</f>
      </c>
      <c r="AK12" s="22">
        <f>COUNTIF($C12:$AG12,"L")</f>
      </c>
      <c r="AL12" s="22">
        <f>COUNTIF($C12:$AG12,"R")</f>
      </c>
      <c r="AM12" s="22">
        <f>COUNTIF($C12:$AG12,"U")</f>
      </c>
      <c r="AN12" s="22">
        <f>COUNTIF($C12:$AG12,"X")</f>
      </c>
    </row>
    <row r="13" spans="1:40" x14ac:dyDescent="0.25">
      <c r="A13" s="19">
        <v>7</v>
      </c>
      <c r="B13" s="20" t="s">
        <v>53</v>
      </c>
      <c r="C13" s="21"/>
      <c r="D13" s="21"/>
      <c r="E13" s="21"/>
      <c r="F13" s="21"/>
      <c r="G13" s="21"/>
      <c r="H13" s="21"/>
      <c r="I13" s="21"/>
      <c r="J13" s="21"/>
      <c r="K13" s="21"/>
      <c r="L13" s="21"/>
      <c r="M13" s="21"/>
      <c r="N13" s="21"/>
      <c r="O13" s="21"/>
      <c r="P13" s="21"/>
      <c r="Q13" s="21"/>
      <c r="R13" s="21"/>
      <c r="S13" s="21"/>
      <c r="T13" s="21"/>
      <c r="U13" s="21"/>
      <c r="V13" s="21"/>
      <c r="W13" s="21"/>
      <c r="X13" s="21"/>
      <c r="Y13" s="21"/>
      <c r="Z13" s="21"/>
      <c r="AA13" s="21"/>
      <c r="AB13" s="21"/>
      <c r="AC13" s="21"/>
      <c r="AD13" s="21"/>
      <c r="AE13" s="21"/>
      <c r="AF13" s="21"/>
      <c r="AG13" s="21"/>
      <c r="AH13" s="22">
        <f>COUNTIF($C13:$AG13,"P")</f>
      </c>
      <c r="AI13" s="22">
        <f>COUNTIF($C13:$AG13,"V")</f>
      </c>
      <c r="AJ13" s="22">
        <f>COUNTIF($C13:$AG13,"S")</f>
      </c>
      <c r="AK13" s="22">
        <f>COUNTIF($C13:$AG13,"L")</f>
      </c>
      <c r="AL13" s="22">
        <f>COUNTIF($C13:$AG13,"R")</f>
      </c>
      <c r="AM13" s="22">
        <f>COUNTIF($C13:$AG13,"U")</f>
      </c>
      <c r="AN13" s="22">
        <f>COUNTIF($C13:$AG13,"X")</f>
      </c>
    </row>
    <row r="14" spans="1:40" x14ac:dyDescent="0.25">
      <c r="A14" s="19">
        <v>8</v>
      </c>
      <c r="B14" s="20" t="s">
        <v>54</v>
      </c>
      <c r="C14" s="21"/>
      <c r="D14" s="21"/>
      <c r="E14" s="21"/>
      <c r="F14" s="21"/>
      <c r="G14" s="21"/>
      <c r="H14" s="21"/>
      <c r="I14" s="21"/>
      <c r="J14" s="21"/>
      <c r="K14" s="21"/>
      <c r="L14" s="21"/>
      <c r="M14" s="21"/>
      <c r="N14" s="21"/>
      <c r="O14" s="21"/>
      <c r="P14" s="21"/>
      <c r="Q14" s="21"/>
      <c r="R14" s="21"/>
      <c r="S14" s="21"/>
      <c r="T14" s="21"/>
      <c r="U14" s="21"/>
      <c r="V14" s="21"/>
      <c r="W14" s="21"/>
      <c r="X14" s="21"/>
      <c r="Y14" s="21"/>
      <c r="Z14" s="21"/>
      <c r="AA14" s="21"/>
      <c r="AB14" s="21"/>
      <c r="AC14" s="21"/>
      <c r="AD14" s="21"/>
      <c r="AE14" s="21"/>
      <c r="AF14" s="21"/>
      <c r="AG14" s="21"/>
      <c r="AH14" s="22">
        <f>COUNTIF($C14:$AG14,"P")</f>
      </c>
      <c r="AI14" s="22">
        <f>COUNTIF($C14:$AG14,"V")</f>
      </c>
      <c r="AJ14" s="22">
        <f>COUNTIF($C14:$AG14,"S")</f>
      </c>
      <c r="AK14" s="22">
        <f>COUNTIF($C14:$AG14,"L")</f>
      </c>
      <c r="AL14" s="22">
        <f>COUNTIF($C14:$AG14,"R")</f>
      </c>
      <c r="AM14" s="22">
        <f>COUNTIF($C14:$AG14,"U")</f>
      </c>
      <c r="AN14" s="22">
        <f>COUNTIF($C14:$AG14,"X")</f>
      </c>
    </row>
  </sheetData>
  <conditionalFormatting sqref="C7:AG14">
    <cfRule type="cellIs" dxfId="0" priority="1" operator="equal">
      <formula>"P"</formula>
    </cfRule>
    <cfRule type="cellIs" dxfId="1" priority="2" operator="equal">
      <formula>"V"</formula>
    </cfRule>
    <cfRule type="cellIs" dxfId="2" priority="3" operator="equal">
      <formula>"S"</formula>
    </cfRule>
    <cfRule type="cellIs" dxfId="3" priority="4" operator="equal">
      <formula>"L"</formula>
    </cfRule>
    <cfRule type="cellIs" dxfId="4" priority="5" operator="equal">
      <formula>"R"</formula>
    </cfRule>
    <cfRule type="cellIs" dxfId="5" priority="6" operator="equal">
      <formula>"U"</formula>
    </cfRule>
    <cfRule type="cellIs" dxfId="6" priority="7" operator="equal">
      <formula>"X"</formula>
    </cfRule>
    <cfRule type="expression" dxfId="7" priority="8">
      <formula>AND(C$6&lt;&gt;"",WEEKDAY(C$6,2)&gt;5)</formula>
    </cfRule>
  </conditionalFormatting>
  <dataValidations count="1">
    <dataValidation type="list" allowBlank="1" showErrorMessage="1" errorStyle="stop" errorTitle="Unknown code" error="Use one of the codes listed on the Codes sheet." sqref="C7:AG14">
      <formula1>"P,V,S,L,R,U,X"</formula1>
    </dataValidation>
  </dataValidations>
  <printOptions horizontalCentered="1"/>
  <pageMargins left="0.4" right="0.4" top="0.6" bottom="0.6" header="0.3" footer="0.3"/>
  <pageSetup paperSize="1" orientation="landscape" fitToWidth="1" fitToHeight="0"/>
  <headerFooter>
    <oddFooter>&amp;L&amp;9Explore Excel&amp;R&amp;9Page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0A4A3A"/>
    <pageSetUpPr fitToPage="1"/>
  </sheetPr>
  <dimension ref="A1:D12"/>
  <sheetViews>
    <sheetView workbookViewId="0" showGridLines="0" zoomScale="100">
      <pane ySplit="4" topLeftCell="A5" activePane="bottomLeft" state="frozen"/>
      <selection pane="bottomLeft"/>
    </sheetView>
  </sheetViews>
  <sheetFormatPr defaultRowHeight="15" outlineLevelRow="0" outlineLevelCol="0" x14ac:dyDescent="55"/>
  <cols>
    <col min="1" max="1" width="12" customWidth="1"/>
    <col min="2" max="2" width="26" customWidth="1"/>
    <col min="3" max="3" width="14" customWidth="1"/>
    <col min="4" max="4" width="40" customWidth="1"/>
  </cols>
  <sheetData>
    <row r="1" ht="25.5" customHeight="1" spans="1:4" x14ac:dyDescent="0.25">
      <c r="A1" s="1" t="s">
        <v>55</v>
      </c>
      <c r="B1" s="1"/>
      <c r="C1" s="1"/>
      <c r="D1" s="1"/>
    </row>
    <row r="2" ht="15" customHeight="1" spans="1:4" x14ac:dyDescent="0.25">
      <c r="A2" s="2" t="s">
        <v>56</v>
      </c>
      <c r="B2" s="2"/>
      <c r="C2" s="2"/>
      <c r="D2" s="2"/>
    </row>
    <row r="4" ht="24" customHeight="1" spans="1:4" x14ac:dyDescent="0.25">
      <c r="A4" s="5" t="s">
        <v>19</v>
      </c>
      <c r="B4" s="5" t="s">
        <v>20</v>
      </c>
      <c r="C4" s="5" t="s">
        <v>57</v>
      </c>
      <c r="D4" s="5" t="s">
        <v>21</v>
      </c>
    </row>
    <row r="5" spans="1:4" x14ac:dyDescent="0.25">
      <c r="A5" s="6" t="s">
        <v>22</v>
      </c>
      <c r="B5" s="7" t="s">
        <v>23</v>
      </c>
      <c r="C5" s="19">
        <f>SUM(Attendance!AH7:AH14)</f>
      </c>
      <c r="D5" s="7" t="s">
        <v>24</v>
      </c>
    </row>
    <row r="6" spans="1:4" x14ac:dyDescent="0.25">
      <c r="A6" s="8" t="s">
        <v>25</v>
      </c>
      <c r="B6" s="9" t="s">
        <v>26</v>
      </c>
      <c r="C6" s="23">
        <f>SUM(Attendance!AI7:AI14)</f>
      </c>
      <c r="D6" s="9" t="s">
        <v>27</v>
      </c>
    </row>
    <row r="7" spans="1:4" x14ac:dyDescent="0.25">
      <c r="A7" s="10" t="s">
        <v>28</v>
      </c>
      <c r="B7" s="7" t="s">
        <v>29</v>
      </c>
      <c r="C7" s="19">
        <f>SUM(Attendance!AJ7:AJ14)</f>
      </c>
      <c r="D7" s="7" t="s">
        <v>30</v>
      </c>
    </row>
    <row r="8" spans="1:4" x14ac:dyDescent="0.25">
      <c r="A8" s="11" t="s">
        <v>31</v>
      </c>
      <c r="B8" s="9" t="s">
        <v>32</v>
      </c>
      <c r="C8" s="23">
        <f>SUM(Attendance!AK7:AK14)</f>
      </c>
      <c r="D8" s="9" t="s">
        <v>33</v>
      </c>
    </row>
    <row r="9" spans="1:4" x14ac:dyDescent="0.25">
      <c r="A9" s="12" t="s">
        <v>34</v>
      </c>
      <c r="B9" s="7" t="s">
        <v>35</v>
      </c>
      <c r="C9" s="19">
        <f>SUM(Attendance!AL7:AL14)</f>
      </c>
      <c r="D9" s="7" t="s">
        <v>24</v>
      </c>
    </row>
    <row r="10" spans="1:4" x14ac:dyDescent="0.25">
      <c r="A10" s="13" t="s">
        <v>36</v>
      </c>
      <c r="B10" s="9" t="s">
        <v>37</v>
      </c>
      <c r="C10" s="23">
        <f>SUM(Attendance!AM7:AM14)</f>
      </c>
      <c r="D10" s="9" t="s">
        <v>38</v>
      </c>
    </row>
    <row r="11" spans="1:4" x14ac:dyDescent="0.25">
      <c r="A11" s="14" t="s">
        <v>39</v>
      </c>
      <c r="B11" s="7" t="s">
        <v>40</v>
      </c>
      <c r="C11" s="19">
        <f>SUM(Attendance!AN7:AN14)</f>
      </c>
      <c r="D11" s="7" t="s">
        <v>41</v>
      </c>
    </row>
    <row r="12" ht="20" customHeight="1" spans="1:4" x14ac:dyDescent="0.25">
      <c r="A12" s="24" t="s">
        <v>58</v>
      </c>
      <c r="B12" s="24" t="s">
        <v>59</v>
      </c>
      <c r="C12" s="6">
        <f>SUM(C5:C11)</f>
      </c>
      <c r="D12" s="24" t="s">
        <v>60</v>
      </c>
    </row>
  </sheetData>
  <printOptions horizontalCentered="1"/>
  <pageMargins left="0.4" right="0.4" top="0.6" bottom="0.6" header="0.3" footer="0.3"/>
  <pageSetup paperSize="1" orientation="portrait" fitToWidth="1" fitToHeight="0"/>
  <headerFooter>
    <oddFooter>&amp;L&amp;9Explore Excel&amp;R&amp;9Page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Read me</vt:lpstr>
      <vt:lpstr>Codes</vt:lpstr>
      <vt:lpstr>Attendance</vt:lpstr>
      <vt:lpstr>Summary</vt:lpstr>
    </vt:vector>
  </TitlesOfParts>
  <Company>Explore Excel</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Explore Excel</dc:creator>
  <dc:title/>
  <dc:subject/>
  <dc:description/>
  <cp:keywords/>
  <cp:category/>
  <cp:lastModifiedBy>Unknown</cp:lastModifiedBy>
  <dcterms:created xsi:type="dcterms:W3CDTF">2026-08-19T06:12:35Z</dcterms:created>
  <dcterms:modified xsi:type="dcterms:W3CDTF">2026-08-19T06:12:35Z</dcterms:modified>
</cp:coreProperties>
</file>