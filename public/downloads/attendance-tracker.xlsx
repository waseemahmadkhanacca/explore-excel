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odes" state="visible" r:id="rId5"/>
    <sheet sheetId="3" name="Attendance" state="visible" r:id="rId6"/>
    <sheet sheetId="4" name="Summary" state="visible" r:id="rId7"/>
  </sheets>
  <calcPr calcId="171027"/>
</workbook>
</file>

<file path=xl/sharedStrings.xml><?xml version="1.0" encoding="utf-8"?>
<sst xmlns="http://schemas.openxmlformats.org/spreadsheetml/2006/main" count="93" uniqueCount="61">
  <si>
    <t>How this workbook works</t>
  </si>
  <si>
    <t>Explore Excel  ·  exploreexcel.com</t>
  </si>
  <si>
    <t>What this is</t>
  </si>
  <si>
    <t>Attendance and leave tracker</t>
  </si>
  <si>
    <t>What this does</t>
  </si>
  <si>
    <t>Records daily attendance for a team across one month and totals every code automatically.</t>
  </si>
  <si>
    <t>Using it</t>
  </si>
  <si>
    <t>1. Set the month in the cream cell B3 on the Attendance sheet. Every column heading follows from it.</t>
  </si>
  <si>
    <t>2. Replace the names in column B with your team.</t>
  </si>
  <si>
    <t>3. Each day, pick a code from the dropdown. The totals on the right count themselves.</t>
  </si>
  <si>
    <t>4. The Summary sheet totals the whole team.</t>
  </si>
  <si>
    <t>The codes</t>
  </si>
  <si>
    <t>P present, V vacation, S sick, L late, R remote, U unpaid leave, X company holiday. Each one colours its own cell so a month reads at a glance.</t>
  </si>
  <si>
    <t>Why the dropdown matters</t>
  </si>
  <si>
    <t>A tracker breaks the moment someone types "p" one day and "Present" the next, because COUNTIF treats them as different values. The dropdown makes that impossible, which is why the whole grid carries one.</t>
  </si>
  <si>
    <t>Reading the colors</t>
  </si>
  <si>
    <t>Blue figures are yours to type over. Black figures are calculated — typing over one replaces the formula. Green shading is a heading or a total. This is the standard financial-modeling convention, so anyone in a finance or audit role will read it without being told.</t>
  </si>
  <si>
    <t>Codes</t>
  </si>
  <si>
    <t>Explore Excel  ·  exploreexcel.com  ·  The only values the grid accepts</t>
  </si>
  <si>
    <t>Code</t>
  </si>
  <si>
    <t>Meaning</t>
  </si>
  <si>
    <t>Counts towards</t>
  </si>
  <si>
    <t>P</t>
  </si>
  <si>
    <t>Present</t>
  </si>
  <si>
    <t>Working days</t>
  </si>
  <si>
    <t>V</t>
  </si>
  <si>
    <t>Vacation</t>
  </si>
  <si>
    <t>Paid time off entitlement</t>
  </si>
  <si>
    <t>S</t>
  </si>
  <si>
    <t>Sick</t>
  </si>
  <si>
    <t>Sickness absence</t>
  </si>
  <si>
    <t>L</t>
  </si>
  <si>
    <t>Late</t>
  </si>
  <si>
    <t>Working days, flagged</t>
  </si>
  <si>
    <t>R</t>
  </si>
  <si>
    <t>Remote</t>
  </si>
  <si>
    <t>U</t>
  </si>
  <si>
    <t>Unpaid leave</t>
  </si>
  <si>
    <t>Unpaid absence</t>
  </si>
  <si>
    <t>X</t>
  </si>
  <si>
    <t>Company holiday</t>
  </si>
  <si>
    <t>Not counted as absence</t>
  </si>
  <si>
    <t>Attendance and leave</t>
  </si>
  <si>
    <t>Explore Excel  ·  exploreexcel.com  ·  Set the month, then fill the grid from the dropdowns</t>
  </si>
  <si>
    <t>Month</t>
  </si>
  <si>
    <t>#</t>
  </si>
  <si>
    <t>Name</t>
  </si>
  <si>
    <t>Adams, R</t>
  </si>
  <si>
    <t>Brennan, T</t>
  </si>
  <si>
    <t>Fischer, L</t>
  </si>
  <si>
    <t>Okafor, J</t>
  </si>
  <si>
    <t>Pritchard, O</t>
  </si>
  <si>
    <t>Raman, P</t>
  </si>
  <si>
    <t>Whitfield, S</t>
  </si>
  <si>
    <t>Zhang, M</t>
  </si>
  <si>
    <t>Month summary</t>
  </si>
  <si>
    <t>Explore Excel  ·  exploreexcel.com  ·  Totals across the whole team</t>
  </si>
  <si>
    <t>Days</t>
  </si>
  <si>
    <t/>
  </si>
  <si>
    <t>Total entries</t>
  </si>
  <si>
    <t>Every code entered this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</si>
</sst>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m yyyy"/>
    <numFmt numFmtId="165" formatCode="d"/>
  </numFmts>
  <fonts count="12" x14ac:knownFonts="1">
    <font>
      <color theme="1"/>
      <family val="2"/>
      <scheme val="minor"/>
      <sz val="11"/>
      <name val="Calibri"/>
    </font>
    <font>
      <b/>
      <color rgb="FFFFFFFF"/>
      <sz val="16"/>
      <name val="Arial"/>
    </font>
    <font>
      <color rgb="FFC6E4D9"/>
      <sz val="9"/>
      <name val="Arial"/>
    </font>
    <font>
      <b/>
      <color rgb="FF0A4A3A"/>
      <sz val="11"/>
      <name val="Arial"/>
    </font>
    <font>
      <color rgb="FF141414"/>
      <sz val="10"/>
      <name val="Arial"/>
    </font>
    <font>
      <b/>
      <color rgb="FFFFFFFF"/>
      <sz val="10"/>
      <name val="Arial"/>
    </font>
    <font>
      <b/>
      <color rgb="FF4A4A48"/>
      <sz val="9"/>
      <name val="Arial"/>
    </font>
    <font>
      <b/>
      <color rgb="FF0000FF"/>
      <sz val="11"/>
      <name val="Arial"/>
    </font>
    <font>
      <b/>
      <color rgb="FFFFFFFF"/>
      <sz val="8"/>
      <name val="Arial"/>
    </font>
    <font>
      <color rgb="FF0000FF"/>
      <sz val="10"/>
      <name val="Arial"/>
    </font>
    <font>
      <b/>
      <color rgb="FF141414"/>
      <sz val="9"/>
      <name val="Arial"/>
    </font>
    <font>
      <b/>
      <color rgb="FF0A4A3A"/>
      <sz val="10"/>
      <name val="Arial"/>
    </font>
  </fonts>
  <fills count="12">
    <fill>
      <patternFill patternType="none"/>
    </fill>
    <fill>
      <patternFill patternType="gray125"/>
    </fill>
    <fill>
      <patternFill patternType="solid">
        <fgColor rgb="FF0F6E56"/>
      </patternFill>
    </fill>
    <fill>
      <patternFill patternType="solid">
        <fgColor rgb="FF2E6E8E"/>
      </patternFill>
    </fill>
    <fill>
      <patternFill patternType="solid">
        <fgColor rgb="FFFAFAF8"/>
      </patternFill>
    </fill>
    <fill>
      <patternFill patternType="solid">
        <fgColor rgb="FF7A2020"/>
      </patternFill>
    </fill>
    <fill>
      <patternFill patternType="solid">
        <fgColor rgb="FF7A5410"/>
      </patternFill>
    </fill>
    <fill>
      <patternFill patternType="solid">
        <fgColor rgb="FF0A4A3A"/>
      </patternFill>
    </fill>
    <fill>
      <patternFill patternType="solid">
        <fgColor rgb="FF4A4A48"/>
      </patternFill>
    </fill>
    <fill>
      <patternFill patternType="solid">
        <fgColor rgb="FF6E6E6C"/>
      </patternFill>
    </fill>
    <fill>
      <patternFill patternType="solid">
        <fgColor rgb="FFFFFDF0"/>
      </patternFill>
    </fill>
    <fill>
      <patternFill patternType="solid">
        <fgColor rgb="FFE1F5EE"/>
      </patternFill>
    </fill>
  </fills>
  <borders count="2">
    <border>
      <left/>
      <right/>
      <top/>
      <bottom/>
      <diagonal/>
    </border>
    <border>
      <left style="thin">
        <color rgb="FFE4E4E0"/>
      </left>
      <right style="thin">
        <color rgb="FFE4E4E0"/>
      </right>
      <top style="thin">
        <color rgb="FFE4E4E0"/>
      </top>
      <bottom style="thin">
        <color rgb="FFE4E4E0"/>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center"/>
    </xf>
    <xf numFmtId="0" fontId="4" fillId="0" borderId="1" xfId="0" applyFont="1" applyBorder="1"/>
    <xf numFmtId="0" fontId="5" fillId="3" borderId="1" xfId="0" applyFont="1" applyFill="1" applyBorder="1" applyAlignment="1">
      <alignment horizontal="center"/>
    </xf>
    <xf numFmtId="0" fontId="4" fillId="4" borderId="1" xfId="0" applyFont="1" applyFill="1" applyBorder="1"/>
    <xf numFmtId="0" fontId="5" fillId="5" borderId="1" xfId="0" applyFont="1" applyFill="1" applyBorder="1" applyAlignment="1">
      <alignment horizontal="center"/>
    </xf>
    <xf numFmtId="0" fontId="5" fillId="6" borderId="1" xfId="0" applyFont="1" applyFill="1" applyBorder="1" applyAlignment="1">
      <alignment horizontal="center"/>
    </xf>
    <xf numFmtId="0" fontId="5" fillId="7" borderId="1" xfId="0" applyFont="1" applyFill="1" applyBorder="1" applyAlignment="1">
      <alignment horizontal="center"/>
    </xf>
    <xf numFmtId="0" fontId="5" fillId="8" borderId="1" xfId="0" applyFont="1" applyFill="1" applyBorder="1" applyAlignment="1">
      <alignment horizontal="center"/>
    </xf>
    <xf numFmtId="0" fontId="5" fillId="9" borderId="1" xfId="0" applyFont="1" applyFill="1" applyBorder="1" applyAlignment="1">
      <alignment horizontal="center"/>
    </xf>
    <xf numFmtId="0" fontId="6" fillId="0" borderId="0" xfId="0" applyFont="1"/>
    <xf numFmtId="164" fontId="7" fillId="10" borderId="1" xfId="0" applyNumberFormat="1" applyFont="1" applyFill="1" applyBorder="1" applyAlignment="1">
      <alignment horizontal="left"/>
    </xf>
    <xf numFmtId="0" fontId="5" fillId="2" borderId="1" xfId="0" applyFont="1" applyFill="1" applyBorder="1" applyAlignment="1">
      <alignment horizontal="center" vertical="center"/>
    </xf>
    <xf numFmtId="165" fontId="8" fillId="2" borderId="1" xfId="0" applyNumberFormat="1" applyFont="1" applyFill="1" applyBorder="1" applyAlignment="1">
      <alignment horizontal="center"/>
    </xf>
    <xf numFmtId="0" fontId="4" fillId="0" borderId="1" xfId="0" applyFont="1" applyBorder="1" applyAlignment="1">
      <alignment horizontal="center"/>
    </xf>
    <xf numFmtId="0" fontId="9" fillId="10" borderId="1" xfId="0" applyFont="1" applyFill="1" applyBorder="1"/>
    <xf numFmtId="0" fontId="10" fillId="0" borderId="1" xfId="0" applyFont="1" applyBorder="1" applyAlignment="1">
      <alignment horizontal="center"/>
    </xf>
    <xf numFmtId="0" fontId="11" fillId="11" borderId="1" xfId="0" applyFont="1" applyFill="1" applyBorder="1" applyAlignment="1">
      <alignment horizontal="center"/>
    </xf>
    <xf numFmtId="0" fontId="4" fillId="4" borderId="1" xfId="0" applyFont="1" applyFill="1" applyBorder="1" applyAlignment="1">
      <alignment horizontal="center"/>
    </xf>
    <xf numFmtId="0" fontId="5" fillId="2" borderId="1" xfId="0" applyFont="1" applyFill="1" applyBorder="1"/>
  </cellXfs>
  <cellStyles count="1">
    <cellStyle name="Normal" xfId="0" builtinId="0"/>
  </cellStyles>
  <dxfs count="8">
    <dxf>
      <font>
        <b/>
        <color rgb="FFFFFFFF"/>
      </font>
      <fill>
        <patternFill patternType="solid">
          <bgColor rgb="FF0F6E56"/>
        </patternFill>
      </fill>
    </dxf>
    <dxf>
      <font>
        <b/>
        <color rgb="FFFFFFFF"/>
      </font>
      <fill>
        <patternFill patternType="solid">
          <bgColor rgb="FF2E6E8E"/>
        </patternFill>
      </fill>
    </dxf>
    <dxf>
      <font>
        <b/>
        <color rgb="FFFFFFFF"/>
      </font>
      <fill>
        <patternFill patternType="solid">
          <bgColor rgb="FF7A2020"/>
        </patternFill>
      </fill>
    </dxf>
    <dxf>
      <font>
        <b/>
        <color rgb="FFFFFFFF"/>
      </font>
      <fill>
        <patternFill patternType="solid">
          <bgColor rgb="FF7A5410"/>
        </patternFill>
      </fill>
    </dxf>
    <dxf>
      <font>
        <b/>
        <color rgb="FFFFFFFF"/>
      </font>
      <fill>
        <patternFill patternType="solid">
          <bgColor rgb="FF0A4A3A"/>
        </patternFill>
      </fill>
    </dxf>
    <dxf>
      <font>
        <b/>
        <color rgb="FFFFFFFF"/>
      </font>
      <fill>
        <patternFill patternType="solid">
          <bgColor rgb="FF4A4A48"/>
        </patternFill>
      </fill>
    </dxf>
    <dxf>
      <font>
        <b/>
        <color rgb="FFFFFFFF"/>
      </font>
      <fill>
        <patternFill patternType="solid">
          <bgColor rgb="FF6E6E6C"/>
        </patternFill>
      </fill>
    </dxf>
    <dxf>
      <fill>
        <patternFill patternType="solid">
          <bgColor rgb="FFFAFAF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4A48"/>
    <pageSetUpPr fitToPage="1"/>
  </sheetPr>
  <dimension ref="A1:A26"/>
  <sheetViews>
    <sheetView workbookViewId="0" showGridLines="0" zoomScale="100"/>
  </sheetViews>
  <sheetFormatPr defaultRowHeight="15" outlineLevelRow="0" outlineLevelCol="0" x14ac:dyDescent="55"/>
  <cols>
    <col min="1" max="1" width="104" customWidth="1"/>
  </cols>
  <sheetData>
    <row r="1" ht="25.5" customHeight="1" spans="1:1" x14ac:dyDescent="0.25">
      <c r="A1" s="1" t="s">
        <v>0</v>
      </c>
    </row>
    <row r="2" ht="15" customHeight="1" spans="1:1" x14ac:dyDescent="0.25">
      <c r="A2" s="2" t="s">
        <v>1</v>
      </c>
    </row>
    <row r="4" ht="15" customHeight="1" spans="1:1" x14ac:dyDescent="0.25">
      <c r="A4" s="3" t="s">
        <v>2</v>
      </c>
    </row>
    <row r="5" ht="16.75" customHeight="1" spans="1:1" x14ac:dyDescent="0.25">
      <c r="A5" s="4" t="s">
        <v>3</v>
      </c>
    </row>
    <row r="7" ht="15" customHeight="1" spans="1:1" x14ac:dyDescent="0.25">
      <c r="A7" s="3" t="s">
        <v>4</v>
      </c>
    </row>
    <row r="8" ht="16.75" customHeight="1" spans="1:1" x14ac:dyDescent="0.25">
      <c r="A8" s="4" t="s">
        <v>5</v>
      </c>
    </row>
    <row r="10" ht="15" customHeight="1" spans="1:1" x14ac:dyDescent="0.25">
      <c r="A10" s="3" t="s">
        <v>6</v>
      </c>
    </row>
    <row r="11" ht="29.5" customHeight="1" spans="1:1" x14ac:dyDescent="0.25">
      <c r="A11" s="4" t="s">
        <v>7</v>
      </c>
    </row>
    <row r="13" ht="16.75" customHeight="1" spans="1:1" x14ac:dyDescent="0.25">
      <c r="A13" s="4" t="s">
        <v>8</v>
      </c>
    </row>
    <row r="15" ht="16.75" customHeight="1" spans="1:1" x14ac:dyDescent="0.25">
      <c r="A15" s="4" t="s">
        <v>9</v>
      </c>
    </row>
    <row r="17" ht="16.75" customHeight="1" spans="1:1" x14ac:dyDescent="0.25">
      <c r="A17" s="4" t="s">
        <v>10</v>
      </c>
    </row>
    <row r="19" ht="15" customHeight="1" spans="1:1" x14ac:dyDescent="0.25">
      <c r="A19" s="3" t="s">
        <v>11</v>
      </c>
    </row>
    <row r="20" ht="29.5" customHeight="1" spans="1:1" x14ac:dyDescent="0.25">
      <c r="A20" s="4" t="s">
        <v>12</v>
      </c>
    </row>
    <row r="22" ht="15" customHeight="1" spans="1:1" x14ac:dyDescent="0.25">
      <c r="A22" s="3" t="s">
        <v>13</v>
      </c>
    </row>
    <row r="23" ht="42.25" customHeight="1" spans="1:1" x14ac:dyDescent="0.25">
      <c r="A23" s="4" t="s">
        <v>14</v>
      </c>
    </row>
    <row r="25" ht="15" customHeight="1" spans="1:1" x14ac:dyDescent="0.25">
      <c r="A25" s="3" t="s">
        <v>15</v>
      </c>
    </row>
    <row r="26" ht="42.25" customHeight="1" spans="1:1" x14ac:dyDescent="0.25">
      <c r="A26" s="4" t="s">
        <v>16</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4A48"/>
    <pageSetUpPr fitToPage="1"/>
  </sheetPr>
  <dimension ref="A1:C11"/>
  <sheetViews>
    <sheetView workbookViewId="0" showGridLines="0" zoomScale="100">
      <pane ySplit="4" topLeftCell="A5" activePane="bottomLeft" state="frozen"/>
      <selection pane="bottomLeft"/>
    </sheetView>
  </sheetViews>
  <sheetFormatPr defaultRowHeight="15" outlineLevelRow="0" outlineLevelCol="0" x14ac:dyDescent="55"/>
  <cols>
    <col min="1" max="1" width="10" customWidth="1"/>
    <col min="2" max="2" width="28" customWidth="1"/>
    <col min="3" max="3" width="44" customWidth="1"/>
  </cols>
  <sheetData>
    <row r="1" ht="25.5" customHeight="1" spans="1:3" x14ac:dyDescent="0.25">
      <c r="A1" s="1" t="s">
        <v>17</v>
      </c>
      <c r="B1" s="1"/>
      <c r="C1" s="1"/>
    </row>
    <row r="2" ht="15" customHeight="1" spans="1:3" x14ac:dyDescent="0.25">
      <c r="A2" s="2" t="s">
        <v>18</v>
      </c>
      <c r="B2" s="2"/>
      <c r="C2" s="2"/>
    </row>
    <row r="4" ht="24" customHeight="1" spans="1:3" x14ac:dyDescent="0.25">
      <c r="A4" s="5" t="s">
        <v>19</v>
      </c>
      <c r="B4" s="5" t="s">
        <v>20</v>
      </c>
      <c r="C4" s="5" t="s">
        <v>21</v>
      </c>
    </row>
    <row r="5" spans="1:3" x14ac:dyDescent="0.25">
      <c r="A5" s="6" t="s">
        <v>22</v>
      </c>
      <c r="B5" s="7" t="s">
        <v>23</v>
      </c>
      <c r="C5" s="7" t="s">
        <v>24</v>
      </c>
    </row>
    <row r="6" spans="1:3" x14ac:dyDescent="0.25">
      <c r="A6" s="8" t="s">
        <v>25</v>
      </c>
      <c r="B6" s="9" t="s">
        <v>26</v>
      </c>
      <c r="C6" s="9" t="s">
        <v>27</v>
      </c>
    </row>
    <row r="7" spans="1:3" x14ac:dyDescent="0.25">
      <c r="A7" s="10" t="s">
        <v>28</v>
      </c>
      <c r="B7" s="7" t="s">
        <v>29</v>
      </c>
      <c r="C7" s="7" t="s">
        <v>30</v>
      </c>
    </row>
    <row r="8" spans="1:3" x14ac:dyDescent="0.25">
      <c r="A8" s="11" t="s">
        <v>31</v>
      </c>
      <c r="B8" s="9" t="s">
        <v>32</v>
      </c>
      <c r="C8" s="9" t="s">
        <v>33</v>
      </c>
    </row>
    <row r="9" spans="1:3" x14ac:dyDescent="0.25">
      <c r="A9" s="12" t="s">
        <v>34</v>
      </c>
      <c r="B9" s="7" t="s">
        <v>35</v>
      </c>
      <c r="C9" s="7" t="s">
        <v>24</v>
      </c>
    </row>
    <row r="10" spans="1:3" x14ac:dyDescent="0.25">
      <c r="A10" s="13" t="s">
        <v>36</v>
      </c>
      <c r="B10" s="9" t="s">
        <v>37</v>
      </c>
      <c r="C10" s="9" t="s">
        <v>38</v>
      </c>
    </row>
    <row r="11" spans="1:3" x14ac:dyDescent="0.25">
      <c r="A11" s="14" t="s">
        <v>39</v>
      </c>
      <c r="B11" s="7" t="s">
        <v>40</v>
      </c>
      <c r="C11" s="7" t="s">
        <v>41</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E56"/>
    <pageSetUpPr fitToPage="1"/>
  </sheetPr>
  <dimension ref="A1:AN14"/>
  <sheetViews>
    <sheetView workbookViewId="0" showGridLines="0" zoomScale="100">
      <pane xSplit="2" ySplit="6" topLeftCell="C7" activePane="bottomRight" state="frozen"/>
      <selection pane="bottomRight"/>
    </sheetView>
  </sheetViews>
  <sheetFormatPr defaultRowHeight="15" outlineLevelRow="0" outlineLevelCol="0" x14ac:dyDescent="55"/>
  <cols>
    <col min="1" max="1" width="5" customWidth="1"/>
    <col min="2" max="2" width="22" customWidth="1"/>
    <col min="3" max="33" width="3.1" customWidth="1"/>
    <col min="34" max="40" width="5" customWidth="1"/>
  </cols>
  <sheetData>
    <row r="1" ht="25.5" customHeight="1" spans="1:10" x14ac:dyDescent="0.25">
      <c r="A1" s="1" t="s">
        <v>42</v>
      </c>
      <c r="B1" s="1"/>
      <c r="C1" s="1"/>
      <c r="D1" s="1"/>
      <c r="E1" s="1"/>
      <c r="F1" s="1"/>
      <c r="G1" s="1"/>
      <c r="H1" s="1"/>
      <c r="I1" s="1"/>
      <c r="J1" s="1"/>
    </row>
    <row r="2" ht="15" customHeight="1" spans="1:10" x14ac:dyDescent="0.25">
      <c r="A2" s="2" t="s">
        <v>43</v>
      </c>
      <c r="B2" s="2"/>
      <c r="C2" s="2"/>
      <c r="D2" s="2"/>
      <c r="E2" s="2"/>
      <c r="F2" s="2"/>
      <c r="G2" s="2"/>
      <c r="H2" s="2"/>
      <c r="I2" s="2"/>
      <c r="J2" s="2"/>
    </row>
    <row r="3" spans="1:2" x14ac:dyDescent="0.25">
      <c r="A3" s="15" t="s">
        <v>44</v>
      </c>
      <c r="B3" s="16">
        <v>46023</v>
      </c>
    </row>
    <row r="6" ht="26" customHeight="1" spans="1:40" x14ac:dyDescent="0.25">
      <c r="A6" s="17" t="s">
        <v>45</v>
      </c>
      <c r="B6" s="17" t="s">
        <v>46</v>
      </c>
      <c r="C6" s="18">
        <f>IF(MONTH($B$3+0)=MONTH($B$3),$B$3+0,"")</f>
      </c>
      <c r="D6" s="18">
        <f>IF(MONTH($B$3+1)=MONTH($B$3),$B$3+1,"")</f>
      </c>
      <c r="E6" s="18">
        <f>IF(MONTH($B$3+2)=MONTH($B$3),$B$3+2,"")</f>
      </c>
      <c r="F6" s="18">
        <f>IF(MONTH($B$3+3)=MONTH($B$3),$B$3+3,"")</f>
      </c>
      <c r="G6" s="18">
        <f>IF(MONTH($B$3+4)=MONTH($B$3),$B$3+4,"")</f>
      </c>
      <c r="H6" s="18">
        <f>IF(MONTH($B$3+5)=MONTH($B$3),$B$3+5,"")</f>
      </c>
      <c r="I6" s="18">
        <f>IF(MONTH($B$3+6)=MONTH($B$3),$B$3+6,"")</f>
      </c>
      <c r="J6" s="18">
        <f>IF(MONTH($B$3+7)=MONTH($B$3),$B$3+7,"")</f>
      </c>
      <c r="K6" s="18">
        <f>IF(MONTH($B$3+8)=MONTH($B$3),$B$3+8,"")</f>
      </c>
      <c r="L6" s="18">
        <f>IF(MONTH($B$3+9)=MONTH($B$3),$B$3+9,"")</f>
      </c>
      <c r="M6" s="18">
        <f>IF(MONTH($B$3+10)=MONTH($B$3),$B$3+10,"")</f>
      </c>
      <c r="N6" s="18">
        <f>IF(MONTH($B$3+11)=MONTH($B$3),$B$3+11,"")</f>
      </c>
      <c r="O6" s="18">
        <f>IF(MONTH($B$3+12)=MONTH($B$3),$B$3+12,"")</f>
      </c>
      <c r="P6" s="18">
        <f>IF(MONTH($B$3+13)=MONTH($B$3),$B$3+13,"")</f>
      </c>
      <c r="Q6" s="18">
        <f>IF(MONTH($B$3+14)=MONTH($B$3),$B$3+14,"")</f>
      </c>
      <c r="R6" s="18">
        <f>IF(MONTH($B$3+15)=MONTH($B$3),$B$3+15,"")</f>
      </c>
      <c r="S6" s="18">
        <f>IF(MONTH($B$3+16)=MONTH($B$3),$B$3+16,"")</f>
      </c>
      <c r="T6" s="18">
        <f>IF(MONTH($B$3+17)=MONTH($B$3),$B$3+17,"")</f>
      </c>
      <c r="U6" s="18">
        <f>IF(MONTH($B$3+18)=MONTH($B$3),$B$3+18,"")</f>
      </c>
      <c r="V6" s="18">
        <f>IF(MONTH($B$3+19)=MONTH($B$3),$B$3+19,"")</f>
      </c>
      <c r="W6" s="18">
        <f>IF(MONTH($B$3+20)=MONTH($B$3),$B$3+20,"")</f>
      </c>
      <c r="X6" s="18">
        <f>IF(MONTH($B$3+21)=MONTH($B$3),$B$3+21,"")</f>
      </c>
      <c r="Y6" s="18">
        <f>IF(MONTH($B$3+22)=MONTH($B$3),$B$3+22,"")</f>
      </c>
      <c r="Z6" s="18">
        <f>IF(MONTH($B$3+23)=MONTH($B$3),$B$3+23,"")</f>
      </c>
      <c r="AA6" s="18">
        <f>IF(MONTH($B$3+24)=MONTH($B$3),$B$3+24,"")</f>
      </c>
      <c r="AB6" s="18">
        <f>IF(MONTH($B$3+25)=MONTH($B$3),$B$3+25,"")</f>
      </c>
      <c r="AC6" s="18">
        <f>IF(MONTH($B$3+26)=MONTH($B$3),$B$3+26,"")</f>
      </c>
      <c r="AD6" s="18">
        <f>IF(MONTH($B$3+27)=MONTH($B$3),$B$3+27,"")</f>
      </c>
      <c r="AE6" s="18">
        <f>IF(MONTH($B$3+28)=MONTH($B$3),$B$3+28,"")</f>
      </c>
      <c r="AF6" s="18">
        <f>IF(MONTH($B$3+29)=MONTH($B$3),$B$3+29,"")</f>
      </c>
      <c r="AG6" s="18">
        <f>IF(MONTH($B$3+30)=MONTH($B$3),$B$3+30,"")</f>
      </c>
      <c r="AH6" s="6" t="s">
        <v>22</v>
      </c>
      <c r="AI6" s="8" t="s">
        <v>25</v>
      </c>
      <c r="AJ6" s="10" t="s">
        <v>28</v>
      </c>
      <c r="AK6" s="11" t="s">
        <v>31</v>
      </c>
      <c r="AL6" s="12" t="s">
        <v>34</v>
      </c>
      <c r="AM6" s="13" t="s">
        <v>36</v>
      </c>
      <c r="AN6" s="14" t="s">
        <v>39</v>
      </c>
    </row>
    <row r="7" spans="1:40" x14ac:dyDescent="0.25">
      <c r="A7" s="19">
        <v>1</v>
      </c>
      <c r="B7" s="20" t="s">
        <v>47</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2">
        <f>COUNTIF($C7:$AG7,"P")</f>
      </c>
      <c r="AI7" s="22">
        <f>COUNTIF($C7:$AG7,"V")</f>
      </c>
      <c r="AJ7" s="22">
        <f>COUNTIF($C7:$AG7,"S")</f>
      </c>
      <c r="AK7" s="22">
        <f>COUNTIF($C7:$AG7,"L")</f>
      </c>
      <c r="AL7" s="22">
        <f>COUNTIF($C7:$AG7,"R")</f>
      </c>
      <c r="AM7" s="22">
        <f>COUNTIF($C7:$AG7,"U")</f>
      </c>
      <c r="AN7" s="22">
        <f>COUNTIF($C7:$AG7,"X")</f>
      </c>
    </row>
    <row r="8" spans="1:40" x14ac:dyDescent="0.25">
      <c r="A8" s="19">
        <v>2</v>
      </c>
      <c r="B8" s="20" t="s">
        <v>48</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2">
        <f>COUNTIF($C8:$AG8,"P")</f>
      </c>
      <c r="AI8" s="22">
        <f>COUNTIF($C8:$AG8,"V")</f>
      </c>
      <c r="AJ8" s="22">
        <f>COUNTIF($C8:$AG8,"S")</f>
      </c>
      <c r="AK8" s="22">
        <f>COUNTIF($C8:$AG8,"L")</f>
      </c>
      <c r="AL8" s="22">
        <f>COUNTIF($C8:$AG8,"R")</f>
      </c>
      <c r="AM8" s="22">
        <f>COUNTIF($C8:$AG8,"U")</f>
      </c>
      <c r="AN8" s="22">
        <f>COUNTIF($C8:$AG8,"X")</f>
      </c>
    </row>
    <row r="9" spans="1:40" x14ac:dyDescent="0.25">
      <c r="A9" s="19">
        <v>3</v>
      </c>
      <c r="B9" s="20" t="s">
        <v>49</v>
      </c>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2">
        <f>COUNTIF($C9:$AG9,"P")</f>
      </c>
      <c r="AI9" s="22">
        <f>COUNTIF($C9:$AG9,"V")</f>
      </c>
      <c r="AJ9" s="22">
        <f>COUNTIF($C9:$AG9,"S")</f>
      </c>
      <c r="AK9" s="22">
        <f>COUNTIF($C9:$AG9,"L")</f>
      </c>
      <c r="AL9" s="22">
        <f>COUNTIF($C9:$AG9,"R")</f>
      </c>
      <c r="AM9" s="22">
        <f>COUNTIF($C9:$AG9,"U")</f>
      </c>
      <c r="AN9" s="22">
        <f>COUNTIF($C9:$AG9,"X")</f>
      </c>
    </row>
    <row r="10" spans="1:40" x14ac:dyDescent="0.25">
      <c r="A10" s="19">
        <v>4</v>
      </c>
      <c r="B10" s="20" t="s">
        <v>50</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2">
        <f>COUNTIF($C10:$AG10,"P")</f>
      </c>
      <c r="AI10" s="22">
        <f>COUNTIF($C10:$AG10,"V")</f>
      </c>
      <c r="AJ10" s="22">
        <f>COUNTIF($C10:$AG10,"S")</f>
      </c>
      <c r="AK10" s="22">
        <f>COUNTIF($C10:$AG10,"L")</f>
      </c>
      <c r="AL10" s="22">
        <f>COUNTIF($C10:$AG10,"R")</f>
      </c>
      <c r="AM10" s="22">
        <f>COUNTIF($C10:$AG10,"U")</f>
      </c>
      <c r="AN10" s="22">
        <f>COUNTIF($C10:$AG10,"X")</f>
      </c>
    </row>
    <row r="11" spans="1:40" x14ac:dyDescent="0.25">
      <c r="A11" s="19">
        <v>5</v>
      </c>
      <c r="B11" s="20" t="s">
        <v>51</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2">
        <f>COUNTIF($C11:$AG11,"P")</f>
      </c>
      <c r="AI11" s="22">
        <f>COUNTIF($C11:$AG11,"V")</f>
      </c>
      <c r="AJ11" s="22">
        <f>COUNTIF($C11:$AG11,"S")</f>
      </c>
      <c r="AK11" s="22">
        <f>COUNTIF($C11:$AG11,"L")</f>
      </c>
      <c r="AL11" s="22">
        <f>COUNTIF($C11:$AG11,"R")</f>
      </c>
      <c r="AM11" s="22">
        <f>COUNTIF($C11:$AG11,"U")</f>
      </c>
      <c r="AN11" s="22">
        <f>COUNTIF($C11:$AG11,"X")</f>
      </c>
    </row>
    <row r="12" spans="1:40" x14ac:dyDescent="0.25">
      <c r="A12" s="19">
        <v>6</v>
      </c>
      <c r="B12" s="20" t="s">
        <v>52</v>
      </c>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2">
        <f>COUNTIF($C12:$AG12,"P")</f>
      </c>
      <c r="AI12" s="22">
        <f>COUNTIF($C12:$AG12,"V")</f>
      </c>
      <c r="AJ12" s="22">
        <f>COUNTIF($C12:$AG12,"S")</f>
      </c>
      <c r="AK12" s="22">
        <f>COUNTIF($C12:$AG12,"L")</f>
      </c>
      <c r="AL12" s="22">
        <f>COUNTIF($C12:$AG12,"R")</f>
      </c>
      <c r="AM12" s="22">
        <f>COUNTIF($C12:$AG12,"U")</f>
      </c>
      <c r="AN12" s="22">
        <f>COUNTIF($C12:$AG12,"X")</f>
      </c>
    </row>
    <row r="13" spans="1:40" x14ac:dyDescent="0.25">
      <c r="A13" s="19">
        <v>7</v>
      </c>
      <c r="B13" s="20" t="s">
        <v>53</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2">
        <f>COUNTIF($C13:$AG13,"P")</f>
      </c>
      <c r="AI13" s="22">
        <f>COUNTIF($C13:$AG13,"V")</f>
      </c>
      <c r="AJ13" s="22">
        <f>COUNTIF($C13:$AG13,"S")</f>
      </c>
      <c r="AK13" s="22">
        <f>COUNTIF($C13:$AG13,"L")</f>
      </c>
      <c r="AL13" s="22">
        <f>COUNTIF($C13:$AG13,"R")</f>
      </c>
      <c r="AM13" s="22">
        <f>COUNTIF($C13:$AG13,"U")</f>
      </c>
      <c r="AN13" s="22">
        <f>COUNTIF($C13:$AG13,"X")</f>
      </c>
    </row>
    <row r="14" spans="1:40" x14ac:dyDescent="0.25">
      <c r="A14" s="19">
        <v>8</v>
      </c>
      <c r="B14" s="20" t="s">
        <v>54</v>
      </c>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2">
        <f>COUNTIF($C14:$AG14,"P")</f>
      </c>
      <c r="AI14" s="22">
        <f>COUNTIF($C14:$AG14,"V")</f>
      </c>
      <c r="AJ14" s="22">
        <f>COUNTIF($C14:$AG14,"S")</f>
      </c>
      <c r="AK14" s="22">
        <f>COUNTIF($C14:$AG14,"L")</f>
      </c>
      <c r="AL14" s="22">
        <f>COUNTIF($C14:$AG14,"R")</f>
      </c>
      <c r="AM14" s="22">
        <f>COUNTIF($C14:$AG14,"U")</f>
      </c>
      <c r="AN14" s="22">
        <f>COUNTIF($C14:$AG14,"X")</f>
      </c>
    </row>
  </sheetData>
  <conditionalFormatting sqref="C7:AG14">
    <cfRule type="cellIs" dxfId="0" priority="1" operator="equal">
      <formula>"P"</formula>
    </cfRule>
    <cfRule type="cellIs" dxfId="1" priority="2" operator="equal">
      <formula>"V"</formula>
    </cfRule>
    <cfRule type="cellIs" dxfId="2" priority="3" operator="equal">
      <formula>"S"</formula>
    </cfRule>
    <cfRule type="cellIs" dxfId="3" priority="4" operator="equal">
      <formula>"L"</formula>
    </cfRule>
    <cfRule type="cellIs" dxfId="4" priority="5" operator="equal">
      <formula>"R"</formula>
    </cfRule>
    <cfRule type="cellIs" dxfId="5" priority="6" operator="equal">
      <formula>"U"</formula>
    </cfRule>
    <cfRule type="cellIs" dxfId="6" priority="7" operator="equal">
      <formula>"X"</formula>
    </cfRule>
    <cfRule type="expression" dxfId="7" priority="8">
      <formula>AND(C$6&lt;&gt;"",WEEKDAY(C$6,2)&gt;5)</formula>
    </cfRule>
  </conditionalFormatting>
  <dataValidations count="1">
    <dataValidation type="list" allowBlank="1" showErrorMessage="1" errorStyle="stop" errorTitle="Unknown code" error="Use one of the codes listed on the Codes sheet." sqref="C7:AG14">
      <formula1>"P,V,S,L,R,U,X"</formula1>
    </dataValidation>
  </dataValidations>
  <printOptions horizontalCentered="1"/>
  <pageMargins left="0.4" right="0.4" top="0.6" bottom="0.6" header="0.3" footer="0.3"/>
  <pageSetup paperSize="1" orientation="landscape" fitToWidth="1" fitToHeight="0"/>
  <headerFooter>
    <oddFooter>&amp;L&amp;9Explore Excel&amp;R&amp;9Page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4A3A"/>
    <pageSetUpPr fitToPage="1"/>
  </sheetPr>
  <dimension ref="A1:D12"/>
  <sheetViews>
    <sheetView workbookViewId="0" showGridLines="0" zoomScale="100">
      <pane ySplit="4" topLeftCell="A5" activePane="bottomLeft" state="frozen"/>
      <selection pane="bottomLeft"/>
    </sheetView>
  </sheetViews>
  <sheetFormatPr defaultRowHeight="15" outlineLevelRow="0" outlineLevelCol="0" x14ac:dyDescent="55"/>
  <cols>
    <col min="1" max="1" width="12" customWidth="1"/>
    <col min="2" max="2" width="26" customWidth="1"/>
    <col min="3" max="3" width="14" customWidth="1"/>
    <col min="4" max="4" width="40" customWidth="1"/>
  </cols>
  <sheetData>
    <row r="1" ht="25.5" customHeight="1" spans="1:4" x14ac:dyDescent="0.25">
      <c r="A1" s="1" t="s">
        <v>55</v>
      </c>
      <c r="B1" s="1"/>
      <c r="C1" s="1"/>
      <c r="D1" s="1"/>
    </row>
    <row r="2" ht="15" customHeight="1" spans="1:4" x14ac:dyDescent="0.25">
      <c r="A2" s="2" t="s">
        <v>56</v>
      </c>
      <c r="B2" s="2"/>
      <c r="C2" s="2"/>
      <c r="D2" s="2"/>
    </row>
    <row r="4" ht="24" customHeight="1" spans="1:4" x14ac:dyDescent="0.25">
      <c r="A4" s="5" t="s">
        <v>19</v>
      </c>
      <c r="B4" s="5" t="s">
        <v>20</v>
      </c>
      <c r="C4" s="5" t="s">
        <v>57</v>
      </c>
      <c r="D4" s="5" t="s">
        <v>21</v>
      </c>
    </row>
    <row r="5" spans="1:4" x14ac:dyDescent="0.25">
      <c r="A5" s="6" t="s">
        <v>22</v>
      </c>
      <c r="B5" s="7" t="s">
        <v>23</v>
      </c>
      <c r="C5" s="19">
        <f>SUM(Attendance!AH7:AH14)</f>
      </c>
      <c r="D5" s="7" t="s">
        <v>24</v>
      </c>
    </row>
    <row r="6" spans="1:4" x14ac:dyDescent="0.25">
      <c r="A6" s="8" t="s">
        <v>25</v>
      </c>
      <c r="B6" s="9" t="s">
        <v>26</v>
      </c>
      <c r="C6" s="23">
        <f>SUM(Attendance!AI7:AI14)</f>
      </c>
      <c r="D6" s="9" t="s">
        <v>27</v>
      </c>
    </row>
    <row r="7" spans="1:4" x14ac:dyDescent="0.25">
      <c r="A7" s="10" t="s">
        <v>28</v>
      </c>
      <c r="B7" s="7" t="s">
        <v>29</v>
      </c>
      <c r="C7" s="19">
        <f>SUM(Attendance!AJ7:AJ14)</f>
      </c>
      <c r="D7" s="7" t="s">
        <v>30</v>
      </c>
    </row>
    <row r="8" spans="1:4" x14ac:dyDescent="0.25">
      <c r="A8" s="11" t="s">
        <v>31</v>
      </c>
      <c r="B8" s="9" t="s">
        <v>32</v>
      </c>
      <c r="C8" s="23">
        <f>SUM(Attendance!AK7:AK14)</f>
      </c>
      <c r="D8" s="9" t="s">
        <v>33</v>
      </c>
    </row>
    <row r="9" spans="1:4" x14ac:dyDescent="0.25">
      <c r="A9" s="12" t="s">
        <v>34</v>
      </c>
      <c r="B9" s="7" t="s">
        <v>35</v>
      </c>
      <c r="C9" s="19">
        <f>SUM(Attendance!AL7:AL14)</f>
      </c>
      <c r="D9" s="7" t="s">
        <v>24</v>
      </c>
    </row>
    <row r="10" spans="1:4" x14ac:dyDescent="0.25">
      <c r="A10" s="13" t="s">
        <v>36</v>
      </c>
      <c r="B10" s="9" t="s">
        <v>37</v>
      </c>
      <c r="C10" s="23">
        <f>SUM(Attendance!AM7:AM14)</f>
      </c>
      <c r="D10" s="9" t="s">
        <v>38</v>
      </c>
    </row>
    <row r="11" spans="1:4" x14ac:dyDescent="0.25">
      <c r="A11" s="14" t="s">
        <v>39</v>
      </c>
      <c r="B11" s="7" t="s">
        <v>40</v>
      </c>
      <c r="C11" s="19">
        <f>SUM(Attendance!AN7:AN14)</f>
      </c>
      <c r="D11" s="7" t="s">
        <v>41</v>
      </c>
    </row>
    <row r="12" ht="20" customHeight="1" spans="1:4" x14ac:dyDescent="0.25">
      <c r="A12" s="24" t="s">
        <v>58</v>
      </c>
      <c r="B12" s="24" t="s">
        <v>59</v>
      </c>
      <c r="C12" s="6">
        <f>SUM(C5:C11)</f>
      </c>
      <c r="D12" s="24" t="s">
        <v>60</v>
      </c>
    </row>
  </sheetData>
  <printOptions horizontalCentered="1"/>
  <pageMargins left="0.4" right="0.4" top="0.6" bottom="0.6" header="0.3" footer="0.3"/>
  <pageSetup paperSize="1" orientation="portrait" fitToWidth="1" fitToHeight="0"/>
  <headerFooter>
    <oddFooter>&amp;L&amp;9Explore Excel&amp;R&amp;9Page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Codes</vt:lpstr>
      <vt:lpstr>Attendance</vt:lpstr>
      <vt:lpstr>Summary</vt:lpstr>
    </vt:vector>
  </TitlesOfParts>
  <Company>Explore Excel</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Explore Excel</dc:creator>
  <dc:title/>
  <dc:subject/>
  <dc:description/>
  <cp:keywords/>
  <cp:category/>
  <cp:lastModifiedBy>Unknown</cp:lastModifiedBy>
  <dcterms:created xsi:type="dcterms:W3CDTF">2026-08-19T10:43:07Z</dcterms:created>
  <dcterms:modified xsi:type="dcterms:W3CDTF">2026-08-19T10:43:07Z</dcterms:modified>
</cp:coreProperties>
</file>