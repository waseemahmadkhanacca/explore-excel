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Codes" state="visible" r:id="rId5"/>
    <sheet sheetId="3" name="Attendance" state="visible" r:id="rId6"/>
    <sheet sheetId="4" name="Summary" state="visible" r:id="rId7"/>
  </sheets>
  <calcPr calcId="171027"/>
</workbook>
</file>

<file path=xl/sharedStrings.xml><?xml version="1.0" encoding="utf-8"?>
<sst xmlns="http://schemas.openxmlformats.org/spreadsheetml/2006/main" count="84" uniqueCount="58">
  <si>
    <t>Attendance and leave tracker</t>
  </si>
  <si>
    <t>How to use this template</t>
  </si>
  <si>
    <t>What this does</t>
  </si>
  <si>
    <t>Records daily attendance for a team across one month and totals each code automatically.</t>
  </si>
  <si>
    <t/>
  </si>
  <si>
    <t>Using it</t>
  </si>
  <si>
    <t>1. Set the month start date in cell C3. Every column heading follows from it.</t>
  </si>
  <si>
    <t>2. Replace the names in column B with your team.</t>
  </si>
  <si>
    <t>3. Each day, enter a code in the grid. Pick from the dropdown so nothing is mistyped.</t>
  </si>
  <si>
    <t>4. The totals on the right count themselves, and the Summary sheet totals the whole team.</t>
  </si>
  <si>
    <t>The codes</t>
  </si>
  <si>
    <t>P present, H holiday, S sick, L late, R remote, U unpaid leave, X public holiday. The Codes sheet lists them and the dropdown enforces them.</t>
  </si>
  <si>
    <t>Why the dropdown matters</t>
  </si>
  <si>
    <t>A tracker breaks when someone types "p" one day and "Present" the next, because COUNTIF counts them as different things. The dropdown makes that impossible, which is why every cell in the grid carries one.</t>
  </si>
  <si>
    <t>Cells with a white background are for you to fill in. Shaded cells hold formulas — changing one replaces the calculation with whatever you typed.</t>
  </si>
  <si>
    <t>Codes</t>
  </si>
  <si>
    <t>The only values the grid accepts</t>
  </si>
  <si>
    <t>Code</t>
  </si>
  <si>
    <t>Meaning</t>
  </si>
  <si>
    <t>Counts towards</t>
  </si>
  <si>
    <t>P</t>
  </si>
  <si>
    <t>Present</t>
  </si>
  <si>
    <t>Working days</t>
  </si>
  <si>
    <t>H</t>
  </si>
  <si>
    <t>Holiday</t>
  </si>
  <si>
    <t>Annual leave entitlement</t>
  </si>
  <si>
    <t>S</t>
  </si>
  <si>
    <t>Sick</t>
  </si>
  <si>
    <t>Sickness absence</t>
  </si>
  <si>
    <t>L</t>
  </si>
  <si>
    <t>Late</t>
  </si>
  <si>
    <t>Working days, flagged</t>
  </si>
  <si>
    <t>R</t>
  </si>
  <si>
    <t>Remote</t>
  </si>
  <si>
    <t>U</t>
  </si>
  <si>
    <t>Unpaid leave</t>
  </si>
  <si>
    <t>Unpaid absence</t>
  </si>
  <si>
    <t>X</t>
  </si>
  <si>
    <t>Public holiday</t>
  </si>
  <si>
    <t>Not counted as absence</t>
  </si>
  <si>
    <t>Attendance and leave</t>
  </si>
  <si>
    <t>Set the month below, then fill the grid from the dropdowns</t>
  </si>
  <si>
    <t>Month starts</t>
  </si>
  <si>
    <t>#</t>
  </si>
  <si>
    <t>Name</t>
  </si>
  <si>
    <t>Adams, R</t>
  </si>
  <si>
    <t>Brennan, T</t>
  </si>
  <si>
    <t>Fischer, L</t>
  </si>
  <si>
    <t>Okafor, J</t>
  </si>
  <si>
    <t>Pritchard, O</t>
  </si>
  <si>
    <t>Raman, P</t>
  </si>
  <si>
    <t>Whitfield, S</t>
  </si>
  <si>
    <t>Zhang, M</t>
  </si>
  <si>
    <t>Month summary</t>
  </si>
  <si>
    <t>Totals across the whole team</t>
  </si>
  <si>
    <t>Days</t>
  </si>
  <si>
    <t>Total</t>
  </si>
  <si>
    <t>Every code entered this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</si>
</sst>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m yyyy"/>
    <numFmt numFmtId="165" formatCode="d"/>
  </numFmts>
  <fonts count="10" x14ac:knownFonts="1">
    <font>
      <color theme="1"/>
      <family val="2"/>
      <scheme val="minor"/>
      <sz val="11"/>
      <name val="Calibri"/>
    </font>
    <font>
      <b/>
      <color rgb="FF16324F"/>
      <sz val="16"/>
      <name val="Calibri"/>
    </font>
    <font>
      <i/>
      <color rgb="FF5A6B7B"/>
      <sz val="10"/>
      <name val="Calibri"/>
    </font>
    <font>
      <b/>
      <color rgb="FF16324F"/>
      <sz val="11"/>
      <name val="Calibri"/>
    </font>
    <font>
      <color rgb="FF16324F"/>
      <sz val="10"/>
      <name val="Calibri"/>
    </font>
    <font>
      <i/>
      <color rgb="FF5A6B7B"/>
      <sz val="9"/>
      <name val="Calibri"/>
    </font>
    <font>
      <b/>
      <color rgb="FFFFFFFF"/>
      <sz val="10"/>
      <name val="Calibri"/>
    </font>
    <font>
      <b/>
      <color rgb="FF16324F"/>
      <sz val="9"/>
      <name val="Calibri"/>
    </font>
    <font>
      <b/>
      <color rgb="FFFFFFFF"/>
      <sz val="8"/>
      <name val="Calibri"/>
    </font>
    <font>
      <b/>
      <color rgb="FF16324F"/>
      <sz val="10"/>
      <name val="Calibri"/>
    </font>
  </fonts>
  <fills count="12">
    <fill>
      <patternFill patternType="none"/>
    </fill>
    <fill>
      <patternFill patternType="gray125"/>
    </fill>
    <fill>
      <patternFill patternType="solid">
        <fgColor rgb="FF16324F"/>
      </patternFill>
    </fill>
    <fill>
      <patternFill patternType="solid">
        <fgColor rgb="FF2E7D5B"/>
      </patternFill>
    </fill>
    <fill>
      <patternFill patternType="solid">
        <fgColor rgb="FF3D7EA6"/>
      </patternFill>
    </fill>
    <fill>
      <patternFill patternType="solid">
        <fgColor rgb="FFF4F7F9"/>
      </patternFill>
    </fill>
    <fill>
      <patternFill patternType="solid">
        <fgColor rgb="FFB4232B"/>
      </patternFill>
    </fill>
    <fill>
      <patternFill patternType="solid">
        <fgColor rgb="FFD08700"/>
      </patternFill>
    </fill>
    <fill>
      <patternFill patternType="solid">
        <fgColor rgb="FF6B5BA6"/>
      </patternFill>
    </fill>
    <fill>
      <patternFill patternType="solid">
        <fgColor rgb="FF5A6B7B"/>
      </patternFill>
    </fill>
    <fill>
      <patternFill patternType="solid">
        <fgColor rgb="FF8A8F94"/>
      </patternFill>
    </fill>
    <fill>
      <patternFill patternType="solid">
        <fgColor rgb="FFFDF0CE"/>
      </patternFill>
    </fill>
  </fills>
  <borders count="2">
    <border>
      <left/>
      <right/>
      <top/>
      <bottom/>
      <diagonal/>
    </border>
    <border>
      <left style="thin">
        <color rgb="FFD8DEE4"/>
      </left>
      <right style="thin">
        <color rgb="FFD8DEE4"/>
      </right>
      <top style="thin">
        <color rgb="FFD8DEE4"/>
      </top>
      <bottom style="thin">
        <color rgb="FFD8DEE4"/>
      </bottom>
      <diagonal/>
    </border>
  </borders>
  <cellStyleXfs count="1">
    <xf numFmtId="0" fontId="0" fillId="0" borderId="0"/>
  </cellStyleXfs>
  <cellXfs count="32">
    <xf numFmtId="0" fontId="0" fillId="0" borderId="0" xfId="0"/>
    <xf numFmtId="0" fontId="1" fillId="0" borderId="0" xfId="0" applyFont="1" applyAlignment="1">
      <alignment horizontal="centerContinuous"/>
    </xf>
    <xf numFmtId="0" fontId="0" fillId="0" borderId="0" xfId="0" applyAlignment="1">
      <alignment horizontal="centerContinuous"/>
    </xf>
    <xf numFmtId="0" fontId="2" fillId="0" borderId="0" xfId="0" applyFont="1" applyAlignment="1">
      <alignment horizontal="centerContinuous"/>
    </xf>
    <xf numFmtId="0" fontId="3" fillId="0" borderId="0" xfId="0" applyFont="1"/>
    <xf numFmtId="0" fontId="4" fillId="0" borderId="0" xfId="0" applyFont="1" applyAlignment="1">
      <alignment vertical="top" wrapText="1"/>
    </xf>
    <xf numFmtId="0" fontId="5" fillId="0" borderId="0" xfId="0" applyFont="1" applyAlignment="1">
      <alignment vertical="top" wrapText="1"/>
    </xf>
    <xf numFmtId="0" fontId="6" fillId="2" borderId="1" xfId="0" applyFont="1" applyFill="1" applyBorder="1" applyAlignment="1">
      <alignment horizontal="center" vertical="center" wrapText="1"/>
    </xf>
    <xf numFmtId="0" fontId="6" fillId="3" borderId="0" xfId="0" applyFont="1" applyFill="1" applyAlignment="1">
      <alignment horizontal="center"/>
    </xf>
    <xf numFmtId="0" fontId="4" fillId="0" borderId="1" xfId="0" applyFont="1" applyBorder="1"/>
    <xf numFmtId="0" fontId="6" fillId="4" borderId="0" xfId="0" applyFont="1" applyFill="1" applyAlignment="1">
      <alignment horizontal="center"/>
    </xf>
    <xf numFmtId="0" fontId="4" fillId="5" borderId="1" xfId="0" applyFont="1" applyFill="1" applyBorder="1"/>
    <xf numFmtId="0" fontId="6" fillId="6" borderId="0" xfId="0" applyFont="1" applyFill="1" applyAlignment="1">
      <alignment horizontal="center"/>
    </xf>
    <xf numFmtId="0" fontId="6" fillId="7" borderId="0" xfId="0" applyFont="1" applyFill="1" applyAlignment="1">
      <alignment horizontal="center"/>
    </xf>
    <xf numFmtId="0" fontId="6" fillId="8" borderId="0" xfId="0" applyFont="1" applyFill="1" applyAlignment="1">
      <alignment horizontal="center"/>
    </xf>
    <xf numFmtId="0" fontId="6" fillId="9" borderId="0" xfId="0" applyFont="1" applyFill="1" applyAlignment="1">
      <alignment horizontal="center"/>
    </xf>
    <xf numFmtId="0" fontId="6" fillId="10" borderId="0" xfId="0" applyFont="1" applyFill="1" applyAlignment="1">
      <alignment horizontal="center"/>
    </xf>
    <xf numFmtId="0" fontId="7" fillId="0" borderId="0" xfId="0" applyFont="1"/>
    <xf numFmtId="164" fontId="3" fillId="11" borderId="1" xfId="0" applyNumberFormat="1" applyFont="1" applyFill="1" applyBorder="1"/>
    <xf numFmtId="0" fontId="6" fillId="2" borderId="1" xfId="0" applyFont="1" applyFill="1" applyBorder="1" applyAlignment="1">
      <alignment horizontal="center" vertical="center"/>
    </xf>
    <xf numFmtId="165" fontId="8" fillId="2" borderId="1" xfId="0" applyNumberFormat="1" applyFont="1" applyFill="1" applyBorder="1" applyAlignment="1">
      <alignment horizontal="center"/>
    </xf>
    <xf numFmtId="0" fontId="6" fillId="3" borderId="1" xfId="0" applyFont="1" applyFill="1" applyBorder="1" applyAlignment="1">
      <alignment horizontal="center"/>
    </xf>
    <xf numFmtId="0" fontId="6" fillId="4" borderId="1" xfId="0" applyFont="1" applyFill="1" applyBorder="1" applyAlignment="1">
      <alignment horizontal="center"/>
    </xf>
    <xf numFmtId="0" fontId="6" fillId="6" borderId="1" xfId="0" applyFont="1" applyFill="1" applyBorder="1" applyAlignment="1">
      <alignment horizontal="center"/>
    </xf>
    <xf numFmtId="0" fontId="6" fillId="7" borderId="1" xfId="0" applyFont="1" applyFill="1" applyBorder="1" applyAlignment="1">
      <alignment horizontal="center"/>
    </xf>
    <xf numFmtId="0" fontId="6" fillId="8" borderId="1" xfId="0" applyFont="1" applyFill="1" applyBorder="1" applyAlignment="1">
      <alignment horizontal="center"/>
    </xf>
    <xf numFmtId="0" fontId="6" fillId="9" borderId="1" xfId="0" applyFont="1" applyFill="1" applyBorder="1" applyAlignment="1">
      <alignment horizontal="center"/>
    </xf>
    <xf numFmtId="0" fontId="6" fillId="10" borderId="1" xfId="0" applyFont="1" applyFill="1" applyBorder="1" applyAlignment="1">
      <alignment horizontal="center"/>
    </xf>
    <xf numFmtId="0" fontId="0" fillId="0" borderId="0" xfId="0" applyAlignment="1">
      <alignment horizontal="center"/>
    </xf>
    <xf numFmtId="0" fontId="7" fillId="0" borderId="1" xfId="0" applyFont="1" applyBorder="1" applyAlignment="1">
      <alignment horizontal="center"/>
    </xf>
    <xf numFmtId="0" fontId="9" fillId="5" borderId="1" xfId="0" applyFont="1" applyFill="1" applyBorder="1" applyAlignment="1">
      <alignment horizontal="center"/>
    </xf>
    <xf numFmtId="0" fontId="6" fillId="3" borderId="1" xfId="0" applyFont="1" applyFill="1" applyBorder="1"/>
  </cellXfs>
  <cellStyles count="1">
    <cellStyle name="Normal" xfId="0" builtinId="0"/>
  </cellStyles>
  <dxfs count="8">
    <dxf>
      <font>
        <b/>
        <color rgb="FFFFFFFF"/>
      </font>
      <fill>
        <patternFill patternType="solid">
          <fgColor rgb="FF2E7D5B"/>
        </patternFill>
      </fill>
    </dxf>
    <dxf>
      <font>
        <b/>
        <color rgb="FFFFFFFF"/>
      </font>
      <fill>
        <patternFill patternType="solid">
          <fgColor rgb="FF3D7EA6"/>
        </patternFill>
      </fill>
    </dxf>
    <dxf>
      <font>
        <b/>
        <color rgb="FFFFFFFF"/>
      </font>
      <fill>
        <patternFill patternType="solid">
          <fgColor rgb="FFB4232B"/>
        </patternFill>
      </fill>
    </dxf>
    <dxf>
      <font>
        <b/>
        <color rgb="FFFFFFFF"/>
      </font>
      <fill>
        <patternFill patternType="solid">
          <fgColor rgb="FFD08700"/>
        </patternFill>
      </fill>
    </dxf>
    <dxf>
      <font>
        <b/>
        <color rgb="FFFFFFFF"/>
      </font>
      <fill>
        <patternFill patternType="solid">
          <fgColor rgb="FF6B5BA6"/>
        </patternFill>
      </fill>
    </dxf>
    <dxf>
      <font>
        <b/>
        <color rgb="FFFFFFFF"/>
      </font>
      <fill>
        <patternFill patternType="solid">
          <fgColor rgb="FF5A6B7B"/>
        </patternFill>
      </fill>
    </dxf>
    <dxf>
      <font>
        <b/>
        <color rgb="FFFFFFFF"/>
      </font>
      <fill>
        <patternFill patternType="solid">
          <fgColor rgb="FF8A8F94"/>
        </patternFill>
      </fill>
    </dxf>
    <dxf>
      <fill>
        <patternFill patternType="solid">
          <fgColor rgb="FFEDF1F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A6B7B"/>
    <pageSetUpPr fitToPage="1"/>
  </sheetPr>
  <dimension ref="A2:B20"/>
  <sheetViews>
    <sheetView workbookViewId="0">
      <pane topLeftCell="A1" activePane="bottomLeft" state="frozen"/>
      <selection pane="bottomLeft"/>
    </sheetView>
  </sheetViews>
  <sheetFormatPr defaultRowHeight="15" outlineLevelRow="0" outlineLevelCol="0" x14ac:dyDescent="55"/>
  <cols>
    <col min="1" max="1" width="3" customWidth="1"/>
    <col min="2" max="2" width="96" customWidth="1"/>
  </cols>
  <sheetData>
    <row r="2" ht="24" customHeight="1" spans="1:2" x14ac:dyDescent="0.25">
      <c r="A2" s="1" t="s">
        <v>0</v>
      </c>
      <c r="B2" s="2"/>
    </row>
    <row r="3" ht="16" customHeight="1" spans="1:2" x14ac:dyDescent="0.25">
      <c r="A3" s="3" t="s">
        <v>1</v>
      </c>
      <c r="B3" s="2"/>
    </row>
    <row r="5" ht="22" customHeight="1" spans="2:2" x14ac:dyDescent="0.25">
      <c r="B5" s="4" t="s">
        <v>2</v>
      </c>
    </row>
    <row r="6" ht="16" customHeight="1" spans="2:2" x14ac:dyDescent="0.25">
      <c r="B6" s="5" t="s">
        <v>3</v>
      </c>
    </row>
    <row r="7" ht="16" customHeight="1" spans="2:2" x14ac:dyDescent="0.25">
      <c r="B7" s="5" t="s">
        <v>4</v>
      </c>
    </row>
    <row r="8" ht="22" customHeight="1" spans="2:2" x14ac:dyDescent="0.25">
      <c r="B8" s="4" t="s">
        <v>5</v>
      </c>
    </row>
    <row r="9" ht="16" customHeight="1" spans="2:2" x14ac:dyDescent="0.25">
      <c r="B9" s="5" t="s">
        <v>6</v>
      </c>
    </row>
    <row r="10" ht="16" customHeight="1" spans="2:2" x14ac:dyDescent="0.25">
      <c r="B10" s="5" t="s">
        <v>7</v>
      </c>
    </row>
    <row r="11" ht="16" customHeight="1" spans="2:2" x14ac:dyDescent="0.25">
      <c r="B11" s="5" t="s">
        <v>8</v>
      </c>
    </row>
    <row r="12" ht="16" customHeight="1" spans="2:2" x14ac:dyDescent="0.25">
      <c r="B12" s="5" t="s">
        <v>9</v>
      </c>
    </row>
    <row r="13" ht="16" customHeight="1" spans="2:2" x14ac:dyDescent="0.25">
      <c r="B13" s="5" t="s">
        <v>4</v>
      </c>
    </row>
    <row r="14" ht="22" customHeight="1" spans="2:2" x14ac:dyDescent="0.25">
      <c r="B14" s="4" t="s">
        <v>10</v>
      </c>
    </row>
    <row r="15" ht="28" customHeight="1" spans="2:2" x14ac:dyDescent="0.25">
      <c r="B15" s="5" t="s">
        <v>11</v>
      </c>
    </row>
    <row r="16" ht="16" customHeight="1" spans="2:2" x14ac:dyDescent="0.25">
      <c r="B16" s="5" t="s">
        <v>4</v>
      </c>
    </row>
    <row r="17" ht="22" customHeight="1" spans="2:2" x14ac:dyDescent="0.25">
      <c r="B17" s="4" t="s">
        <v>12</v>
      </c>
    </row>
    <row r="18" ht="28" customHeight="1" spans="2:2" x14ac:dyDescent="0.25">
      <c r="B18" s="5" t="s">
        <v>13</v>
      </c>
    </row>
    <row r="20" ht="28" customHeight="1" spans="2:2" x14ac:dyDescent="0.25">
      <c r="B20" s="6" t="s">
        <v>14</v>
      </c>
    </row>
  </sheetData>
  <pageMargins left="0.4" right="0.4" top="0.6" bottom="0.6" header="0.3" footer="0.3"/>
  <pageSetup orientation="portrait" fitToWidth="1" fitToHeight="0"/>
  <headerFooter>
    <oddFooter>&amp;L&amp;"Calibri,Italic"Explore Excel&amp;R&amp;"Calibri,Italic"Page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A6B7B"/>
    <pageSetUpPr fitToPage="1"/>
  </sheetPr>
  <dimension ref="A1:C10"/>
  <sheetFormatPr defaultRowHeight="15" outlineLevelRow="0" outlineLevelCol="0" x14ac:dyDescent="55"/>
  <cols>
    <col min="1" max="1" width="10" customWidth="1"/>
    <col min="2" max="2" width="30" customWidth="1"/>
    <col min="3" max="3" width="46" customWidth="1"/>
  </cols>
  <sheetData>
    <row r="1" ht="24" customHeight="1" spans="1:3" x14ac:dyDescent="0.25">
      <c r="A1" s="1" t="s">
        <v>15</v>
      </c>
      <c r="B1" s="2"/>
      <c r="C1" s="2"/>
    </row>
    <row r="2" ht="16" customHeight="1" spans="1:3" x14ac:dyDescent="0.25">
      <c r="A2" s="3" t="s">
        <v>16</v>
      </c>
      <c r="B2" s="2"/>
      <c r="C2" s="2"/>
    </row>
    <row r="3" ht="28" customHeight="1" spans="1:3" x14ac:dyDescent="0.25">
      <c r="A3" s="7" t="s">
        <v>17</v>
      </c>
      <c r="B3" s="7" t="s">
        <v>18</v>
      </c>
      <c r="C3" s="7" t="s">
        <v>19</v>
      </c>
    </row>
    <row r="4" spans="1:3" x14ac:dyDescent="0.25">
      <c r="A4" s="8" t="s">
        <v>20</v>
      </c>
      <c r="B4" s="9" t="s">
        <v>21</v>
      </c>
      <c r="C4" s="9" t="s">
        <v>22</v>
      </c>
    </row>
    <row r="5" spans="1:3" x14ac:dyDescent="0.25">
      <c r="A5" s="10" t="s">
        <v>23</v>
      </c>
      <c r="B5" s="11" t="s">
        <v>24</v>
      </c>
      <c r="C5" s="11" t="s">
        <v>25</v>
      </c>
    </row>
    <row r="6" spans="1:3" x14ac:dyDescent="0.25">
      <c r="A6" s="12" t="s">
        <v>26</v>
      </c>
      <c r="B6" s="9" t="s">
        <v>27</v>
      </c>
      <c r="C6" s="9" t="s">
        <v>28</v>
      </c>
    </row>
    <row r="7" spans="1:3" x14ac:dyDescent="0.25">
      <c r="A7" s="13" t="s">
        <v>29</v>
      </c>
      <c r="B7" s="11" t="s">
        <v>30</v>
      </c>
      <c r="C7" s="11" t="s">
        <v>31</v>
      </c>
    </row>
    <row r="8" spans="1:3" x14ac:dyDescent="0.25">
      <c r="A8" s="14" t="s">
        <v>32</v>
      </c>
      <c r="B8" s="9" t="s">
        <v>33</v>
      </c>
      <c r="C8" s="9" t="s">
        <v>22</v>
      </c>
    </row>
    <row r="9" spans="1:3" x14ac:dyDescent="0.25">
      <c r="A9" s="15" t="s">
        <v>34</v>
      </c>
      <c r="B9" s="11" t="s">
        <v>35</v>
      </c>
      <c r="C9" s="11" t="s">
        <v>36</v>
      </c>
    </row>
    <row r="10" spans="1:3" x14ac:dyDescent="0.25">
      <c r="A10" s="16" t="s">
        <v>37</v>
      </c>
      <c r="B10" s="9" t="s">
        <v>38</v>
      </c>
      <c r="C10" s="9" t="s">
        <v>39</v>
      </c>
    </row>
  </sheetData>
  <pageMargins left="0.4" right="0.4" top="0.6" bottom="0.6" header="0.3" footer="0.3"/>
  <pageSetup orientation="portrait" fitToWidth="1" fitToHeight="0"/>
  <headerFooter>
    <oddFooter>&amp;L&amp;"Calibri,Italic"Explore Excel&amp;R&amp;"Calibri,Italic"Page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324F"/>
    <pageSetUpPr fitToPage="1"/>
  </sheetPr>
  <dimension ref="A1:AN13"/>
  <sheetViews>
    <sheetView workbookViewId="0">
      <pane xSplit="2" ySplit="5" topLeftCell="C6" activePane="bottomRight" state="frozen"/>
      <selection pane="bottomRight"/>
    </sheetView>
  </sheetViews>
  <sheetFormatPr defaultRowHeight="15" outlineLevelRow="0" outlineLevelCol="0" x14ac:dyDescent="55"/>
  <cols>
    <col min="1" max="1" width="4" customWidth="1"/>
    <col min="2" max="2" width="20" customWidth="1"/>
    <col min="3" max="33" width="3.4" customWidth="1"/>
    <col min="34" max="40" width="5.5" customWidth="1"/>
  </cols>
  <sheetData>
    <row r="1" ht="24" customHeight="1" spans="1:10" x14ac:dyDescent="0.25">
      <c r="A1" s="1" t="s">
        <v>40</v>
      </c>
      <c r="B1" s="2"/>
      <c r="C1" s="2"/>
      <c r="D1" s="2"/>
      <c r="E1" s="2"/>
      <c r="F1" s="2"/>
      <c r="G1" s="2"/>
      <c r="H1" s="2"/>
      <c r="I1" s="2"/>
      <c r="J1" s="2"/>
    </row>
    <row r="2" ht="16" customHeight="1" spans="1:10" x14ac:dyDescent="0.25">
      <c r="A2" s="3" t="s">
        <v>41</v>
      </c>
      <c r="B2" s="2"/>
      <c r="C2" s="2"/>
      <c r="D2" s="2"/>
      <c r="E2" s="2"/>
      <c r="F2" s="2"/>
      <c r="G2" s="2"/>
      <c r="H2" s="2"/>
      <c r="I2" s="2"/>
      <c r="J2" s="2"/>
    </row>
    <row r="3" spans="2:3" x14ac:dyDescent="0.25">
      <c r="B3" s="17" t="s">
        <v>42</v>
      </c>
      <c r="C3" s="18">
        <v>46023</v>
      </c>
    </row>
    <row r="5" ht="28" customHeight="1" spans="1:40" x14ac:dyDescent="0.25">
      <c r="A5" s="19" t="s">
        <v>43</v>
      </c>
      <c r="B5" s="19" t="s">
        <v>44</v>
      </c>
      <c r="C5" s="20">
        <f>IF(MONTH($C$3+0)=MONTH($C$3),$C$3+0,"")</f>
      </c>
      <c r="D5" s="20">
        <f>IF(MONTH($C$3+1)=MONTH($C$3),$C$3+1,"")</f>
      </c>
      <c r="E5" s="20">
        <f>IF(MONTH($C$3+2)=MONTH($C$3),$C$3+2,"")</f>
      </c>
      <c r="F5" s="20">
        <f>IF(MONTH($C$3+3)=MONTH($C$3),$C$3+3,"")</f>
      </c>
      <c r="G5" s="20">
        <f>IF(MONTH($C$3+4)=MONTH($C$3),$C$3+4,"")</f>
      </c>
      <c r="H5" s="20">
        <f>IF(MONTH($C$3+5)=MONTH($C$3),$C$3+5,"")</f>
      </c>
      <c r="I5" s="20">
        <f>IF(MONTH($C$3+6)=MONTH($C$3),$C$3+6,"")</f>
      </c>
      <c r="J5" s="20">
        <f>IF(MONTH($C$3+7)=MONTH($C$3),$C$3+7,"")</f>
      </c>
      <c r="K5" s="20">
        <f>IF(MONTH($C$3+8)=MONTH($C$3),$C$3+8,"")</f>
      </c>
      <c r="L5" s="20">
        <f>IF(MONTH($C$3+9)=MONTH($C$3),$C$3+9,"")</f>
      </c>
      <c r="M5" s="20">
        <f>IF(MONTH($C$3+10)=MONTH($C$3),$C$3+10,"")</f>
      </c>
      <c r="N5" s="20">
        <f>IF(MONTH($C$3+11)=MONTH($C$3),$C$3+11,"")</f>
      </c>
      <c r="O5" s="20">
        <f>IF(MONTH($C$3+12)=MONTH($C$3),$C$3+12,"")</f>
      </c>
      <c r="P5" s="20">
        <f>IF(MONTH($C$3+13)=MONTH($C$3),$C$3+13,"")</f>
      </c>
      <c r="Q5" s="20">
        <f>IF(MONTH($C$3+14)=MONTH($C$3),$C$3+14,"")</f>
      </c>
      <c r="R5" s="20">
        <f>IF(MONTH($C$3+15)=MONTH($C$3),$C$3+15,"")</f>
      </c>
      <c r="S5" s="20">
        <f>IF(MONTH($C$3+16)=MONTH($C$3),$C$3+16,"")</f>
      </c>
      <c r="T5" s="20">
        <f>IF(MONTH($C$3+17)=MONTH($C$3),$C$3+17,"")</f>
      </c>
      <c r="U5" s="20">
        <f>IF(MONTH($C$3+18)=MONTH($C$3),$C$3+18,"")</f>
      </c>
      <c r="V5" s="20">
        <f>IF(MONTH($C$3+19)=MONTH($C$3),$C$3+19,"")</f>
      </c>
      <c r="W5" s="20">
        <f>IF(MONTH($C$3+20)=MONTH($C$3),$C$3+20,"")</f>
      </c>
      <c r="X5" s="20">
        <f>IF(MONTH($C$3+21)=MONTH($C$3),$C$3+21,"")</f>
      </c>
      <c r="Y5" s="20">
        <f>IF(MONTH($C$3+22)=MONTH($C$3),$C$3+22,"")</f>
      </c>
      <c r="Z5" s="20">
        <f>IF(MONTH($C$3+23)=MONTH($C$3),$C$3+23,"")</f>
      </c>
      <c r="AA5" s="20">
        <f>IF(MONTH($C$3+24)=MONTH($C$3),$C$3+24,"")</f>
      </c>
      <c r="AB5" s="20">
        <f>IF(MONTH($C$3+25)=MONTH($C$3),$C$3+25,"")</f>
      </c>
      <c r="AC5" s="20">
        <f>IF(MONTH($C$3+26)=MONTH($C$3),$C$3+26,"")</f>
      </c>
      <c r="AD5" s="20">
        <f>IF(MONTH($C$3+27)=MONTH($C$3),$C$3+27,"")</f>
      </c>
      <c r="AE5" s="20">
        <f>IF(MONTH($C$3+28)=MONTH($C$3),$C$3+28,"")</f>
      </c>
      <c r="AF5" s="20">
        <f>IF(MONTH($C$3+29)=MONTH($C$3),$C$3+29,"")</f>
      </c>
      <c r="AG5" s="20">
        <f>IF(MONTH($C$3+30)=MONTH($C$3),$C$3+30,"")</f>
      </c>
      <c r="AH5" s="21" t="s">
        <v>20</v>
      </c>
      <c r="AI5" s="22" t="s">
        <v>23</v>
      </c>
      <c r="AJ5" s="23" t="s">
        <v>26</v>
      </c>
      <c r="AK5" s="24" t="s">
        <v>29</v>
      </c>
      <c r="AL5" s="25" t="s">
        <v>32</v>
      </c>
      <c r="AM5" s="26" t="s">
        <v>34</v>
      </c>
      <c r="AN5" s="27" t="s">
        <v>37</v>
      </c>
    </row>
    <row r="6" spans="1:40" x14ac:dyDescent="0.25">
      <c r="A6" s="28">
        <v>1</v>
      </c>
      <c r="B6" t="s">
        <v>45</v>
      </c>
      <c r="C6" s="29"/>
      <c r="D6" s="29"/>
      <c r="E6" s="29"/>
      <c r="F6" s="29"/>
      <c r="G6" s="29"/>
      <c r="H6" s="29"/>
      <c r="I6" s="29"/>
      <c r="J6" s="29"/>
      <c r="K6" s="29"/>
      <c r="L6" s="29"/>
      <c r="M6" s="29"/>
      <c r="N6" s="29"/>
      <c r="O6" s="29"/>
      <c r="P6" s="29"/>
      <c r="Q6" s="29"/>
      <c r="R6" s="29"/>
      <c r="S6" s="29"/>
      <c r="T6" s="29"/>
      <c r="U6" s="29"/>
      <c r="V6" s="29"/>
      <c r="W6" s="29"/>
      <c r="X6" s="29"/>
      <c r="Y6" s="29"/>
      <c r="Z6" s="29"/>
      <c r="AA6" s="29"/>
      <c r="AB6" s="29"/>
      <c r="AC6" s="29"/>
      <c r="AD6" s="29"/>
      <c r="AE6" s="29"/>
      <c r="AF6" s="29"/>
      <c r="AG6" s="29"/>
      <c r="AH6" s="30">
        <f>COUNTIF($C6:$AG6,"P")</f>
      </c>
      <c r="AI6" s="30">
        <f>COUNTIF($C6:$AG6,"H")</f>
      </c>
      <c r="AJ6" s="30">
        <f>COUNTIF($C6:$AG6,"S")</f>
      </c>
      <c r="AK6" s="30">
        <f>COUNTIF($C6:$AG6,"L")</f>
      </c>
      <c r="AL6" s="30">
        <f>COUNTIF($C6:$AG6,"R")</f>
      </c>
      <c r="AM6" s="30">
        <f>COUNTIF($C6:$AG6,"U")</f>
      </c>
      <c r="AN6" s="30">
        <f>COUNTIF($C6:$AG6,"X")</f>
      </c>
    </row>
    <row r="7" spans="1:40" x14ac:dyDescent="0.25">
      <c r="A7" s="28">
        <v>2</v>
      </c>
      <c r="B7" t="s">
        <v>46</v>
      </c>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c r="AH7" s="30">
        <f>COUNTIF($C7:$AG7,"P")</f>
      </c>
      <c r="AI7" s="30">
        <f>COUNTIF($C7:$AG7,"H")</f>
      </c>
      <c r="AJ7" s="30">
        <f>COUNTIF($C7:$AG7,"S")</f>
      </c>
      <c r="AK7" s="30">
        <f>COUNTIF($C7:$AG7,"L")</f>
      </c>
      <c r="AL7" s="30">
        <f>COUNTIF($C7:$AG7,"R")</f>
      </c>
      <c r="AM7" s="30">
        <f>COUNTIF($C7:$AG7,"U")</f>
      </c>
      <c r="AN7" s="30">
        <f>COUNTIF($C7:$AG7,"X")</f>
      </c>
    </row>
    <row r="8" spans="1:40" x14ac:dyDescent="0.25">
      <c r="A8" s="28">
        <v>3</v>
      </c>
      <c r="B8" t="s">
        <v>47</v>
      </c>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30">
        <f>COUNTIF($C8:$AG8,"P")</f>
      </c>
      <c r="AI8" s="30">
        <f>COUNTIF($C8:$AG8,"H")</f>
      </c>
      <c r="AJ8" s="30">
        <f>COUNTIF($C8:$AG8,"S")</f>
      </c>
      <c r="AK8" s="30">
        <f>COUNTIF($C8:$AG8,"L")</f>
      </c>
      <c r="AL8" s="30">
        <f>COUNTIF($C8:$AG8,"R")</f>
      </c>
      <c r="AM8" s="30">
        <f>COUNTIF($C8:$AG8,"U")</f>
      </c>
      <c r="AN8" s="30">
        <f>COUNTIF($C8:$AG8,"X")</f>
      </c>
    </row>
    <row r="9" spans="1:40" x14ac:dyDescent="0.25">
      <c r="A9" s="28">
        <v>4</v>
      </c>
      <c r="B9" t="s">
        <v>48</v>
      </c>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30">
        <f>COUNTIF($C9:$AG9,"P")</f>
      </c>
      <c r="AI9" s="30">
        <f>COUNTIF($C9:$AG9,"H")</f>
      </c>
      <c r="AJ9" s="30">
        <f>COUNTIF($C9:$AG9,"S")</f>
      </c>
      <c r="AK9" s="30">
        <f>COUNTIF($C9:$AG9,"L")</f>
      </c>
      <c r="AL9" s="30">
        <f>COUNTIF($C9:$AG9,"R")</f>
      </c>
      <c r="AM9" s="30">
        <f>COUNTIF($C9:$AG9,"U")</f>
      </c>
      <c r="AN9" s="30">
        <f>COUNTIF($C9:$AG9,"X")</f>
      </c>
    </row>
    <row r="10" spans="1:40" x14ac:dyDescent="0.25">
      <c r="A10" s="28">
        <v>5</v>
      </c>
      <c r="B10" t="s">
        <v>49</v>
      </c>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30">
        <f>COUNTIF($C10:$AG10,"P")</f>
      </c>
      <c r="AI10" s="30">
        <f>COUNTIF($C10:$AG10,"H")</f>
      </c>
      <c r="AJ10" s="30">
        <f>COUNTIF($C10:$AG10,"S")</f>
      </c>
      <c r="AK10" s="30">
        <f>COUNTIF($C10:$AG10,"L")</f>
      </c>
      <c r="AL10" s="30">
        <f>COUNTIF($C10:$AG10,"R")</f>
      </c>
      <c r="AM10" s="30">
        <f>COUNTIF($C10:$AG10,"U")</f>
      </c>
      <c r="AN10" s="30">
        <f>COUNTIF($C10:$AG10,"X")</f>
      </c>
    </row>
    <row r="11" spans="1:40" x14ac:dyDescent="0.25">
      <c r="A11" s="28">
        <v>6</v>
      </c>
      <c r="B11" t="s">
        <v>50</v>
      </c>
      <c r="C11" s="29"/>
      <c r="D11" s="29"/>
      <c r="E11" s="29"/>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30">
        <f>COUNTIF($C11:$AG11,"P")</f>
      </c>
      <c r="AI11" s="30">
        <f>COUNTIF($C11:$AG11,"H")</f>
      </c>
      <c r="AJ11" s="30">
        <f>COUNTIF($C11:$AG11,"S")</f>
      </c>
      <c r="AK11" s="30">
        <f>COUNTIF($C11:$AG11,"L")</f>
      </c>
      <c r="AL11" s="30">
        <f>COUNTIF($C11:$AG11,"R")</f>
      </c>
      <c r="AM11" s="30">
        <f>COUNTIF($C11:$AG11,"U")</f>
      </c>
      <c r="AN11" s="30">
        <f>COUNTIF($C11:$AG11,"X")</f>
      </c>
    </row>
    <row r="12" spans="1:40" x14ac:dyDescent="0.25">
      <c r="A12" s="28">
        <v>7</v>
      </c>
      <c r="B12" t="s">
        <v>51</v>
      </c>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30">
        <f>COUNTIF($C12:$AG12,"P")</f>
      </c>
      <c r="AI12" s="30">
        <f>COUNTIF($C12:$AG12,"H")</f>
      </c>
      <c r="AJ12" s="30">
        <f>COUNTIF($C12:$AG12,"S")</f>
      </c>
      <c r="AK12" s="30">
        <f>COUNTIF($C12:$AG12,"L")</f>
      </c>
      <c r="AL12" s="30">
        <f>COUNTIF($C12:$AG12,"R")</f>
      </c>
      <c r="AM12" s="30">
        <f>COUNTIF($C12:$AG12,"U")</f>
      </c>
      <c r="AN12" s="30">
        <f>COUNTIF($C12:$AG12,"X")</f>
      </c>
    </row>
    <row r="13" spans="1:40" x14ac:dyDescent="0.25">
      <c r="A13" s="28">
        <v>8</v>
      </c>
      <c r="B13" t="s">
        <v>52</v>
      </c>
      <c r="C13" s="29"/>
      <c r="D13" s="29"/>
      <c r="E13" s="29"/>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30">
        <f>COUNTIF($C13:$AG13,"P")</f>
      </c>
      <c r="AI13" s="30">
        <f>COUNTIF($C13:$AG13,"H")</f>
      </c>
      <c r="AJ13" s="30">
        <f>COUNTIF($C13:$AG13,"S")</f>
      </c>
      <c r="AK13" s="30">
        <f>COUNTIF($C13:$AG13,"L")</f>
      </c>
      <c r="AL13" s="30">
        <f>COUNTIF($C13:$AG13,"R")</f>
      </c>
      <c r="AM13" s="30">
        <f>COUNTIF($C13:$AG13,"U")</f>
      </c>
      <c r="AN13" s="30">
        <f>COUNTIF($C13:$AG13,"X")</f>
      </c>
    </row>
  </sheetData>
  <conditionalFormatting sqref="C6:AG13">
    <cfRule type="cellIs" dxfId="0" priority="1" operator="equal">
      <formula>"P"</formula>
    </cfRule>
    <cfRule type="cellIs" dxfId="1" priority="2" operator="equal">
      <formula>"H"</formula>
    </cfRule>
    <cfRule type="cellIs" dxfId="2" priority="3" operator="equal">
      <formula>"S"</formula>
    </cfRule>
    <cfRule type="cellIs" dxfId="3" priority="4" operator="equal">
      <formula>"L"</formula>
    </cfRule>
    <cfRule type="cellIs" dxfId="4" priority="5" operator="equal">
      <formula>"R"</formula>
    </cfRule>
    <cfRule type="cellIs" dxfId="5" priority="6" operator="equal">
      <formula>"U"</formula>
    </cfRule>
    <cfRule type="cellIs" dxfId="6" priority="7" operator="equal">
      <formula>"X"</formula>
    </cfRule>
    <cfRule type="expression" dxfId="7" priority="8">
      <formula>AND(C$5&lt;&gt;"",WEEKDAY(C$5,2)&gt;5)</formula>
    </cfRule>
  </conditionalFormatting>
  <dataValidations count="4">
    <dataValidation type="list" allowBlank="1" showErrorMessage="1" errorTitle="Unknown code" error="Use one of the codes listed on the Codes sheet." sqref="AA10:AG13">
      <formula1>"P,H,S,L,R,U,X"</formula1>
    </dataValidation>
    <dataValidation type="list" allowBlank="1" showErrorMessage="1" errorTitle="Unknown code" error="Use one of the codes listed on the Codes sheet." sqref="AA6:AG13">
      <formula1>"P,H,S,L,R,U,X"</formula1>
    </dataValidation>
    <dataValidation type="list" allowBlank="1" showErrorMessage="1" errorTitle="Unknown code" error="Use one of the codes listed on the Codes sheet." sqref="C10:AG13">
      <formula1>"P,H,S,L,R,U,X"</formula1>
    </dataValidation>
    <dataValidation type="list" allowBlank="1" showErrorMessage="1" errorTitle="Unknown code" error="Use one of the codes listed on the Codes sheet." sqref="C6:AG13">
      <formula1>"P,H,S,L,R,U,X"</formula1>
    </dataValidation>
  </dataValidations>
  <pageMargins left="0.4" right="0.4" top="0.6" bottom="0.6" header="0.3" footer="0.3"/>
  <pageSetup orientation="landscape" fitToWidth="1" fitToHeight="0"/>
  <headerFooter>
    <oddFooter>&amp;L&amp;"Calibri,Italic"Explore Excel&amp;R&amp;"Calibri,Italic"Page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D5B"/>
    <pageSetUpPr fitToPage="1"/>
  </sheetPr>
  <dimension ref="A1:C11"/>
  <sheetFormatPr defaultRowHeight="15" outlineLevelRow="0" outlineLevelCol="0" x14ac:dyDescent="55"/>
  <cols>
    <col min="1" max="1" width="24" customWidth="1"/>
    <col min="2" max="2" width="12" customWidth="1"/>
    <col min="3" max="3" width="40" customWidth="1"/>
  </cols>
  <sheetData>
    <row r="1" ht="24" customHeight="1" spans="1:3" x14ac:dyDescent="0.25">
      <c r="A1" s="1" t="s">
        <v>53</v>
      </c>
      <c r="B1" s="2"/>
      <c r="C1" s="2"/>
    </row>
    <row r="2" ht="16" customHeight="1" spans="1:3" x14ac:dyDescent="0.25">
      <c r="A2" s="3" t="s">
        <v>54</v>
      </c>
      <c r="B2" s="2"/>
      <c r="C2" s="2"/>
    </row>
    <row r="3" ht="28" customHeight="1" spans="1:3" x14ac:dyDescent="0.25">
      <c r="A3" s="7" t="s">
        <v>17</v>
      </c>
      <c r="B3" s="7" t="s">
        <v>55</v>
      </c>
      <c r="C3" s="7" t="s">
        <v>18</v>
      </c>
    </row>
    <row r="4" spans="1:3" x14ac:dyDescent="0.25">
      <c r="A4" s="8" t="s">
        <v>20</v>
      </c>
      <c r="B4" s="9">
        <f>SUM(Attendance!AH6:AH13)</f>
      </c>
      <c r="C4" s="9" t="s">
        <v>21</v>
      </c>
    </row>
    <row r="5" spans="1:3" x14ac:dyDescent="0.25">
      <c r="A5" s="10" t="s">
        <v>23</v>
      </c>
      <c r="B5" s="11">
        <f>SUM(Attendance!AI6:AI13)</f>
      </c>
      <c r="C5" s="11" t="s">
        <v>24</v>
      </c>
    </row>
    <row r="6" spans="1:3" x14ac:dyDescent="0.25">
      <c r="A6" s="12" t="s">
        <v>26</v>
      </c>
      <c r="B6" s="9">
        <f>SUM(Attendance!AJ6:AJ13)</f>
      </c>
      <c r="C6" s="9" t="s">
        <v>27</v>
      </c>
    </row>
    <row r="7" spans="1:3" x14ac:dyDescent="0.25">
      <c r="A7" s="13" t="s">
        <v>29</v>
      </c>
      <c r="B7" s="11">
        <f>SUM(Attendance!AK6:AK13)</f>
      </c>
      <c r="C7" s="11" t="s">
        <v>30</v>
      </c>
    </row>
    <row r="8" spans="1:3" x14ac:dyDescent="0.25">
      <c r="A8" s="14" t="s">
        <v>32</v>
      </c>
      <c r="B8" s="9">
        <f>SUM(Attendance!AL6:AL13)</f>
      </c>
      <c r="C8" s="9" t="s">
        <v>33</v>
      </c>
    </row>
    <row r="9" spans="1:3" x14ac:dyDescent="0.25">
      <c r="A9" s="15" t="s">
        <v>34</v>
      </c>
      <c r="B9" s="11">
        <f>SUM(Attendance!AM6:AM13)</f>
      </c>
      <c r="C9" s="11" t="s">
        <v>35</v>
      </c>
    </row>
    <row r="10" spans="1:3" x14ac:dyDescent="0.25">
      <c r="A10" s="16" t="s">
        <v>37</v>
      </c>
      <c r="B10" s="9">
        <f>SUM(Attendance!AN6:AN13)</f>
      </c>
      <c r="C10" s="9" t="s">
        <v>38</v>
      </c>
    </row>
    <row r="11" ht="20" customHeight="1" spans="1:3" x14ac:dyDescent="0.25">
      <c r="A11" s="31" t="s">
        <v>56</v>
      </c>
      <c r="B11" s="31">
        <f>SUM(B4:B10)</f>
      </c>
      <c r="C11" s="31" t="s">
        <v>57</v>
      </c>
    </row>
  </sheetData>
  <pageMargins left="0.4" right="0.4" top="0.6" bottom="0.6" header="0.3" footer="0.3"/>
  <pageSetup orientation="portrait" fitToWidth="1" fitToHeight="0"/>
  <headerFooter>
    <oddFooter>&amp;L&amp;"Calibri,Italic"Explore Excel&amp;R&amp;"Calibri,Italic"Page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Codes</vt:lpstr>
      <vt:lpstr>Attendance</vt:lpstr>
      <vt:lpstr>Summary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2026-08-02T09:56:21Z</dcterms:created>
  <dcterms:modified xsi:type="dcterms:W3CDTF">2026-08-02T09:56:21Z</dcterms:modified>
</cp:coreProperties>
</file>