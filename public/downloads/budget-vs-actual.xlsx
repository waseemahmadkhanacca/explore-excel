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Actual" sheetId="2" state="visible" r:id="rId4"/>
    <sheet name="Variance" sheetId="3" state="visible" r:id="rId5"/>
    <sheet name="Dashboard" sheetId="4" state="visible" r:id="rId6"/>
    <sheet name="Read me" sheetId="5" state="visible" r:id="rId7"/>
  </sheets>
  <definedNames>
    <definedName function="false" hidden="true" localSheetId="1" name="_xlnm._FilterDatabase" vbProcedure="false">Actual!$A$4:$C$76</definedName>
    <definedName function="false" hidden="true" localSheetId="0" name="_xlnm._FilterDatabase" vbProcedure="false">Budget!$A$4:$C$76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<sst xmlns="http://schemas.openxmlformats.org/spreadsheetml/2006/main" count="534" uniqueCount="76">
  <si>
    <t xml:space="preserve">Annual Budget</t>
  </si>
  <si>
    <t xml:space="preserve">Explore Excel  ·  exploreexcel.com  ·  Enter the approved budget by month</t>
  </si>
  <si>
    <t xml:space="preserve">Cost line</t>
  </si>
  <si>
    <t xml:space="preserve">Category</t>
  </si>
  <si>
    <t xml:space="preserve">Department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</si>
  <si>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</si>
  <si>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</si>
  <si>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</si>
  <si>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</si>
  <si>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</si>
  <si>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</si>
  <si>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</si>
  <si>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</si>
  <si>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</si>
  <si>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</si>
  <si>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</si>
  <si>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</si>
  <si>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Full year</t>
  </si>
  <si>
    <t xml:space="preserve">Salaries and wages</t>
  </si>
  <si>
    <t xml:space="preserve">Staff</t>
  </si>
  <si>
    <t xml:space="preserve">Sales</t>
  </si>
  <si>
    <t xml:space="preserve">Employee benefits</t>
  </si>
  <si>
    <t xml:space="preserve">Training</t>
  </si>
  <si>
    <t xml:space="preserve">Rent</t>
  </si>
  <si>
    <t xml:space="preserve">Premises</t>
  </si>
  <si>
    <t xml:space="preserve">Utilities</t>
  </si>
  <si>
    <t xml:space="preserve">Repairs and maintenance</t>
  </si>
  <si>
    <t xml:space="preserve">Software licences</t>
  </si>
  <si>
    <t xml:space="preserve">Technology</t>
  </si>
  <si>
    <t xml:space="preserve">Hardware</t>
  </si>
  <si>
    <t xml:space="preserve">Advertising</t>
  </si>
  <si>
    <t xml:space="preserve">Marketing</t>
  </si>
  <si>
    <t xml:space="preserve">Travel and entertainment</t>
  </si>
  <si>
    <t xml:space="preserve">Other</t>
  </si>
  <si>
    <t xml:space="preserve">Professional fees</t>
  </si>
  <si>
    <t xml:space="preserve">Office supplies</t>
  </si>
  <si>
    <t xml:space="preserve">Operations</t>
  </si>
  <si>
    <t xml:space="preserve">Finance</t>
  </si>
  <si>
    <t xml:space="preserve">HR</t>
  </si>
  <si>
    <t xml:space="preserve">IT</t>
  </si>
  <si>
    <t xml:space="preserve">TOTAL BUDGET</t>
  </si>
  <si>
    <t xml:space="preserve">Actual Spend</t>
  </si>
  <si>
    <t xml:space="preserve">Same layout as Budget. Enter what was actually spent.</t>
  </si>
  <si>
    <t xml:space="preserve">TOTAL ACTUAL</t>
  </si>
  <si>
    <t xml:space="preserve">Variance Analysis</t>
  </si>
  <si>
    <t xml:space="preserve">Actual less budget. Positive means overspent.</t>
  </si>
  <si>
    <t xml:space="preserve">TOTAL VARIANCE</t>
  </si>
  <si>
    <t xml:space="preserve">Budget Dashboard</t>
  </si>
  <si>
    <t xml:space="preserve">Everything here reads from the other three sheets.</t>
  </si>
  <si>
    <t xml:space="preserve">Months elapsed</t>
  </si>
  <si>
    <t xml:space="preserve">Set this to the number of months of actual data entered. Drives the YTD columns.</t>
  </si>
  <si>
    <t xml:space="preserve">By department</t>
  </si>
  <si>
    <t xml:space="preserve">Budget YTD</t>
  </si>
  <si>
    <t xml:space="preserve">Actual YTD</t>
  </si>
  <si>
    <t xml:space="preserve">Variance</t>
  </si>
  <si>
    <t xml:space="preserve">Variance %</t>
  </si>
  <si>
    <t xml:space="preserve">Status</t>
  </si>
  <si>
    <t xml:space="preserve">Total</t>
  </si>
  <si>
    <t xml:space="preserve">By category — full year</t>
  </si>
  <si>
    <t xml:space="preserve">Budget</t>
  </si>
  <si>
    <t xml:space="preserve">Actual</t>
  </si>
  <si>
    <t xml:space="preserve">Over and Under trigger at ten per cent. Change the 0.1 in column F if your tolerance is tighter.</t>
  </si>
  <si>
    <t xml:space="preserve">How this workbook works</t>
  </si>
  <si>
    <t xml:space="preserve">Explore Excel  ·  exploreexcel.com</t>
  </si>
  <si>
    <t xml:space="preserve">What this is</t>
  </si>
  <si>
    <t xml:space="preserve">Budget against actual for six departments and twelve cost lines, by month, with variance calculated automatically and a dashboard that summarises both ways.</t>
  </si>
  <si>
    <t xml:space="preserve">The three data sheets</t>
  </si>
  <si>
    <t xml:space="preserve">Budget and Actual have identical layouts — same rows, same columns. That is deliberate: Variance can then subtract one from the other cell by cell, with no lookups to break.</t>
  </si>
  <si>
    <t xml:space="preserve">Filling it in</t>
  </si>
  <si>
    <t xml:space="preserve">Enter the approved budget on Budget. As each month closes, enter what was spent on Actual. Variance and Dashboard need no input at all.</t>
  </si>
  <si>
    <t xml:space="preserve">The months-elapsed cell</t>
  </si>
  <si>
    <t xml:space="preserve">Cell C4 on Dashboard controls how many months the year-to-date figures cover. Set it to 4 after April, and the YTD columns compare four months of budget against four months of actual. Leave it at 12 and you get the full year.</t>
  </si>
  <si>
    <t xml:space="preserve">Reading the variance</t>
  </si>
  <si>
    <t xml:space="preserve">Positive means you spent more than budget. Red is overspend, green is underspend. This is the expenditure convention — for a revenue budget, the colours would mean the opposite, which is why mixing income and cost in one variance report causes so much confusion.</t>
  </si>
  <si>
    <t xml:space="preserve">Adding departments or cost lines</t>
  </si>
  <si>
    <t xml:space="preserve">Insert the same row on Budget, Actual and Variance so the three stay aligned. If they drift out of step, every variance below the insertion point is wrong — and it will not error, it will just be quietly incorrect.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</si>
</sst>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C6E4D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4141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A4A3A"/>
      <name val="Arial"/>
      <family val="0"/>
      <charset val="1"/>
    </font>
    <font>
      <b val="true"/>
      <sz val="11"/>
      <color rgb="FF0A4A3A"/>
      <name val="Arial"/>
      <family val="0"/>
      <charset val="1"/>
    </font>
    <font>
      <i val="true"/>
      <sz val="9"/>
      <color rgb="FF4A4A4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E1F5EE"/>
        <bgColor rgb="FFE4E4E0"/>
      </patternFill>
    </fill>
    <fill>
      <patternFill patternType="solid">
        <fgColor rgb="FFFFFD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E4E0"/>
      </left>
      <right style="thin">
        <color rgb="FFE4E4E0"/>
      </right>
      <top style="thin">
        <color rgb="FFE4E4E0"/>
      </top>
      <bottom style="thin">
        <color rgb="FFE4E4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F6E5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4141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color rgb="FF7A2020"/>
        <sz val="10"/>
      </font>
      <fill>
        <patternFill>
          <bgColor rgb="FFFCECEC"/>
        </patternFill>
      </fill>
    </dxf>
    <dxf>
      <font>
        <name val="Arial"/>
        <charset val="1"/>
        <family val="0"/>
        <color rgb="FF0A4A3A"/>
        <sz val="10"/>
      </font>
      <fill>
        <patternFill>
          <bgColor rgb="FFE1F5EE"/>
        </patternFill>
      </fill>
    </dxf>
    <dxf>
      <font>
        <name val="Arial"/>
        <charset val="1"/>
        <family val="0"/>
        <b val="1"/>
        <color rgb="FF7A2020"/>
        <sz val="10"/>
      </font>
      <fill>
        <patternFill>
          <bgColor rgb="FFFCEC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08080"/>
      <rgbColor rgb="FF9999FF"/>
      <rgbColor rgb="FF993366"/>
      <rgbColor rgb="FFFFFDF0"/>
      <rgbColor rgb="FFE1F5EE"/>
      <rgbColor rgb="FF660066"/>
      <rgbColor rgb="FFFF8080"/>
      <rgbColor rgb="FF0066CC"/>
      <rgbColor rgb="FFE4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CEC"/>
      <rgbColor rgb="FFC6E4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4A3A"/>
      <rgbColor rgb="FF339966"/>
      <rgbColor rgb="FF141414"/>
      <rgbColor rgb="FF333300"/>
      <rgbColor rgb="FF7A2020"/>
      <rgbColor rgb="FF993366"/>
      <rgbColor rgb="FF333399"/>
      <rgbColor rgb="FF4A4A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16" min="4" style="0" width="1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s">
        <v>18</v>
      </c>
      <c r="B5" s="4" t="s">
        <v>19</v>
      </c>
      <c r="C5" s="4" t="s">
        <v>20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6" t="n">
        <f aca="false">SUM(D5:O5)</f>
        <v>0</v>
      </c>
    </row>
    <row r="6" customFormat="false" ht="15" hidden="false" customHeight="false" outlineLevel="0" collapsed="false">
      <c r="A6" s="4" t="s">
        <v>21</v>
      </c>
      <c r="B6" s="4" t="s">
        <v>19</v>
      </c>
      <c r="C6" s="4" t="s">
        <v>20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6" t="n">
        <f aca="false">SUM(D6:O6)</f>
        <v>0</v>
      </c>
    </row>
    <row r="7" customFormat="false" ht="15" hidden="false" customHeight="false" outlineLevel="0" collapsed="false">
      <c r="A7" s="4" t="s">
        <v>22</v>
      </c>
      <c r="B7" s="4" t="s">
        <v>19</v>
      </c>
      <c r="C7" s="4" t="s">
        <v>20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6" t="n">
        <f aca="false">SUM(D7:O7)</f>
        <v>0</v>
      </c>
    </row>
    <row r="8" customFormat="false" ht="15" hidden="false" customHeight="false" outlineLevel="0" collapsed="false">
      <c r="A8" s="4" t="s">
        <v>23</v>
      </c>
      <c r="B8" s="4" t="s">
        <v>24</v>
      </c>
      <c r="C8" s="4" t="s">
        <v>20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6" t="n">
        <f aca="false">SUM(D8:O8)</f>
        <v>0</v>
      </c>
    </row>
    <row r="9" customFormat="false" ht="15" hidden="false" customHeight="false" outlineLevel="0" collapsed="false">
      <c r="A9" s="4" t="s">
        <v>25</v>
      </c>
      <c r="B9" s="4" t="s">
        <v>24</v>
      </c>
      <c r="C9" s="4" t="s">
        <v>20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6" t="n">
        <f aca="false">SUM(D9:O9)</f>
        <v>0</v>
      </c>
    </row>
    <row r="10" customFormat="false" ht="15" hidden="false" customHeight="false" outlineLevel="0" collapsed="false">
      <c r="A10" s="4" t="s">
        <v>26</v>
      </c>
      <c r="B10" s="4" t="s">
        <v>24</v>
      </c>
      <c r="C10" s="4" t="s">
        <v>20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6" t="n">
        <f aca="false">SUM(D10:O10)</f>
        <v>0</v>
      </c>
    </row>
    <row r="11" customFormat="false" ht="15" hidden="false" customHeight="false" outlineLevel="0" collapsed="false">
      <c r="A11" s="4" t="s">
        <v>27</v>
      </c>
      <c r="B11" s="4" t="s">
        <v>28</v>
      </c>
      <c r="C11" s="4" t="s">
        <v>20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6" t="n">
        <f aca="false">SUM(D11:O11)</f>
        <v>0</v>
      </c>
    </row>
    <row r="12" customFormat="false" ht="15" hidden="false" customHeight="false" outlineLevel="0" collapsed="false">
      <c r="A12" s="4" t="s">
        <v>29</v>
      </c>
      <c r="B12" s="4" t="s">
        <v>28</v>
      </c>
      <c r="C12" s="4" t="s">
        <v>20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6" t="n">
        <f aca="false">SUM(D12:O12)</f>
        <v>0</v>
      </c>
    </row>
    <row r="13" customFormat="false" ht="15" hidden="false" customHeight="false" outlineLevel="0" collapsed="false">
      <c r="A13" s="4" t="s">
        <v>30</v>
      </c>
      <c r="B13" s="4" t="s">
        <v>31</v>
      </c>
      <c r="C13" s="4" t="s">
        <v>20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6" t="n">
        <f aca="false">SUM(D13:O13)</f>
        <v>0</v>
      </c>
    </row>
    <row r="14" customFormat="false" ht="15" hidden="false" customHeight="false" outlineLevel="0" collapsed="false">
      <c r="A14" s="4" t="s">
        <v>32</v>
      </c>
      <c r="B14" s="4" t="s">
        <v>33</v>
      </c>
      <c r="C14" s="4" t="s">
        <v>20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6" t="n">
        <f aca="false">SUM(D14:O14)</f>
        <v>0</v>
      </c>
    </row>
    <row r="15" customFormat="false" ht="15" hidden="false" customHeight="false" outlineLevel="0" collapsed="false">
      <c r="A15" s="4" t="s">
        <v>34</v>
      </c>
      <c r="B15" s="4" t="s">
        <v>33</v>
      </c>
      <c r="C15" s="4" t="s">
        <v>20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6" t="n">
        <f aca="false">SUM(D15:O15)</f>
        <v>0</v>
      </c>
    </row>
    <row r="16" customFormat="false" ht="15" hidden="false" customHeight="false" outlineLevel="0" collapsed="false">
      <c r="A16" s="4" t="s">
        <v>35</v>
      </c>
      <c r="B16" s="4" t="s">
        <v>33</v>
      </c>
      <c r="C16" s="4" t="s">
        <v>20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6" t="n">
        <f aca="false">SUM(D16:O16)</f>
        <v>0</v>
      </c>
    </row>
    <row r="17" customFormat="false" ht="15" hidden="false" customHeight="false" outlineLevel="0" collapsed="false">
      <c r="A17" s="4" t="s">
        <v>18</v>
      </c>
      <c r="B17" s="4" t="s">
        <v>19</v>
      </c>
      <c r="C17" s="4" t="s">
        <v>31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6" t="n">
        <f aca="false">SUM(D17:O17)</f>
        <v>0</v>
      </c>
    </row>
    <row r="18" customFormat="false" ht="15" hidden="false" customHeight="false" outlineLevel="0" collapsed="false">
      <c r="A18" s="4" t="s">
        <v>21</v>
      </c>
      <c r="B18" s="4" t="s">
        <v>19</v>
      </c>
      <c r="C18" s="4" t="s">
        <v>31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6" t="n">
        <f aca="false">SUM(D18:O18)</f>
        <v>0</v>
      </c>
    </row>
    <row r="19" customFormat="false" ht="15" hidden="false" customHeight="false" outlineLevel="0" collapsed="false">
      <c r="A19" s="4" t="s">
        <v>22</v>
      </c>
      <c r="B19" s="4" t="s">
        <v>19</v>
      </c>
      <c r="C19" s="4" t="s">
        <v>31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6" t="n">
        <f aca="false">SUM(D19:O19)</f>
        <v>0</v>
      </c>
    </row>
    <row r="20" customFormat="false" ht="15" hidden="false" customHeight="false" outlineLevel="0" collapsed="false">
      <c r="A20" s="4" t="s">
        <v>23</v>
      </c>
      <c r="B20" s="4" t="s">
        <v>24</v>
      </c>
      <c r="C20" s="4" t="s">
        <v>31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6" t="n">
        <f aca="false">SUM(D20:O20)</f>
        <v>0</v>
      </c>
    </row>
    <row r="21" customFormat="false" ht="15" hidden="false" customHeight="false" outlineLevel="0" collapsed="false">
      <c r="A21" s="4" t="s">
        <v>25</v>
      </c>
      <c r="B21" s="4" t="s">
        <v>24</v>
      </c>
      <c r="C21" s="4" t="s">
        <v>31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6" t="n">
        <f aca="false">SUM(D21:O21)</f>
        <v>0</v>
      </c>
    </row>
    <row r="22" customFormat="false" ht="15" hidden="false" customHeight="false" outlineLevel="0" collapsed="false">
      <c r="A22" s="4" t="s">
        <v>26</v>
      </c>
      <c r="B22" s="4" t="s">
        <v>24</v>
      </c>
      <c r="C22" s="4" t="s">
        <v>31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6" t="n">
        <f aca="false">SUM(D22:O22)</f>
        <v>0</v>
      </c>
    </row>
    <row r="23" customFormat="false" ht="15" hidden="false" customHeight="false" outlineLevel="0" collapsed="false">
      <c r="A23" s="4" t="s">
        <v>27</v>
      </c>
      <c r="B23" s="4" t="s">
        <v>28</v>
      </c>
      <c r="C23" s="4" t="s">
        <v>31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6" t="n">
        <f aca="false">SUM(D23:O23)</f>
        <v>0</v>
      </c>
    </row>
    <row r="24" customFormat="false" ht="15" hidden="false" customHeight="false" outlineLevel="0" collapsed="false">
      <c r="A24" s="4" t="s">
        <v>29</v>
      </c>
      <c r="B24" s="4" t="s">
        <v>28</v>
      </c>
      <c r="C24" s="4" t="s">
        <v>31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6" t="n">
        <f aca="false">SUM(D24:O24)</f>
        <v>0</v>
      </c>
    </row>
    <row r="25" customFormat="false" ht="15" hidden="false" customHeight="false" outlineLevel="0" collapsed="false">
      <c r="A25" s="4" t="s">
        <v>30</v>
      </c>
      <c r="B25" s="4" t="s">
        <v>31</v>
      </c>
      <c r="C25" s="4" t="s">
        <v>31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6" t="n">
        <f aca="false">SUM(D25:O25)</f>
        <v>0</v>
      </c>
    </row>
    <row r="26" customFormat="false" ht="15" hidden="false" customHeight="false" outlineLevel="0" collapsed="false">
      <c r="A26" s="4" t="s">
        <v>32</v>
      </c>
      <c r="B26" s="4" t="s">
        <v>33</v>
      </c>
      <c r="C26" s="4" t="s">
        <v>31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6" t="n">
        <f aca="false">SUM(D26:O26)</f>
        <v>0</v>
      </c>
    </row>
    <row r="27" customFormat="false" ht="15" hidden="false" customHeight="false" outlineLevel="0" collapsed="false">
      <c r="A27" s="4" t="s">
        <v>34</v>
      </c>
      <c r="B27" s="4" t="s">
        <v>33</v>
      </c>
      <c r="C27" s="4" t="s">
        <v>31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6" t="n">
        <f aca="false">SUM(D27:O27)</f>
        <v>0</v>
      </c>
    </row>
    <row r="28" customFormat="false" ht="15" hidden="false" customHeight="false" outlineLevel="0" collapsed="false">
      <c r="A28" s="4" t="s">
        <v>35</v>
      </c>
      <c r="B28" s="4" t="s">
        <v>33</v>
      </c>
      <c r="C28" s="4" t="s">
        <v>31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6" t="n">
        <f aca="false">SUM(D28:O28)</f>
        <v>0</v>
      </c>
    </row>
    <row r="29" customFormat="false" ht="15" hidden="false" customHeight="false" outlineLevel="0" collapsed="false">
      <c r="A29" s="4" t="s">
        <v>18</v>
      </c>
      <c r="B29" s="4" t="s">
        <v>19</v>
      </c>
      <c r="C29" s="4" t="s">
        <v>36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6" t="n">
        <f aca="false">SUM(D29:O29)</f>
        <v>0</v>
      </c>
    </row>
    <row r="30" customFormat="false" ht="15" hidden="false" customHeight="false" outlineLevel="0" collapsed="false">
      <c r="A30" s="4" t="s">
        <v>21</v>
      </c>
      <c r="B30" s="4" t="s">
        <v>19</v>
      </c>
      <c r="C30" s="4" t="s">
        <v>36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6" t="n">
        <f aca="false">SUM(D30:O30)</f>
        <v>0</v>
      </c>
    </row>
    <row r="31" customFormat="false" ht="15" hidden="false" customHeight="false" outlineLevel="0" collapsed="false">
      <c r="A31" s="4" t="s">
        <v>22</v>
      </c>
      <c r="B31" s="4" t="s">
        <v>19</v>
      </c>
      <c r="C31" s="4" t="s">
        <v>36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6" t="n">
        <f aca="false">SUM(D31:O31)</f>
        <v>0</v>
      </c>
    </row>
    <row r="32" customFormat="false" ht="15" hidden="false" customHeight="false" outlineLevel="0" collapsed="false">
      <c r="A32" s="4" t="s">
        <v>23</v>
      </c>
      <c r="B32" s="4" t="s">
        <v>24</v>
      </c>
      <c r="C32" s="4" t="s">
        <v>36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6" t="n">
        <f aca="false">SUM(D32:O32)</f>
        <v>0</v>
      </c>
    </row>
    <row r="33" customFormat="false" ht="15" hidden="false" customHeight="false" outlineLevel="0" collapsed="false">
      <c r="A33" s="4" t="s">
        <v>25</v>
      </c>
      <c r="B33" s="4" t="s">
        <v>24</v>
      </c>
      <c r="C33" s="4" t="s">
        <v>36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6" t="n">
        <f aca="false">SUM(D33:O33)</f>
        <v>0</v>
      </c>
    </row>
    <row r="34" customFormat="false" ht="15" hidden="false" customHeight="false" outlineLevel="0" collapsed="false">
      <c r="A34" s="4" t="s">
        <v>26</v>
      </c>
      <c r="B34" s="4" t="s">
        <v>24</v>
      </c>
      <c r="C34" s="4" t="s">
        <v>36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6" t="n">
        <f aca="false">SUM(D34:O34)</f>
        <v>0</v>
      </c>
    </row>
    <row r="35" customFormat="false" ht="15" hidden="false" customHeight="false" outlineLevel="0" collapsed="false">
      <c r="A35" s="4" t="s">
        <v>27</v>
      </c>
      <c r="B35" s="4" t="s">
        <v>28</v>
      </c>
      <c r="C35" s="4" t="s">
        <v>36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6" t="n">
        <f aca="false">SUM(D35:O35)</f>
        <v>0</v>
      </c>
    </row>
    <row r="36" customFormat="false" ht="15" hidden="false" customHeight="false" outlineLevel="0" collapsed="false">
      <c r="A36" s="4" t="s">
        <v>29</v>
      </c>
      <c r="B36" s="4" t="s">
        <v>28</v>
      </c>
      <c r="C36" s="4" t="s">
        <v>36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6" t="n">
        <f aca="false">SUM(D36:O36)</f>
        <v>0</v>
      </c>
    </row>
    <row r="37" customFormat="false" ht="15" hidden="false" customHeight="false" outlineLevel="0" collapsed="false">
      <c r="A37" s="4" t="s">
        <v>30</v>
      </c>
      <c r="B37" s="4" t="s">
        <v>31</v>
      </c>
      <c r="C37" s="4" t="s">
        <v>36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6" t="n">
        <f aca="false">SUM(D37:O37)</f>
        <v>0</v>
      </c>
    </row>
    <row r="38" customFormat="false" ht="15" hidden="false" customHeight="false" outlineLevel="0" collapsed="false">
      <c r="A38" s="4" t="s">
        <v>32</v>
      </c>
      <c r="B38" s="4" t="s">
        <v>33</v>
      </c>
      <c r="C38" s="4" t="s">
        <v>36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6" t="n">
        <f aca="false">SUM(D38:O38)</f>
        <v>0</v>
      </c>
    </row>
    <row r="39" customFormat="false" ht="15" hidden="false" customHeight="false" outlineLevel="0" collapsed="false">
      <c r="A39" s="4" t="s">
        <v>34</v>
      </c>
      <c r="B39" s="4" t="s">
        <v>33</v>
      </c>
      <c r="C39" s="4" t="s">
        <v>36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6" t="n">
        <f aca="false">SUM(D39:O39)</f>
        <v>0</v>
      </c>
    </row>
    <row r="40" customFormat="false" ht="15" hidden="false" customHeight="false" outlineLevel="0" collapsed="false">
      <c r="A40" s="4" t="s">
        <v>35</v>
      </c>
      <c r="B40" s="4" t="s">
        <v>33</v>
      </c>
      <c r="C40" s="4" t="s">
        <v>36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6" t="n">
        <f aca="false">SUM(D40:O40)</f>
        <v>0</v>
      </c>
    </row>
    <row r="41" customFormat="false" ht="15" hidden="false" customHeight="false" outlineLevel="0" collapsed="false">
      <c r="A41" s="4" t="s">
        <v>18</v>
      </c>
      <c r="B41" s="4" t="s">
        <v>19</v>
      </c>
      <c r="C41" s="4" t="s">
        <v>37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6" t="n">
        <f aca="false">SUM(D41:O41)</f>
        <v>0</v>
      </c>
    </row>
    <row r="42" customFormat="false" ht="15" hidden="false" customHeight="false" outlineLevel="0" collapsed="false">
      <c r="A42" s="4" t="s">
        <v>21</v>
      </c>
      <c r="B42" s="4" t="s">
        <v>19</v>
      </c>
      <c r="C42" s="4" t="s">
        <v>37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6" t="n">
        <f aca="false">SUM(D42:O42)</f>
        <v>0</v>
      </c>
    </row>
    <row r="43" customFormat="false" ht="15" hidden="false" customHeight="false" outlineLevel="0" collapsed="false">
      <c r="A43" s="4" t="s">
        <v>22</v>
      </c>
      <c r="B43" s="4" t="s">
        <v>19</v>
      </c>
      <c r="C43" s="4" t="s">
        <v>37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6" t="n">
        <f aca="false">SUM(D43:O43)</f>
        <v>0</v>
      </c>
    </row>
    <row r="44" customFormat="false" ht="15" hidden="false" customHeight="false" outlineLevel="0" collapsed="false">
      <c r="A44" s="4" t="s">
        <v>23</v>
      </c>
      <c r="B44" s="4" t="s">
        <v>24</v>
      </c>
      <c r="C44" s="4" t="s">
        <v>37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6" t="n">
        <f aca="false">SUM(D44:O44)</f>
        <v>0</v>
      </c>
    </row>
    <row r="45" customFormat="false" ht="15" hidden="false" customHeight="false" outlineLevel="0" collapsed="false">
      <c r="A45" s="4" t="s">
        <v>25</v>
      </c>
      <c r="B45" s="4" t="s">
        <v>24</v>
      </c>
      <c r="C45" s="4" t="s">
        <v>37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6" t="n">
        <f aca="false">SUM(D45:O45)</f>
        <v>0</v>
      </c>
    </row>
    <row r="46" customFormat="false" ht="15" hidden="false" customHeight="false" outlineLevel="0" collapsed="false">
      <c r="A46" s="4" t="s">
        <v>26</v>
      </c>
      <c r="B46" s="4" t="s">
        <v>24</v>
      </c>
      <c r="C46" s="4" t="s">
        <v>37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6" t="n">
        <f aca="false">SUM(D46:O46)</f>
        <v>0</v>
      </c>
    </row>
    <row r="47" customFormat="false" ht="15" hidden="false" customHeight="false" outlineLevel="0" collapsed="false">
      <c r="A47" s="4" t="s">
        <v>27</v>
      </c>
      <c r="B47" s="4" t="s">
        <v>28</v>
      </c>
      <c r="C47" s="4" t="s">
        <v>37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6" t="n">
        <f aca="false">SUM(D47:O47)</f>
        <v>0</v>
      </c>
    </row>
    <row r="48" customFormat="false" ht="15" hidden="false" customHeight="false" outlineLevel="0" collapsed="false">
      <c r="A48" s="4" t="s">
        <v>29</v>
      </c>
      <c r="B48" s="4" t="s">
        <v>28</v>
      </c>
      <c r="C48" s="4" t="s">
        <v>37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6" t="n">
        <f aca="false">SUM(D48:O48)</f>
        <v>0</v>
      </c>
    </row>
    <row r="49" customFormat="false" ht="15" hidden="false" customHeight="false" outlineLevel="0" collapsed="false">
      <c r="A49" s="4" t="s">
        <v>30</v>
      </c>
      <c r="B49" s="4" t="s">
        <v>31</v>
      </c>
      <c r="C49" s="4" t="s">
        <v>37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6" t="n">
        <f aca="false">SUM(D49:O49)</f>
        <v>0</v>
      </c>
    </row>
    <row r="50" customFormat="false" ht="15" hidden="false" customHeight="false" outlineLevel="0" collapsed="false">
      <c r="A50" s="4" t="s">
        <v>32</v>
      </c>
      <c r="B50" s="4" t="s">
        <v>33</v>
      </c>
      <c r="C50" s="4" t="s">
        <v>37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6" t="n">
        <f aca="false">SUM(D50:O50)</f>
        <v>0</v>
      </c>
    </row>
    <row r="51" customFormat="false" ht="15" hidden="false" customHeight="false" outlineLevel="0" collapsed="false">
      <c r="A51" s="4" t="s">
        <v>34</v>
      </c>
      <c r="B51" s="4" t="s">
        <v>33</v>
      </c>
      <c r="C51" s="4" t="s">
        <v>37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6" t="n">
        <f aca="false">SUM(D51:O51)</f>
        <v>0</v>
      </c>
    </row>
    <row r="52" customFormat="false" ht="15" hidden="false" customHeight="false" outlineLevel="0" collapsed="false">
      <c r="A52" s="4" t="s">
        <v>35</v>
      </c>
      <c r="B52" s="4" t="s">
        <v>33</v>
      </c>
      <c r="C52" s="4" t="s">
        <v>37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6" t="n">
        <f aca="false">SUM(D52:O52)</f>
        <v>0</v>
      </c>
    </row>
    <row r="53" customFormat="false" ht="15" hidden="false" customHeight="false" outlineLevel="0" collapsed="false">
      <c r="A53" s="4" t="s">
        <v>18</v>
      </c>
      <c r="B53" s="4" t="s">
        <v>19</v>
      </c>
      <c r="C53" s="4" t="s">
        <v>38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6" t="n">
        <f aca="false">SUM(D53:O53)</f>
        <v>0</v>
      </c>
    </row>
    <row r="54" customFormat="false" ht="15" hidden="false" customHeight="false" outlineLevel="0" collapsed="false">
      <c r="A54" s="4" t="s">
        <v>21</v>
      </c>
      <c r="B54" s="4" t="s">
        <v>19</v>
      </c>
      <c r="C54" s="4" t="s">
        <v>38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6" t="n">
        <f aca="false">SUM(D54:O54)</f>
        <v>0</v>
      </c>
    </row>
    <row r="55" customFormat="false" ht="15" hidden="false" customHeight="false" outlineLevel="0" collapsed="false">
      <c r="A55" s="4" t="s">
        <v>22</v>
      </c>
      <c r="B55" s="4" t="s">
        <v>19</v>
      </c>
      <c r="C55" s="4" t="s">
        <v>38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6" t="n">
        <f aca="false">SUM(D55:O55)</f>
        <v>0</v>
      </c>
    </row>
    <row r="56" customFormat="false" ht="15" hidden="false" customHeight="false" outlineLevel="0" collapsed="false">
      <c r="A56" s="4" t="s">
        <v>23</v>
      </c>
      <c r="B56" s="4" t="s">
        <v>24</v>
      </c>
      <c r="C56" s="4" t="s">
        <v>38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6" t="n">
        <f aca="false">SUM(D56:O56)</f>
        <v>0</v>
      </c>
    </row>
    <row r="57" customFormat="false" ht="15" hidden="false" customHeight="false" outlineLevel="0" collapsed="false">
      <c r="A57" s="4" t="s">
        <v>25</v>
      </c>
      <c r="B57" s="4" t="s">
        <v>24</v>
      </c>
      <c r="C57" s="4" t="s">
        <v>38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6" t="n">
        <f aca="false">SUM(D57:O57)</f>
        <v>0</v>
      </c>
    </row>
    <row r="58" customFormat="false" ht="15" hidden="false" customHeight="false" outlineLevel="0" collapsed="false">
      <c r="A58" s="4" t="s">
        <v>26</v>
      </c>
      <c r="B58" s="4" t="s">
        <v>24</v>
      </c>
      <c r="C58" s="4" t="s">
        <v>38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6" t="n">
        <f aca="false">SUM(D58:O58)</f>
        <v>0</v>
      </c>
    </row>
    <row r="59" customFormat="false" ht="15" hidden="false" customHeight="false" outlineLevel="0" collapsed="false">
      <c r="A59" s="4" t="s">
        <v>27</v>
      </c>
      <c r="B59" s="4" t="s">
        <v>28</v>
      </c>
      <c r="C59" s="4" t="s">
        <v>38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6" t="n">
        <f aca="false">SUM(D59:O59)</f>
        <v>0</v>
      </c>
    </row>
    <row r="60" customFormat="false" ht="15" hidden="false" customHeight="false" outlineLevel="0" collapsed="false">
      <c r="A60" s="4" t="s">
        <v>29</v>
      </c>
      <c r="B60" s="4" t="s">
        <v>28</v>
      </c>
      <c r="C60" s="4" t="s">
        <v>38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6" t="n">
        <f aca="false">SUM(D60:O60)</f>
        <v>0</v>
      </c>
    </row>
    <row r="61" customFormat="false" ht="15" hidden="false" customHeight="false" outlineLevel="0" collapsed="false">
      <c r="A61" s="4" t="s">
        <v>30</v>
      </c>
      <c r="B61" s="4" t="s">
        <v>31</v>
      </c>
      <c r="C61" s="4" t="s">
        <v>38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6" t="n">
        <f aca="false">SUM(D61:O61)</f>
        <v>0</v>
      </c>
    </row>
    <row r="62" customFormat="false" ht="15" hidden="false" customHeight="false" outlineLevel="0" collapsed="false">
      <c r="A62" s="4" t="s">
        <v>32</v>
      </c>
      <c r="B62" s="4" t="s">
        <v>33</v>
      </c>
      <c r="C62" s="4" t="s">
        <v>38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6" t="n">
        <f aca="false">SUM(D62:O62)</f>
        <v>0</v>
      </c>
    </row>
    <row r="63" customFormat="false" ht="15" hidden="false" customHeight="false" outlineLevel="0" collapsed="false">
      <c r="A63" s="4" t="s">
        <v>34</v>
      </c>
      <c r="B63" s="4" t="s">
        <v>33</v>
      </c>
      <c r="C63" s="4" t="s">
        <v>38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6" t="n">
        <f aca="false">SUM(D63:O63)</f>
        <v>0</v>
      </c>
    </row>
    <row r="64" customFormat="false" ht="15" hidden="false" customHeight="false" outlineLevel="0" collapsed="false">
      <c r="A64" s="4" t="s">
        <v>35</v>
      </c>
      <c r="B64" s="4" t="s">
        <v>33</v>
      </c>
      <c r="C64" s="4" t="s">
        <v>38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6" t="n">
        <f aca="false">SUM(D64:O64)</f>
        <v>0</v>
      </c>
    </row>
    <row r="65" customFormat="false" ht="15" hidden="false" customHeight="false" outlineLevel="0" collapsed="false">
      <c r="A65" s="4" t="s">
        <v>18</v>
      </c>
      <c r="B65" s="4" t="s">
        <v>19</v>
      </c>
      <c r="C65" s="4" t="s">
        <v>39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6" t="n">
        <f aca="false">SUM(D65:O65)</f>
        <v>0</v>
      </c>
    </row>
    <row r="66" customFormat="false" ht="15" hidden="false" customHeight="false" outlineLevel="0" collapsed="false">
      <c r="A66" s="4" t="s">
        <v>21</v>
      </c>
      <c r="B66" s="4" t="s">
        <v>19</v>
      </c>
      <c r="C66" s="4" t="s">
        <v>39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6" t="n">
        <f aca="false">SUM(D66:O66)</f>
        <v>0</v>
      </c>
    </row>
    <row r="67" customFormat="false" ht="15" hidden="false" customHeight="false" outlineLevel="0" collapsed="false">
      <c r="A67" s="4" t="s">
        <v>22</v>
      </c>
      <c r="B67" s="4" t="s">
        <v>19</v>
      </c>
      <c r="C67" s="4" t="s">
        <v>39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6" t="n">
        <f aca="false">SUM(D67:O67)</f>
        <v>0</v>
      </c>
    </row>
    <row r="68" customFormat="false" ht="15" hidden="false" customHeight="false" outlineLevel="0" collapsed="false">
      <c r="A68" s="4" t="s">
        <v>23</v>
      </c>
      <c r="B68" s="4" t="s">
        <v>24</v>
      </c>
      <c r="C68" s="4" t="s">
        <v>39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6" t="n">
        <f aca="false">SUM(D68:O68)</f>
        <v>0</v>
      </c>
    </row>
    <row r="69" customFormat="false" ht="15" hidden="false" customHeight="false" outlineLevel="0" collapsed="false">
      <c r="A69" s="4" t="s">
        <v>25</v>
      </c>
      <c r="B69" s="4" t="s">
        <v>24</v>
      </c>
      <c r="C69" s="4" t="s">
        <v>39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6" t="n">
        <f aca="false">SUM(D69:O69)</f>
        <v>0</v>
      </c>
    </row>
    <row r="70" customFormat="false" ht="15" hidden="false" customHeight="false" outlineLevel="0" collapsed="false">
      <c r="A70" s="4" t="s">
        <v>26</v>
      </c>
      <c r="B70" s="4" t="s">
        <v>24</v>
      </c>
      <c r="C70" s="4" t="s">
        <v>39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6" t="n">
        <f aca="false">SUM(D70:O70)</f>
        <v>0</v>
      </c>
    </row>
    <row r="71" customFormat="false" ht="15" hidden="false" customHeight="false" outlineLevel="0" collapsed="false">
      <c r="A71" s="4" t="s">
        <v>27</v>
      </c>
      <c r="B71" s="4" t="s">
        <v>28</v>
      </c>
      <c r="C71" s="4" t="s">
        <v>39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6" t="n">
        <f aca="false">SUM(D71:O71)</f>
        <v>0</v>
      </c>
    </row>
    <row r="72" customFormat="false" ht="15" hidden="false" customHeight="false" outlineLevel="0" collapsed="false">
      <c r="A72" s="4" t="s">
        <v>29</v>
      </c>
      <c r="B72" s="4" t="s">
        <v>28</v>
      </c>
      <c r="C72" s="4" t="s">
        <v>39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6" t="n">
        <f aca="false">SUM(D72:O72)</f>
        <v>0</v>
      </c>
    </row>
    <row r="73" customFormat="false" ht="15" hidden="false" customHeight="false" outlineLevel="0" collapsed="false">
      <c r="A73" s="4" t="s">
        <v>30</v>
      </c>
      <c r="B73" s="4" t="s">
        <v>31</v>
      </c>
      <c r="C73" s="4" t="s">
        <v>39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6" t="n">
        <f aca="false">SUM(D73:O73)</f>
        <v>0</v>
      </c>
    </row>
    <row r="74" customFormat="false" ht="15" hidden="false" customHeight="false" outlineLevel="0" collapsed="false">
      <c r="A74" s="4" t="s">
        <v>32</v>
      </c>
      <c r="B74" s="4" t="s">
        <v>33</v>
      </c>
      <c r="C74" s="4" t="s">
        <v>39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6" t="n">
        <f aca="false">SUM(D74:O74)</f>
        <v>0</v>
      </c>
    </row>
    <row r="75" customFormat="false" ht="15" hidden="false" customHeight="false" outlineLevel="0" collapsed="false">
      <c r="A75" s="4" t="s">
        <v>34</v>
      </c>
      <c r="B75" s="4" t="s">
        <v>33</v>
      </c>
      <c r="C75" s="4" t="s">
        <v>39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6" t="n">
        <f aca="false">SUM(D75:O75)</f>
        <v>0</v>
      </c>
    </row>
    <row r="76" customFormat="false" ht="15" hidden="false" customHeight="false" outlineLevel="0" collapsed="false">
      <c r="A76" s="4" t="s">
        <v>35</v>
      </c>
      <c r="B76" s="4" t="s">
        <v>33</v>
      </c>
      <c r="C76" s="4" t="s">
        <v>39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6" t="n">
        <f aca="false">SUM(D76:O76)</f>
        <v>0</v>
      </c>
    </row>
    <row r="77" customFormat="false" ht="15" hidden="false" customHeight="false" outlineLevel="0" collapsed="false">
      <c r="A77" s="7" t="s">
        <v>40</v>
      </c>
      <c r="B77" s="8"/>
      <c r="C77" s="8"/>
      <c r="D77" s="9" t="n">
        <f aca="false">SUM(D5:D76)</f>
        <v>0</v>
      </c>
      <c r="E77" s="9" t="n">
        <f aca="false">SUM(E5:E76)</f>
        <v>0</v>
      </c>
      <c r="F77" s="9" t="n">
        <f aca="false">SUM(F5:F76)</f>
        <v>0</v>
      </c>
      <c r="G77" s="9" t="n">
        <f aca="false">SUM(G5:G76)</f>
        <v>0</v>
      </c>
      <c r="H77" s="9" t="n">
        <f aca="false">SUM(H5:H76)</f>
        <v>0</v>
      </c>
      <c r="I77" s="9" t="n">
        <f aca="false">SUM(I5:I76)</f>
        <v>0</v>
      </c>
      <c r="J77" s="9" t="n">
        <f aca="false">SUM(J5:J76)</f>
        <v>0</v>
      </c>
      <c r="K77" s="9" t="n">
        <f aca="false">SUM(K5:K76)</f>
        <v>0</v>
      </c>
      <c r="L77" s="9" t="n">
        <f aca="false">SUM(L5:L76)</f>
        <v>0</v>
      </c>
      <c r="M77" s="9" t="n">
        <f aca="false">SUM(M5:M76)</f>
        <v>0</v>
      </c>
      <c r="N77" s="9" t="n">
        <f aca="false">SUM(N5:N76)</f>
        <v>0</v>
      </c>
      <c r="O77" s="9" t="n">
        <f aca="false">SUM(O5:O76)</f>
        <v>0</v>
      </c>
      <c r="P77" s="9" t="n">
        <f aca="false">SUM(P5:P76)</f>
        <v>0</v>
      </c>
    </row>
  </sheetData>
  <autoFilter ref="A4:C76"/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16" min="4" style="0" width="11"/>
  </cols>
  <sheetData>
    <row r="1" customFormat="false" ht="25.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s">
        <v>18</v>
      </c>
      <c r="B5" s="4" t="s">
        <v>19</v>
      </c>
      <c r="C5" s="4" t="s">
        <v>20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6" t="n">
        <f aca="false">SUM(D5:O5)</f>
        <v>0</v>
      </c>
    </row>
    <row r="6" customFormat="false" ht="15" hidden="false" customHeight="false" outlineLevel="0" collapsed="false">
      <c r="A6" s="4" t="s">
        <v>21</v>
      </c>
      <c r="B6" s="4" t="s">
        <v>19</v>
      </c>
      <c r="C6" s="4" t="s">
        <v>20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6" t="n">
        <f aca="false">SUM(D6:O6)</f>
        <v>0</v>
      </c>
    </row>
    <row r="7" customFormat="false" ht="15" hidden="false" customHeight="false" outlineLevel="0" collapsed="false">
      <c r="A7" s="4" t="s">
        <v>22</v>
      </c>
      <c r="B7" s="4" t="s">
        <v>19</v>
      </c>
      <c r="C7" s="4" t="s">
        <v>20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6" t="n">
        <f aca="false">SUM(D7:O7)</f>
        <v>0</v>
      </c>
    </row>
    <row r="8" customFormat="false" ht="15" hidden="false" customHeight="false" outlineLevel="0" collapsed="false">
      <c r="A8" s="4" t="s">
        <v>23</v>
      </c>
      <c r="B8" s="4" t="s">
        <v>24</v>
      </c>
      <c r="C8" s="4" t="s">
        <v>20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6" t="n">
        <f aca="false">SUM(D8:O8)</f>
        <v>0</v>
      </c>
    </row>
    <row r="9" customFormat="false" ht="15" hidden="false" customHeight="false" outlineLevel="0" collapsed="false">
      <c r="A9" s="4" t="s">
        <v>25</v>
      </c>
      <c r="B9" s="4" t="s">
        <v>24</v>
      </c>
      <c r="C9" s="4" t="s">
        <v>20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6" t="n">
        <f aca="false">SUM(D9:O9)</f>
        <v>0</v>
      </c>
    </row>
    <row r="10" customFormat="false" ht="15" hidden="false" customHeight="false" outlineLevel="0" collapsed="false">
      <c r="A10" s="4" t="s">
        <v>26</v>
      </c>
      <c r="B10" s="4" t="s">
        <v>24</v>
      </c>
      <c r="C10" s="4" t="s">
        <v>20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6" t="n">
        <f aca="false">SUM(D10:O10)</f>
        <v>0</v>
      </c>
    </row>
    <row r="11" customFormat="false" ht="15" hidden="false" customHeight="false" outlineLevel="0" collapsed="false">
      <c r="A11" s="4" t="s">
        <v>27</v>
      </c>
      <c r="B11" s="4" t="s">
        <v>28</v>
      </c>
      <c r="C11" s="4" t="s">
        <v>20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6" t="n">
        <f aca="false">SUM(D11:O11)</f>
        <v>0</v>
      </c>
    </row>
    <row r="12" customFormat="false" ht="15" hidden="false" customHeight="false" outlineLevel="0" collapsed="false">
      <c r="A12" s="4" t="s">
        <v>29</v>
      </c>
      <c r="B12" s="4" t="s">
        <v>28</v>
      </c>
      <c r="C12" s="4" t="s">
        <v>20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6" t="n">
        <f aca="false">SUM(D12:O12)</f>
        <v>0</v>
      </c>
    </row>
    <row r="13" customFormat="false" ht="15" hidden="false" customHeight="false" outlineLevel="0" collapsed="false">
      <c r="A13" s="4" t="s">
        <v>30</v>
      </c>
      <c r="B13" s="4" t="s">
        <v>31</v>
      </c>
      <c r="C13" s="4" t="s">
        <v>20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6" t="n">
        <f aca="false">SUM(D13:O13)</f>
        <v>0</v>
      </c>
    </row>
    <row r="14" customFormat="false" ht="15" hidden="false" customHeight="false" outlineLevel="0" collapsed="false">
      <c r="A14" s="4" t="s">
        <v>32</v>
      </c>
      <c r="B14" s="4" t="s">
        <v>33</v>
      </c>
      <c r="C14" s="4" t="s">
        <v>20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6" t="n">
        <f aca="false">SUM(D14:O14)</f>
        <v>0</v>
      </c>
    </row>
    <row r="15" customFormat="false" ht="15" hidden="false" customHeight="false" outlineLevel="0" collapsed="false">
      <c r="A15" s="4" t="s">
        <v>34</v>
      </c>
      <c r="B15" s="4" t="s">
        <v>33</v>
      </c>
      <c r="C15" s="4" t="s">
        <v>20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6" t="n">
        <f aca="false">SUM(D15:O15)</f>
        <v>0</v>
      </c>
    </row>
    <row r="16" customFormat="false" ht="15" hidden="false" customHeight="false" outlineLevel="0" collapsed="false">
      <c r="A16" s="4" t="s">
        <v>35</v>
      </c>
      <c r="B16" s="4" t="s">
        <v>33</v>
      </c>
      <c r="C16" s="4" t="s">
        <v>20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6" t="n">
        <f aca="false">SUM(D16:O16)</f>
        <v>0</v>
      </c>
    </row>
    <row r="17" customFormat="false" ht="15" hidden="false" customHeight="false" outlineLevel="0" collapsed="false">
      <c r="A17" s="4" t="s">
        <v>18</v>
      </c>
      <c r="B17" s="4" t="s">
        <v>19</v>
      </c>
      <c r="C17" s="4" t="s">
        <v>31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6" t="n">
        <f aca="false">SUM(D17:O17)</f>
        <v>0</v>
      </c>
    </row>
    <row r="18" customFormat="false" ht="15" hidden="false" customHeight="false" outlineLevel="0" collapsed="false">
      <c r="A18" s="4" t="s">
        <v>21</v>
      </c>
      <c r="B18" s="4" t="s">
        <v>19</v>
      </c>
      <c r="C18" s="4" t="s">
        <v>31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6" t="n">
        <f aca="false">SUM(D18:O18)</f>
        <v>0</v>
      </c>
    </row>
    <row r="19" customFormat="false" ht="15" hidden="false" customHeight="false" outlineLevel="0" collapsed="false">
      <c r="A19" s="4" t="s">
        <v>22</v>
      </c>
      <c r="B19" s="4" t="s">
        <v>19</v>
      </c>
      <c r="C19" s="4" t="s">
        <v>31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6" t="n">
        <f aca="false">SUM(D19:O19)</f>
        <v>0</v>
      </c>
    </row>
    <row r="20" customFormat="false" ht="15" hidden="false" customHeight="false" outlineLevel="0" collapsed="false">
      <c r="A20" s="4" t="s">
        <v>23</v>
      </c>
      <c r="B20" s="4" t="s">
        <v>24</v>
      </c>
      <c r="C20" s="4" t="s">
        <v>31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6" t="n">
        <f aca="false">SUM(D20:O20)</f>
        <v>0</v>
      </c>
    </row>
    <row r="21" customFormat="false" ht="15" hidden="false" customHeight="false" outlineLevel="0" collapsed="false">
      <c r="A21" s="4" t="s">
        <v>25</v>
      </c>
      <c r="B21" s="4" t="s">
        <v>24</v>
      </c>
      <c r="C21" s="4" t="s">
        <v>31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6" t="n">
        <f aca="false">SUM(D21:O21)</f>
        <v>0</v>
      </c>
    </row>
    <row r="22" customFormat="false" ht="15" hidden="false" customHeight="false" outlineLevel="0" collapsed="false">
      <c r="A22" s="4" t="s">
        <v>26</v>
      </c>
      <c r="B22" s="4" t="s">
        <v>24</v>
      </c>
      <c r="C22" s="4" t="s">
        <v>31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6" t="n">
        <f aca="false">SUM(D22:O22)</f>
        <v>0</v>
      </c>
    </row>
    <row r="23" customFormat="false" ht="15" hidden="false" customHeight="false" outlineLevel="0" collapsed="false">
      <c r="A23" s="4" t="s">
        <v>27</v>
      </c>
      <c r="B23" s="4" t="s">
        <v>28</v>
      </c>
      <c r="C23" s="4" t="s">
        <v>31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6" t="n">
        <f aca="false">SUM(D23:O23)</f>
        <v>0</v>
      </c>
    </row>
    <row r="24" customFormat="false" ht="15" hidden="false" customHeight="false" outlineLevel="0" collapsed="false">
      <c r="A24" s="4" t="s">
        <v>29</v>
      </c>
      <c r="B24" s="4" t="s">
        <v>28</v>
      </c>
      <c r="C24" s="4" t="s">
        <v>31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6" t="n">
        <f aca="false">SUM(D24:O24)</f>
        <v>0</v>
      </c>
    </row>
    <row r="25" customFormat="false" ht="15" hidden="false" customHeight="false" outlineLevel="0" collapsed="false">
      <c r="A25" s="4" t="s">
        <v>30</v>
      </c>
      <c r="B25" s="4" t="s">
        <v>31</v>
      </c>
      <c r="C25" s="4" t="s">
        <v>31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6" t="n">
        <f aca="false">SUM(D25:O25)</f>
        <v>0</v>
      </c>
    </row>
    <row r="26" customFormat="false" ht="15" hidden="false" customHeight="false" outlineLevel="0" collapsed="false">
      <c r="A26" s="4" t="s">
        <v>32</v>
      </c>
      <c r="B26" s="4" t="s">
        <v>33</v>
      </c>
      <c r="C26" s="4" t="s">
        <v>31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6" t="n">
        <f aca="false">SUM(D26:O26)</f>
        <v>0</v>
      </c>
    </row>
    <row r="27" customFormat="false" ht="15" hidden="false" customHeight="false" outlineLevel="0" collapsed="false">
      <c r="A27" s="4" t="s">
        <v>34</v>
      </c>
      <c r="B27" s="4" t="s">
        <v>33</v>
      </c>
      <c r="C27" s="4" t="s">
        <v>31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6" t="n">
        <f aca="false">SUM(D27:O27)</f>
        <v>0</v>
      </c>
    </row>
    <row r="28" customFormat="false" ht="15" hidden="false" customHeight="false" outlineLevel="0" collapsed="false">
      <c r="A28" s="4" t="s">
        <v>35</v>
      </c>
      <c r="B28" s="4" t="s">
        <v>33</v>
      </c>
      <c r="C28" s="4" t="s">
        <v>31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6" t="n">
        <f aca="false">SUM(D28:O28)</f>
        <v>0</v>
      </c>
    </row>
    <row r="29" customFormat="false" ht="15" hidden="false" customHeight="false" outlineLevel="0" collapsed="false">
      <c r="A29" s="4" t="s">
        <v>18</v>
      </c>
      <c r="B29" s="4" t="s">
        <v>19</v>
      </c>
      <c r="C29" s="4" t="s">
        <v>36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6" t="n">
        <f aca="false">SUM(D29:O29)</f>
        <v>0</v>
      </c>
    </row>
    <row r="30" customFormat="false" ht="15" hidden="false" customHeight="false" outlineLevel="0" collapsed="false">
      <c r="A30" s="4" t="s">
        <v>21</v>
      </c>
      <c r="B30" s="4" t="s">
        <v>19</v>
      </c>
      <c r="C30" s="4" t="s">
        <v>36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6" t="n">
        <f aca="false">SUM(D30:O30)</f>
        <v>0</v>
      </c>
    </row>
    <row r="31" customFormat="false" ht="15" hidden="false" customHeight="false" outlineLevel="0" collapsed="false">
      <c r="A31" s="4" t="s">
        <v>22</v>
      </c>
      <c r="B31" s="4" t="s">
        <v>19</v>
      </c>
      <c r="C31" s="4" t="s">
        <v>36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6" t="n">
        <f aca="false">SUM(D31:O31)</f>
        <v>0</v>
      </c>
    </row>
    <row r="32" customFormat="false" ht="15" hidden="false" customHeight="false" outlineLevel="0" collapsed="false">
      <c r="A32" s="4" t="s">
        <v>23</v>
      </c>
      <c r="B32" s="4" t="s">
        <v>24</v>
      </c>
      <c r="C32" s="4" t="s">
        <v>36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6" t="n">
        <f aca="false">SUM(D32:O32)</f>
        <v>0</v>
      </c>
    </row>
    <row r="33" customFormat="false" ht="15" hidden="false" customHeight="false" outlineLevel="0" collapsed="false">
      <c r="A33" s="4" t="s">
        <v>25</v>
      </c>
      <c r="B33" s="4" t="s">
        <v>24</v>
      </c>
      <c r="C33" s="4" t="s">
        <v>36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6" t="n">
        <f aca="false">SUM(D33:O33)</f>
        <v>0</v>
      </c>
    </row>
    <row r="34" customFormat="false" ht="15" hidden="false" customHeight="false" outlineLevel="0" collapsed="false">
      <c r="A34" s="4" t="s">
        <v>26</v>
      </c>
      <c r="B34" s="4" t="s">
        <v>24</v>
      </c>
      <c r="C34" s="4" t="s">
        <v>36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6" t="n">
        <f aca="false">SUM(D34:O34)</f>
        <v>0</v>
      </c>
    </row>
    <row r="35" customFormat="false" ht="15" hidden="false" customHeight="false" outlineLevel="0" collapsed="false">
      <c r="A35" s="4" t="s">
        <v>27</v>
      </c>
      <c r="B35" s="4" t="s">
        <v>28</v>
      </c>
      <c r="C35" s="4" t="s">
        <v>36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6" t="n">
        <f aca="false">SUM(D35:O35)</f>
        <v>0</v>
      </c>
    </row>
    <row r="36" customFormat="false" ht="15" hidden="false" customHeight="false" outlineLevel="0" collapsed="false">
      <c r="A36" s="4" t="s">
        <v>29</v>
      </c>
      <c r="B36" s="4" t="s">
        <v>28</v>
      </c>
      <c r="C36" s="4" t="s">
        <v>36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6" t="n">
        <f aca="false">SUM(D36:O36)</f>
        <v>0</v>
      </c>
    </row>
    <row r="37" customFormat="false" ht="15" hidden="false" customHeight="false" outlineLevel="0" collapsed="false">
      <c r="A37" s="4" t="s">
        <v>30</v>
      </c>
      <c r="B37" s="4" t="s">
        <v>31</v>
      </c>
      <c r="C37" s="4" t="s">
        <v>36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6" t="n">
        <f aca="false">SUM(D37:O37)</f>
        <v>0</v>
      </c>
    </row>
    <row r="38" customFormat="false" ht="15" hidden="false" customHeight="false" outlineLevel="0" collapsed="false">
      <c r="A38" s="4" t="s">
        <v>32</v>
      </c>
      <c r="B38" s="4" t="s">
        <v>33</v>
      </c>
      <c r="C38" s="4" t="s">
        <v>36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6" t="n">
        <f aca="false">SUM(D38:O38)</f>
        <v>0</v>
      </c>
    </row>
    <row r="39" customFormat="false" ht="15" hidden="false" customHeight="false" outlineLevel="0" collapsed="false">
      <c r="A39" s="4" t="s">
        <v>34</v>
      </c>
      <c r="B39" s="4" t="s">
        <v>33</v>
      </c>
      <c r="C39" s="4" t="s">
        <v>36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6" t="n">
        <f aca="false">SUM(D39:O39)</f>
        <v>0</v>
      </c>
    </row>
    <row r="40" customFormat="false" ht="15" hidden="false" customHeight="false" outlineLevel="0" collapsed="false">
      <c r="A40" s="4" t="s">
        <v>35</v>
      </c>
      <c r="B40" s="4" t="s">
        <v>33</v>
      </c>
      <c r="C40" s="4" t="s">
        <v>36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6" t="n">
        <f aca="false">SUM(D40:O40)</f>
        <v>0</v>
      </c>
    </row>
    <row r="41" customFormat="false" ht="15" hidden="false" customHeight="false" outlineLevel="0" collapsed="false">
      <c r="A41" s="4" t="s">
        <v>18</v>
      </c>
      <c r="B41" s="4" t="s">
        <v>19</v>
      </c>
      <c r="C41" s="4" t="s">
        <v>37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6" t="n">
        <f aca="false">SUM(D41:O41)</f>
        <v>0</v>
      </c>
    </row>
    <row r="42" customFormat="false" ht="15" hidden="false" customHeight="false" outlineLevel="0" collapsed="false">
      <c r="A42" s="4" t="s">
        <v>21</v>
      </c>
      <c r="B42" s="4" t="s">
        <v>19</v>
      </c>
      <c r="C42" s="4" t="s">
        <v>37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6" t="n">
        <f aca="false">SUM(D42:O42)</f>
        <v>0</v>
      </c>
    </row>
    <row r="43" customFormat="false" ht="15" hidden="false" customHeight="false" outlineLevel="0" collapsed="false">
      <c r="A43" s="4" t="s">
        <v>22</v>
      </c>
      <c r="B43" s="4" t="s">
        <v>19</v>
      </c>
      <c r="C43" s="4" t="s">
        <v>37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6" t="n">
        <f aca="false">SUM(D43:O43)</f>
        <v>0</v>
      </c>
    </row>
    <row r="44" customFormat="false" ht="15" hidden="false" customHeight="false" outlineLevel="0" collapsed="false">
      <c r="A44" s="4" t="s">
        <v>23</v>
      </c>
      <c r="B44" s="4" t="s">
        <v>24</v>
      </c>
      <c r="C44" s="4" t="s">
        <v>37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6" t="n">
        <f aca="false">SUM(D44:O44)</f>
        <v>0</v>
      </c>
    </row>
    <row r="45" customFormat="false" ht="15" hidden="false" customHeight="false" outlineLevel="0" collapsed="false">
      <c r="A45" s="4" t="s">
        <v>25</v>
      </c>
      <c r="B45" s="4" t="s">
        <v>24</v>
      </c>
      <c r="C45" s="4" t="s">
        <v>37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6" t="n">
        <f aca="false">SUM(D45:O45)</f>
        <v>0</v>
      </c>
    </row>
    <row r="46" customFormat="false" ht="15" hidden="false" customHeight="false" outlineLevel="0" collapsed="false">
      <c r="A46" s="4" t="s">
        <v>26</v>
      </c>
      <c r="B46" s="4" t="s">
        <v>24</v>
      </c>
      <c r="C46" s="4" t="s">
        <v>37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6" t="n">
        <f aca="false">SUM(D46:O46)</f>
        <v>0</v>
      </c>
    </row>
    <row r="47" customFormat="false" ht="15" hidden="false" customHeight="false" outlineLevel="0" collapsed="false">
      <c r="A47" s="4" t="s">
        <v>27</v>
      </c>
      <c r="B47" s="4" t="s">
        <v>28</v>
      </c>
      <c r="C47" s="4" t="s">
        <v>37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6" t="n">
        <f aca="false">SUM(D47:O47)</f>
        <v>0</v>
      </c>
    </row>
    <row r="48" customFormat="false" ht="15" hidden="false" customHeight="false" outlineLevel="0" collapsed="false">
      <c r="A48" s="4" t="s">
        <v>29</v>
      </c>
      <c r="B48" s="4" t="s">
        <v>28</v>
      </c>
      <c r="C48" s="4" t="s">
        <v>37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6" t="n">
        <f aca="false">SUM(D48:O48)</f>
        <v>0</v>
      </c>
    </row>
    <row r="49" customFormat="false" ht="15" hidden="false" customHeight="false" outlineLevel="0" collapsed="false">
      <c r="A49" s="4" t="s">
        <v>30</v>
      </c>
      <c r="B49" s="4" t="s">
        <v>31</v>
      </c>
      <c r="C49" s="4" t="s">
        <v>37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6" t="n">
        <f aca="false">SUM(D49:O49)</f>
        <v>0</v>
      </c>
    </row>
    <row r="50" customFormat="false" ht="15" hidden="false" customHeight="false" outlineLevel="0" collapsed="false">
      <c r="A50" s="4" t="s">
        <v>32</v>
      </c>
      <c r="B50" s="4" t="s">
        <v>33</v>
      </c>
      <c r="C50" s="4" t="s">
        <v>37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6" t="n">
        <f aca="false">SUM(D50:O50)</f>
        <v>0</v>
      </c>
    </row>
    <row r="51" customFormat="false" ht="15" hidden="false" customHeight="false" outlineLevel="0" collapsed="false">
      <c r="A51" s="4" t="s">
        <v>34</v>
      </c>
      <c r="B51" s="4" t="s">
        <v>33</v>
      </c>
      <c r="C51" s="4" t="s">
        <v>37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6" t="n">
        <f aca="false">SUM(D51:O51)</f>
        <v>0</v>
      </c>
    </row>
    <row r="52" customFormat="false" ht="15" hidden="false" customHeight="false" outlineLevel="0" collapsed="false">
      <c r="A52" s="4" t="s">
        <v>35</v>
      </c>
      <c r="B52" s="4" t="s">
        <v>33</v>
      </c>
      <c r="C52" s="4" t="s">
        <v>37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6" t="n">
        <f aca="false">SUM(D52:O52)</f>
        <v>0</v>
      </c>
    </row>
    <row r="53" customFormat="false" ht="15" hidden="false" customHeight="false" outlineLevel="0" collapsed="false">
      <c r="A53" s="4" t="s">
        <v>18</v>
      </c>
      <c r="B53" s="4" t="s">
        <v>19</v>
      </c>
      <c r="C53" s="4" t="s">
        <v>38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6" t="n">
        <f aca="false">SUM(D53:O53)</f>
        <v>0</v>
      </c>
    </row>
    <row r="54" customFormat="false" ht="15" hidden="false" customHeight="false" outlineLevel="0" collapsed="false">
      <c r="A54" s="4" t="s">
        <v>21</v>
      </c>
      <c r="B54" s="4" t="s">
        <v>19</v>
      </c>
      <c r="C54" s="4" t="s">
        <v>38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6" t="n">
        <f aca="false">SUM(D54:O54)</f>
        <v>0</v>
      </c>
    </row>
    <row r="55" customFormat="false" ht="15" hidden="false" customHeight="false" outlineLevel="0" collapsed="false">
      <c r="A55" s="4" t="s">
        <v>22</v>
      </c>
      <c r="B55" s="4" t="s">
        <v>19</v>
      </c>
      <c r="C55" s="4" t="s">
        <v>38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6" t="n">
        <f aca="false">SUM(D55:O55)</f>
        <v>0</v>
      </c>
    </row>
    <row r="56" customFormat="false" ht="15" hidden="false" customHeight="false" outlineLevel="0" collapsed="false">
      <c r="A56" s="4" t="s">
        <v>23</v>
      </c>
      <c r="B56" s="4" t="s">
        <v>24</v>
      </c>
      <c r="C56" s="4" t="s">
        <v>38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6" t="n">
        <f aca="false">SUM(D56:O56)</f>
        <v>0</v>
      </c>
    </row>
    <row r="57" customFormat="false" ht="15" hidden="false" customHeight="false" outlineLevel="0" collapsed="false">
      <c r="A57" s="4" t="s">
        <v>25</v>
      </c>
      <c r="B57" s="4" t="s">
        <v>24</v>
      </c>
      <c r="C57" s="4" t="s">
        <v>38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6" t="n">
        <f aca="false">SUM(D57:O57)</f>
        <v>0</v>
      </c>
    </row>
    <row r="58" customFormat="false" ht="15" hidden="false" customHeight="false" outlineLevel="0" collapsed="false">
      <c r="A58" s="4" t="s">
        <v>26</v>
      </c>
      <c r="B58" s="4" t="s">
        <v>24</v>
      </c>
      <c r="C58" s="4" t="s">
        <v>38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6" t="n">
        <f aca="false">SUM(D58:O58)</f>
        <v>0</v>
      </c>
    </row>
    <row r="59" customFormat="false" ht="15" hidden="false" customHeight="false" outlineLevel="0" collapsed="false">
      <c r="A59" s="4" t="s">
        <v>27</v>
      </c>
      <c r="B59" s="4" t="s">
        <v>28</v>
      </c>
      <c r="C59" s="4" t="s">
        <v>38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6" t="n">
        <f aca="false">SUM(D59:O59)</f>
        <v>0</v>
      </c>
    </row>
    <row r="60" customFormat="false" ht="15" hidden="false" customHeight="false" outlineLevel="0" collapsed="false">
      <c r="A60" s="4" t="s">
        <v>29</v>
      </c>
      <c r="B60" s="4" t="s">
        <v>28</v>
      </c>
      <c r="C60" s="4" t="s">
        <v>38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6" t="n">
        <f aca="false">SUM(D60:O60)</f>
        <v>0</v>
      </c>
    </row>
    <row r="61" customFormat="false" ht="15" hidden="false" customHeight="false" outlineLevel="0" collapsed="false">
      <c r="A61" s="4" t="s">
        <v>30</v>
      </c>
      <c r="B61" s="4" t="s">
        <v>31</v>
      </c>
      <c r="C61" s="4" t="s">
        <v>38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6" t="n">
        <f aca="false">SUM(D61:O61)</f>
        <v>0</v>
      </c>
    </row>
    <row r="62" customFormat="false" ht="15" hidden="false" customHeight="false" outlineLevel="0" collapsed="false">
      <c r="A62" s="4" t="s">
        <v>32</v>
      </c>
      <c r="B62" s="4" t="s">
        <v>33</v>
      </c>
      <c r="C62" s="4" t="s">
        <v>38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6" t="n">
        <f aca="false">SUM(D62:O62)</f>
        <v>0</v>
      </c>
    </row>
    <row r="63" customFormat="false" ht="15" hidden="false" customHeight="false" outlineLevel="0" collapsed="false">
      <c r="A63" s="4" t="s">
        <v>34</v>
      </c>
      <c r="B63" s="4" t="s">
        <v>33</v>
      </c>
      <c r="C63" s="4" t="s">
        <v>38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6" t="n">
        <f aca="false">SUM(D63:O63)</f>
        <v>0</v>
      </c>
    </row>
    <row r="64" customFormat="false" ht="15" hidden="false" customHeight="false" outlineLevel="0" collapsed="false">
      <c r="A64" s="4" t="s">
        <v>35</v>
      </c>
      <c r="B64" s="4" t="s">
        <v>33</v>
      </c>
      <c r="C64" s="4" t="s">
        <v>38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6" t="n">
        <f aca="false">SUM(D64:O64)</f>
        <v>0</v>
      </c>
    </row>
    <row r="65" customFormat="false" ht="15" hidden="false" customHeight="false" outlineLevel="0" collapsed="false">
      <c r="A65" s="4" t="s">
        <v>18</v>
      </c>
      <c r="B65" s="4" t="s">
        <v>19</v>
      </c>
      <c r="C65" s="4" t="s">
        <v>39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6" t="n">
        <f aca="false">SUM(D65:O65)</f>
        <v>0</v>
      </c>
    </row>
    <row r="66" customFormat="false" ht="15" hidden="false" customHeight="false" outlineLevel="0" collapsed="false">
      <c r="A66" s="4" t="s">
        <v>21</v>
      </c>
      <c r="B66" s="4" t="s">
        <v>19</v>
      </c>
      <c r="C66" s="4" t="s">
        <v>39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6" t="n">
        <f aca="false">SUM(D66:O66)</f>
        <v>0</v>
      </c>
    </row>
    <row r="67" customFormat="false" ht="15" hidden="false" customHeight="false" outlineLevel="0" collapsed="false">
      <c r="A67" s="4" t="s">
        <v>22</v>
      </c>
      <c r="B67" s="4" t="s">
        <v>19</v>
      </c>
      <c r="C67" s="4" t="s">
        <v>39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6" t="n">
        <f aca="false">SUM(D67:O67)</f>
        <v>0</v>
      </c>
    </row>
    <row r="68" customFormat="false" ht="15" hidden="false" customHeight="false" outlineLevel="0" collapsed="false">
      <c r="A68" s="4" t="s">
        <v>23</v>
      </c>
      <c r="B68" s="4" t="s">
        <v>24</v>
      </c>
      <c r="C68" s="4" t="s">
        <v>39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6" t="n">
        <f aca="false">SUM(D68:O68)</f>
        <v>0</v>
      </c>
    </row>
    <row r="69" customFormat="false" ht="15" hidden="false" customHeight="false" outlineLevel="0" collapsed="false">
      <c r="A69" s="4" t="s">
        <v>25</v>
      </c>
      <c r="B69" s="4" t="s">
        <v>24</v>
      </c>
      <c r="C69" s="4" t="s">
        <v>39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6" t="n">
        <f aca="false">SUM(D69:O69)</f>
        <v>0</v>
      </c>
    </row>
    <row r="70" customFormat="false" ht="15" hidden="false" customHeight="false" outlineLevel="0" collapsed="false">
      <c r="A70" s="4" t="s">
        <v>26</v>
      </c>
      <c r="B70" s="4" t="s">
        <v>24</v>
      </c>
      <c r="C70" s="4" t="s">
        <v>39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6" t="n">
        <f aca="false">SUM(D70:O70)</f>
        <v>0</v>
      </c>
    </row>
    <row r="71" customFormat="false" ht="15" hidden="false" customHeight="false" outlineLevel="0" collapsed="false">
      <c r="A71" s="4" t="s">
        <v>27</v>
      </c>
      <c r="B71" s="4" t="s">
        <v>28</v>
      </c>
      <c r="C71" s="4" t="s">
        <v>39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6" t="n">
        <f aca="false">SUM(D71:O71)</f>
        <v>0</v>
      </c>
    </row>
    <row r="72" customFormat="false" ht="15" hidden="false" customHeight="false" outlineLevel="0" collapsed="false">
      <c r="A72" s="4" t="s">
        <v>29</v>
      </c>
      <c r="B72" s="4" t="s">
        <v>28</v>
      </c>
      <c r="C72" s="4" t="s">
        <v>39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6" t="n">
        <f aca="false">SUM(D72:O72)</f>
        <v>0</v>
      </c>
    </row>
    <row r="73" customFormat="false" ht="15" hidden="false" customHeight="false" outlineLevel="0" collapsed="false">
      <c r="A73" s="4" t="s">
        <v>30</v>
      </c>
      <c r="B73" s="4" t="s">
        <v>31</v>
      </c>
      <c r="C73" s="4" t="s">
        <v>39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6" t="n">
        <f aca="false">SUM(D73:O73)</f>
        <v>0</v>
      </c>
    </row>
    <row r="74" customFormat="false" ht="15" hidden="false" customHeight="false" outlineLevel="0" collapsed="false">
      <c r="A74" s="4" t="s">
        <v>32</v>
      </c>
      <c r="B74" s="4" t="s">
        <v>33</v>
      </c>
      <c r="C74" s="4" t="s">
        <v>39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6" t="n">
        <f aca="false">SUM(D74:O74)</f>
        <v>0</v>
      </c>
    </row>
    <row r="75" customFormat="false" ht="15" hidden="false" customHeight="false" outlineLevel="0" collapsed="false">
      <c r="A75" s="4" t="s">
        <v>34</v>
      </c>
      <c r="B75" s="4" t="s">
        <v>33</v>
      </c>
      <c r="C75" s="4" t="s">
        <v>39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6" t="n">
        <f aca="false">SUM(D75:O75)</f>
        <v>0</v>
      </c>
    </row>
    <row r="76" customFormat="false" ht="15" hidden="false" customHeight="false" outlineLevel="0" collapsed="false">
      <c r="A76" s="4" t="s">
        <v>35</v>
      </c>
      <c r="B76" s="4" t="s">
        <v>33</v>
      </c>
      <c r="C76" s="4" t="s">
        <v>39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6" t="n">
        <f aca="false">SUM(D76:O76)</f>
        <v>0</v>
      </c>
    </row>
    <row r="77" customFormat="false" ht="15" hidden="false" customHeight="false" outlineLevel="0" collapsed="false">
      <c r="A77" s="7" t="s">
        <v>43</v>
      </c>
      <c r="B77" s="8"/>
      <c r="C77" s="8"/>
      <c r="D77" s="9" t="n">
        <f aca="false">SUM(D5:D76)</f>
        <v>0</v>
      </c>
      <c r="E77" s="9" t="n">
        <f aca="false">SUM(E5:E76)</f>
        <v>0</v>
      </c>
      <c r="F77" s="9" t="n">
        <f aca="false">SUM(F5:F76)</f>
        <v>0</v>
      </c>
      <c r="G77" s="9" t="n">
        <f aca="false">SUM(G5:G76)</f>
        <v>0</v>
      </c>
      <c r="H77" s="9" t="n">
        <f aca="false">SUM(H5:H76)</f>
        <v>0</v>
      </c>
      <c r="I77" s="9" t="n">
        <f aca="false">SUM(I5:I76)</f>
        <v>0</v>
      </c>
      <c r="J77" s="9" t="n">
        <f aca="false">SUM(J5:J76)</f>
        <v>0</v>
      </c>
      <c r="K77" s="9" t="n">
        <f aca="false">SUM(K5:K76)</f>
        <v>0</v>
      </c>
      <c r="L77" s="9" t="n">
        <f aca="false">SUM(L5:L76)</f>
        <v>0</v>
      </c>
      <c r="M77" s="9" t="n">
        <f aca="false">SUM(M5:M76)</f>
        <v>0</v>
      </c>
      <c r="N77" s="9" t="n">
        <f aca="false">SUM(N5:N76)</f>
        <v>0</v>
      </c>
      <c r="O77" s="9" t="n">
        <f aca="false">SUM(O5:O76)</f>
        <v>0</v>
      </c>
      <c r="P77" s="9" t="n">
        <f aca="false">SUM(P5:P76)</f>
        <v>0</v>
      </c>
    </row>
  </sheetData>
  <autoFilter ref="A4:C76"/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16" min="4" style="0" width="11"/>
  </cols>
  <sheetData>
    <row r="1" customFormat="false" ht="25.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str">
        <f aca="false">Budget!A5</f>
        <v>Salaries and wages</v>
      </c>
      <c r="B5" s="4" t="str">
        <f aca="false">Budget!B5</f>
        <v>Staff</v>
      </c>
      <c r="C5" s="4" t="str">
        <f aca="false">Budget!C5</f>
        <v>Sales</v>
      </c>
      <c r="D5" s="10" t="n">
        <f aca="false">Actual!D5-Budget!D5</f>
        <v>0</v>
      </c>
      <c r="E5" s="10" t="n">
        <f aca="false">Actual!E5-Budget!E5</f>
        <v>0</v>
      </c>
      <c r="F5" s="10" t="n">
        <f aca="false">Actual!F5-Budget!F5</f>
        <v>0</v>
      </c>
      <c r="G5" s="10" t="n">
        <f aca="false">Actual!G5-Budget!G5</f>
        <v>0</v>
      </c>
      <c r="H5" s="10" t="n">
        <f aca="false">Actual!H5-Budget!H5</f>
        <v>0</v>
      </c>
      <c r="I5" s="10" t="n">
        <f aca="false">Actual!I5-Budget!I5</f>
        <v>0</v>
      </c>
      <c r="J5" s="10" t="n">
        <f aca="false">Actual!J5-Budget!J5</f>
        <v>0</v>
      </c>
      <c r="K5" s="10" t="n">
        <f aca="false">Actual!K5-Budget!K5</f>
        <v>0</v>
      </c>
      <c r="L5" s="10" t="n">
        <f aca="false">Actual!L5-Budget!L5</f>
        <v>0</v>
      </c>
      <c r="M5" s="10" t="n">
        <f aca="false">Actual!M5-Budget!M5</f>
        <v>0</v>
      </c>
      <c r="N5" s="10" t="n">
        <f aca="false">Actual!N5-Budget!N5</f>
        <v>0</v>
      </c>
      <c r="O5" s="10" t="n">
        <f aca="false">Actual!O5-Budget!O5</f>
        <v>0</v>
      </c>
      <c r="P5" s="10" t="n">
        <f aca="false">Actual!P5-Budget!P5</f>
        <v>0</v>
      </c>
    </row>
    <row r="6" customFormat="false" ht="15" hidden="false" customHeight="false" outlineLevel="0" collapsed="false">
      <c r="A6" s="4" t="str">
        <f aca="false">Budget!A6</f>
        <v>Employee benefits</v>
      </c>
      <c r="B6" s="4" t="str">
        <f aca="false">Budget!B6</f>
        <v>Staff</v>
      </c>
      <c r="C6" s="4" t="str">
        <f aca="false">Budget!C6</f>
        <v>Sales</v>
      </c>
      <c r="D6" s="10" t="n">
        <f aca="false">Actual!D6-Budget!D6</f>
        <v>0</v>
      </c>
      <c r="E6" s="10" t="n">
        <f aca="false">Actual!E6-Budget!E6</f>
        <v>0</v>
      </c>
      <c r="F6" s="10" t="n">
        <f aca="false">Actual!F6-Budget!F6</f>
        <v>0</v>
      </c>
      <c r="G6" s="10" t="n">
        <f aca="false">Actual!G6-Budget!G6</f>
        <v>0</v>
      </c>
      <c r="H6" s="10" t="n">
        <f aca="false">Actual!H6-Budget!H6</f>
        <v>0</v>
      </c>
      <c r="I6" s="10" t="n">
        <f aca="false">Actual!I6-Budget!I6</f>
        <v>0</v>
      </c>
      <c r="J6" s="10" t="n">
        <f aca="false">Actual!J6-Budget!J6</f>
        <v>0</v>
      </c>
      <c r="K6" s="10" t="n">
        <f aca="false">Actual!K6-Budget!K6</f>
        <v>0</v>
      </c>
      <c r="L6" s="10" t="n">
        <f aca="false">Actual!L6-Budget!L6</f>
        <v>0</v>
      </c>
      <c r="M6" s="10" t="n">
        <f aca="false">Actual!M6-Budget!M6</f>
        <v>0</v>
      </c>
      <c r="N6" s="10" t="n">
        <f aca="false">Actual!N6-Budget!N6</f>
        <v>0</v>
      </c>
      <c r="O6" s="10" t="n">
        <f aca="false">Actual!O6-Budget!O6</f>
        <v>0</v>
      </c>
      <c r="P6" s="10" t="n">
        <f aca="false">Actual!P6-Budget!P6</f>
        <v>0</v>
      </c>
    </row>
    <row r="7" customFormat="false" ht="15" hidden="false" customHeight="false" outlineLevel="0" collapsed="false">
      <c r="A7" s="4" t="str">
        <f aca="false">Budget!A7</f>
        <v>Training</v>
      </c>
      <c r="B7" s="4" t="str">
        <f aca="false">Budget!B7</f>
        <v>Staff</v>
      </c>
      <c r="C7" s="4" t="str">
        <f aca="false">Budget!C7</f>
        <v>Sales</v>
      </c>
      <c r="D7" s="10" t="n">
        <f aca="false">Actual!D7-Budget!D7</f>
        <v>0</v>
      </c>
      <c r="E7" s="10" t="n">
        <f aca="false">Actual!E7-Budget!E7</f>
        <v>0</v>
      </c>
      <c r="F7" s="10" t="n">
        <f aca="false">Actual!F7-Budget!F7</f>
        <v>0</v>
      </c>
      <c r="G7" s="10" t="n">
        <f aca="false">Actual!G7-Budget!G7</f>
        <v>0</v>
      </c>
      <c r="H7" s="10" t="n">
        <f aca="false">Actual!H7-Budget!H7</f>
        <v>0</v>
      </c>
      <c r="I7" s="10" t="n">
        <f aca="false">Actual!I7-Budget!I7</f>
        <v>0</v>
      </c>
      <c r="J7" s="10" t="n">
        <f aca="false">Actual!J7-Budget!J7</f>
        <v>0</v>
      </c>
      <c r="K7" s="10" t="n">
        <f aca="false">Actual!K7-Budget!K7</f>
        <v>0</v>
      </c>
      <c r="L7" s="10" t="n">
        <f aca="false">Actual!L7-Budget!L7</f>
        <v>0</v>
      </c>
      <c r="M7" s="10" t="n">
        <f aca="false">Actual!M7-Budget!M7</f>
        <v>0</v>
      </c>
      <c r="N7" s="10" t="n">
        <f aca="false">Actual!N7-Budget!N7</f>
        <v>0</v>
      </c>
      <c r="O7" s="10" t="n">
        <f aca="false">Actual!O7-Budget!O7</f>
        <v>0</v>
      </c>
      <c r="P7" s="10" t="n">
        <f aca="false">Actual!P7-Budget!P7</f>
        <v>0</v>
      </c>
    </row>
    <row r="8" customFormat="false" ht="15" hidden="false" customHeight="false" outlineLevel="0" collapsed="false">
      <c r="A8" s="4" t="str">
        <f aca="false">Budget!A8</f>
        <v>Rent</v>
      </c>
      <c r="B8" s="4" t="str">
        <f aca="false">Budget!B8</f>
        <v>Premises</v>
      </c>
      <c r="C8" s="4" t="str">
        <f aca="false">Budget!C8</f>
        <v>Sales</v>
      </c>
      <c r="D8" s="10" t="n">
        <f aca="false">Actual!D8-Budget!D8</f>
        <v>0</v>
      </c>
      <c r="E8" s="10" t="n">
        <f aca="false">Actual!E8-Budget!E8</f>
        <v>0</v>
      </c>
      <c r="F8" s="10" t="n">
        <f aca="false">Actual!F8-Budget!F8</f>
        <v>0</v>
      </c>
      <c r="G8" s="10" t="n">
        <f aca="false">Actual!G8-Budget!G8</f>
        <v>0</v>
      </c>
      <c r="H8" s="10" t="n">
        <f aca="false">Actual!H8-Budget!H8</f>
        <v>0</v>
      </c>
      <c r="I8" s="10" t="n">
        <f aca="false">Actual!I8-Budget!I8</f>
        <v>0</v>
      </c>
      <c r="J8" s="10" t="n">
        <f aca="false">Actual!J8-Budget!J8</f>
        <v>0</v>
      </c>
      <c r="K8" s="10" t="n">
        <f aca="false">Actual!K8-Budget!K8</f>
        <v>0</v>
      </c>
      <c r="L8" s="10" t="n">
        <f aca="false">Actual!L8-Budget!L8</f>
        <v>0</v>
      </c>
      <c r="M8" s="10" t="n">
        <f aca="false">Actual!M8-Budget!M8</f>
        <v>0</v>
      </c>
      <c r="N8" s="10" t="n">
        <f aca="false">Actual!N8-Budget!N8</f>
        <v>0</v>
      </c>
      <c r="O8" s="10" t="n">
        <f aca="false">Actual!O8-Budget!O8</f>
        <v>0</v>
      </c>
      <c r="P8" s="10" t="n">
        <f aca="false">Actual!P8-Budget!P8</f>
        <v>0</v>
      </c>
    </row>
    <row r="9" customFormat="false" ht="15" hidden="false" customHeight="false" outlineLevel="0" collapsed="false">
      <c r="A9" s="4" t="str">
        <f aca="false">Budget!A9</f>
        <v>Utilities</v>
      </c>
      <c r="B9" s="4" t="str">
        <f aca="false">Budget!B9</f>
        <v>Premises</v>
      </c>
      <c r="C9" s="4" t="str">
        <f aca="false">Budget!C9</f>
        <v>Sales</v>
      </c>
      <c r="D9" s="10" t="n">
        <f aca="false">Actual!D9-Budget!D9</f>
        <v>0</v>
      </c>
      <c r="E9" s="10" t="n">
        <f aca="false">Actual!E9-Budget!E9</f>
        <v>0</v>
      </c>
      <c r="F9" s="10" t="n">
        <f aca="false">Actual!F9-Budget!F9</f>
        <v>0</v>
      </c>
      <c r="G9" s="10" t="n">
        <f aca="false">Actual!G9-Budget!G9</f>
        <v>0</v>
      </c>
      <c r="H9" s="10" t="n">
        <f aca="false">Actual!H9-Budget!H9</f>
        <v>0</v>
      </c>
      <c r="I9" s="10" t="n">
        <f aca="false">Actual!I9-Budget!I9</f>
        <v>0</v>
      </c>
      <c r="J9" s="10" t="n">
        <f aca="false">Actual!J9-Budget!J9</f>
        <v>0</v>
      </c>
      <c r="K9" s="10" t="n">
        <f aca="false">Actual!K9-Budget!K9</f>
        <v>0</v>
      </c>
      <c r="L9" s="10" t="n">
        <f aca="false">Actual!L9-Budget!L9</f>
        <v>0</v>
      </c>
      <c r="M9" s="10" t="n">
        <f aca="false">Actual!M9-Budget!M9</f>
        <v>0</v>
      </c>
      <c r="N9" s="10" t="n">
        <f aca="false">Actual!N9-Budget!N9</f>
        <v>0</v>
      </c>
      <c r="O9" s="10" t="n">
        <f aca="false">Actual!O9-Budget!O9</f>
        <v>0</v>
      </c>
      <c r="P9" s="10" t="n">
        <f aca="false">Actual!P9-Budget!P9</f>
        <v>0</v>
      </c>
    </row>
    <row r="10" customFormat="false" ht="15" hidden="false" customHeight="false" outlineLevel="0" collapsed="false">
      <c r="A10" s="4" t="str">
        <f aca="false">Budget!A10</f>
        <v>Repairs and maintenance</v>
      </c>
      <c r="B10" s="4" t="str">
        <f aca="false">Budget!B10</f>
        <v>Premises</v>
      </c>
      <c r="C10" s="4" t="str">
        <f aca="false">Budget!C10</f>
        <v>Sales</v>
      </c>
      <c r="D10" s="10" t="n">
        <f aca="false">Actual!D10-Budget!D10</f>
        <v>0</v>
      </c>
      <c r="E10" s="10" t="n">
        <f aca="false">Actual!E10-Budget!E10</f>
        <v>0</v>
      </c>
      <c r="F10" s="10" t="n">
        <f aca="false">Actual!F10-Budget!F10</f>
        <v>0</v>
      </c>
      <c r="G10" s="10" t="n">
        <f aca="false">Actual!G10-Budget!G10</f>
        <v>0</v>
      </c>
      <c r="H10" s="10" t="n">
        <f aca="false">Actual!H10-Budget!H10</f>
        <v>0</v>
      </c>
      <c r="I10" s="10" t="n">
        <f aca="false">Actual!I10-Budget!I10</f>
        <v>0</v>
      </c>
      <c r="J10" s="10" t="n">
        <f aca="false">Actual!J10-Budget!J10</f>
        <v>0</v>
      </c>
      <c r="K10" s="10" t="n">
        <f aca="false">Actual!K10-Budget!K10</f>
        <v>0</v>
      </c>
      <c r="L10" s="10" t="n">
        <f aca="false">Actual!L10-Budget!L10</f>
        <v>0</v>
      </c>
      <c r="M10" s="10" t="n">
        <f aca="false">Actual!M10-Budget!M10</f>
        <v>0</v>
      </c>
      <c r="N10" s="10" t="n">
        <f aca="false">Actual!N10-Budget!N10</f>
        <v>0</v>
      </c>
      <c r="O10" s="10" t="n">
        <f aca="false">Actual!O10-Budget!O10</f>
        <v>0</v>
      </c>
      <c r="P10" s="10" t="n">
        <f aca="false">Actual!P10-Budget!P10</f>
        <v>0</v>
      </c>
    </row>
    <row r="11" customFormat="false" ht="15" hidden="false" customHeight="false" outlineLevel="0" collapsed="false">
      <c r="A11" s="4" t="str">
        <f aca="false">Budget!A11</f>
        <v>Software licences</v>
      </c>
      <c r="B11" s="4" t="str">
        <f aca="false">Budget!B11</f>
        <v>Technology</v>
      </c>
      <c r="C11" s="4" t="str">
        <f aca="false">Budget!C11</f>
        <v>Sales</v>
      </c>
      <c r="D11" s="10" t="n">
        <f aca="false">Actual!D11-Budget!D11</f>
        <v>0</v>
      </c>
      <c r="E11" s="10" t="n">
        <f aca="false">Actual!E11-Budget!E11</f>
        <v>0</v>
      </c>
      <c r="F11" s="10" t="n">
        <f aca="false">Actual!F11-Budget!F11</f>
        <v>0</v>
      </c>
      <c r="G11" s="10" t="n">
        <f aca="false">Actual!G11-Budget!G11</f>
        <v>0</v>
      </c>
      <c r="H11" s="10" t="n">
        <f aca="false">Actual!H11-Budget!H11</f>
        <v>0</v>
      </c>
      <c r="I11" s="10" t="n">
        <f aca="false">Actual!I11-Budget!I11</f>
        <v>0</v>
      </c>
      <c r="J11" s="10" t="n">
        <f aca="false">Actual!J11-Budget!J11</f>
        <v>0</v>
      </c>
      <c r="K11" s="10" t="n">
        <f aca="false">Actual!K11-Budget!K11</f>
        <v>0</v>
      </c>
      <c r="L11" s="10" t="n">
        <f aca="false">Actual!L11-Budget!L11</f>
        <v>0</v>
      </c>
      <c r="M11" s="10" t="n">
        <f aca="false">Actual!M11-Budget!M11</f>
        <v>0</v>
      </c>
      <c r="N11" s="10" t="n">
        <f aca="false">Actual!N11-Budget!N11</f>
        <v>0</v>
      </c>
      <c r="O11" s="10" t="n">
        <f aca="false">Actual!O11-Budget!O11</f>
        <v>0</v>
      </c>
      <c r="P11" s="10" t="n">
        <f aca="false">Actual!P11-Budget!P11</f>
        <v>0</v>
      </c>
    </row>
    <row r="12" customFormat="false" ht="15" hidden="false" customHeight="false" outlineLevel="0" collapsed="false">
      <c r="A12" s="4" t="str">
        <f aca="false">Budget!A12</f>
        <v>Hardware</v>
      </c>
      <c r="B12" s="4" t="str">
        <f aca="false">Budget!B12</f>
        <v>Technology</v>
      </c>
      <c r="C12" s="4" t="str">
        <f aca="false">Budget!C12</f>
        <v>Sales</v>
      </c>
      <c r="D12" s="10" t="n">
        <f aca="false">Actual!D12-Budget!D12</f>
        <v>0</v>
      </c>
      <c r="E12" s="10" t="n">
        <f aca="false">Actual!E12-Budget!E12</f>
        <v>0</v>
      </c>
      <c r="F12" s="10" t="n">
        <f aca="false">Actual!F12-Budget!F12</f>
        <v>0</v>
      </c>
      <c r="G12" s="10" t="n">
        <f aca="false">Actual!G12-Budget!G12</f>
        <v>0</v>
      </c>
      <c r="H12" s="10" t="n">
        <f aca="false">Actual!H12-Budget!H12</f>
        <v>0</v>
      </c>
      <c r="I12" s="10" t="n">
        <f aca="false">Actual!I12-Budget!I12</f>
        <v>0</v>
      </c>
      <c r="J12" s="10" t="n">
        <f aca="false">Actual!J12-Budget!J12</f>
        <v>0</v>
      </c>
      <c r="K12" s="10" t="n">
        <f aca="false">Actual!K12-Budget!K12</f>
        <v>0</v>
      </c>
      <c r="L12" s="10" t="n">
        <f aca="false">Actual!L12-Budget!L12</f>
        <v>0</v>
      </c>
      <c r="M12" s="10" t="n">
        <f aca="false">Actual!M12-Budget!M12</f>
        <v>0</v>
      </c>
      <c r="N12" s="10" t="n">
        <f aca="false">Actual!N12-Budget!N12</f>
        <v>0</v>
      </c>
      <c r="O12" s="10" t="n">
        <f aca="false">Actual!O12-Budget!O12</f>
        <v>0</v>
      </c>
      <c r="P12" s="10" t="n">
        <f aca="false">Actual!P12-Budget!P12</f>
        <v>0</v>
      </c>
    </row>
    <row r="13" customFormat="false" ht="15" hidden="false" customHeight="false" outlineLevel="0" collapsed="false">
      <c r="A13" s="4" t="str">
        <f aca="false">Budget!A13</f>
        <v>Advertising</v>
      </c>
      <c r="B13" s="4" t="str">
        <f aca="false">Budget!B13</f>
        <v>Marketing</v>
      </c>
      <c r="C13" s="4" t="str">
        <f aca="false">Budget!C13</f>
        <v>Sales</v>
      </c>
      <c r="D13" s="10" t="n">
        <f aca="false">Actual!D13-Budget!D13</f>
        <v>0</v>
      </c>
      <c r="E13" s="10" t="n">
        <f aca="false">Actual!E13-Budget!E13</f>
        <v>0</v>
      </c>
      <c r="F13" s="10" t="n">
        <f aca="false">Actual!F13-Budget!F13</f>
        <v>0</v>
      </c>
      <c r="G13" s="10" t="n">
        <f aca="false">Actual!G13-Budget!G13</f>
        <v>0</v>
      </c>
      <c r="H13" s="10" t="n">
        <f aca="false">Actual!H13-Budget!H13</f>
        <v>0</v>
      </c>
      <c r="I13" s="10" t="n">
        <f aca="false">Actual!I13-Budget!I13</f>
        <v>0</v>
      </c>
      <c r="J13" s="10" t="n">
        <f aca="false">Actual!J13-Budget!J13</f>
        <v>0</v>
      </c>
      <c r="K13" s="10" t="n">
        <f aca="false">Actual!K13-Budget!K13</f>
        <v>0</v>
      </c>
      <c r="L13" s="10" t="n">
        <f aca="false">Actual!L13-Budget!L13</f>
        <v>0</v>
      </c>
      <c r="M13" s="10" t="n">
        <f aca="false">Actual!M13-Budget!M13</f>
        <v>0</v>
      </c>
      <c r="N13" s="10" t="n">
        <f aca="false">Actual!N13-Budget!N13</f>
        <v>0</v>
      </c>
      <c r="O13" s="10" t="n">
        <f aca="false">Actual!O13-Budget!O13</f>
        <v>0</v>
      </c>
      <c r="P13" s="10" t="n">
        <f aca="false">Actual!P13-Budget!P13</f>
        <v>0</v>
      </c>
    </row>
    <row r="14" customFormat="false" ht="15" hidden="false" customHeight="false" outlineLevel="0" collapsed="false">
      <c r="A14" s="4" t="str">
        <f aca="false">Budget!A14</f>
        <v>Travel and entertainment</v>
      </c>
      <c r="B14" s="4" t="str">
        <f aca="false">Budget!B14</f>
        <v>Other</v>
      </c>
      <c r="C14" s="4" t="str">
        <f aca="false">Budget!C14</f>
        <v>Sales</v>
      </c>
      <c r="D14" s="10" t="n">
        <f aca="false">Actual!D14-Budget!D14</f>
        <v>0</v>
      </c>
      <c r="E14" s="10" t="n">
        <f aca="false">Actual!E14-Budget!E14</f>
        <v>0</v>
      </c>
      <c r="F14" s="10" t="n">
        <f aca="false">Actual!F14-Budget!F14</f>
        <v>0</v>
      </c>
      <c r="G14" s="10" t="n">
        <f aca="false">Actual!G14-Budget!G14</f>
        <v>0</v>
      </c>
      <c r="H14" s="10" t="n">
        <f aca="false">Actual!H14-Budget!H14</f>
        <v>0</v>
      </c>
      <c r="I14" s="10" t="n">
        <f aca="false">Actual!I14-Budget!I14</f>
        <v>0</v>
      </c>
      <c r="J14" s="10" t="n">
        <f aca="false">Actual!J14-Budget!J14</f>
        <v>0</v>
      </c>
      <c r="K14" s="10" t="n">
        <f aca="false">Actual!K14-Budget!K14</f>
        <v>0</v>
      </c>
      <c r="L14" s="10" t="n">
        <f aca="false">Actual!L14-Budget!L14</f>
        <v>0</v>
      </c>
      <c r="M14" s="10" t="n">
        <f aca="false">Actual!M14-Budget!M14</f>
        <v>0</v>
      </c>
      <c r="N14" s="10" t="n">
        <f aca="false">Actual!N14-Budget!N14</f>
        <v>0</v>
      </c>
      <c r="O14" s="10" t="n">
        <f aca="false">Actual!O14-Budget!O14</f>
        <v>0</v>
      </c>
      <c r="P14" s="10" t="n">
        <f aca="false">Actual!P14-Budget!P14</f>
        <v>0</v>
      </c>
    </row>
    <row r="15" customFormat="false" ht="15" hidden="false" customHeight="false" outlineLevel="0" collapsed="false">
      <c r="A15" s="4" t="str">
        <f aca="false">Budget!A15</f>
        <v>Professional fees</v>
      </c>
      <c r="B15" s="4" t="str">
        <f aca="false">Budget!B15</f>
        <v>Other</v>
      </c>
      <c r="C15" s="4" t="str">
        <f aca="false">Budget!C15</f>
        <v>Sales</v>
      </c>
      <c r="D15" s="10" t="n">
        <f aca="false">Actual!D15-Budget!D15</f>
        <v>0</v>
      </c>
      <c r="E15" s="10" t="n">
        <f aca="false">Actual!E15-Budget!E15</f>
        <v>0</v>
      </c>
      <c r="F15" s="10" t="n">
        <f aca="false">Actual!F15-Budget!F15</f>
        <v>0</v>
      </c>
      <c r="G15" s="10" t="n">
        <f aca="false">Actual!G15-Budget!G15</f>
        <v>0</v>
      </c>
      <c r="H15" s="10" t="n">
        <f aca="false">Actual!H15-Budget!H15</f>
        <v>0</v>
      </c>
      <c r="I15" s="10" t="n">
        <f aca="false">Actual!I15-Budget!I15</f>
        <v>0</v>
      </c>
      <c r="J15" s="10" t="n">
        <f aca="false">Actual!J15-Budget!J15</f>
        <v>0</v>
      </c>
      <c r="K15" s="10" t="n">
        <f aca="false">Actual!K15-Budget!K15</f>
        <v>0</v>
      </c>
      <c r="L15" s="10" t="n">
        <f aca="false">Actual!L15-Budget!L15</f>
        <v>0</v>
      </c>
      <c r="M15" s="10" t="n">
        <f aca="false">Actual!M15-Budget!M15</f>
        <v>0</v>
      </c>
      <c r="N15" s="10" t="n">
        <f aca="false">Actual!N15-Budget!N15</f>
        <v>0</v>
      </c>
      <c r="O15" s="10" t="n">
        <f aca="false">Actual!O15-Budget!O15</f>
        <v>0</v>
      </c>
      <c r="P15" s="10" t="n">
        <f aca="false">Actual!P15-Budget!P15</f>
        <v>0</v>
      </c>
    </row>
    <row r="16" customFormat="false" ht="15" hidden="false" customHeight="false" outlineLevel="0" collapsed="false">
      <c r="A16" s="4" t="str">
        <f aca="false">Budget!A16</f>
        <v>Office supplies</v>
      </c>
      <c r="B16" s="4" t="str">
        <f aca="false">Budget!B16</f>
        <v>Other</v>
      </c>
      <c r="C16" s="4" t="str">
        <f aca="false">Budget!C16</f>
        <v>Sales</v>
      </c>
      <c r="D16" s="10" t="n">
        <f aca="false">Actual!D16-Budget!D16</f>
        <v>0</v>
      </c>
      <c r="E16" s="10" t="n">
        <f aca="false">Actual!E16-Budget!E16</f>
        <v>0</v>
      </c>
      <c r="F16" s="10" t="n">
        <f aca="false">Actual!F16-Budget!F16</f>
        <v>0</v>
      </c>
      <c r="G16" s="10" t="n">
        <f aca="false">Actual!G16-Budget!G16</f>
        <v>0</v>
      </c>
      <c r="H16" s="10" t="n">
        <f aca="false">Actual!H16-Budget!H16</f>
        <v>0</v>
      </c>
      <c r="I16" s="10" t="n">
        <f aca="false">Actual!I16-Budget!I16</f>
        <v>0</v>
      </c>
      <c r="J16" s="10" t="n">
        <f aca="false">Actual!J16-Budget!J16</f>
        <v>0</v>
      </c>
      <c r="K16" s="10" t="n">
        <f aca="false">Actual!K16-Budget!K16</f>
        <v>0</v>
      </c>
      <c r="L16" s="10" t="n">
        <f aca="false">Actual!L16-Budget!L16</f>
        <v>0</v>
      </c>
      <c r="M16" s="10" t="n">
        <f aca="false">Actual!M16-Budget!M16</f>
        <v>0</v>
      </c>
      <c r="N16" s="10" t="n">
        <f aca="false">Actual!N16-Budget!N16</f>
        <v>0</v>
      </c>
      <c r="O16" s="10" t="n">
        <f aca="false">Actual!O16-Budget!O16</f>
        <v>0</v>
      </c>
      <c r="P16" s="10" t="n">
        <f aca="false">Actual!P16-Budget!P16</f>
        <v>0</v>
      </c>
    </row>
    <row r="17" customFormat="false" ht="15" hidden="false" customHeight="false" outlineLevel="0" collapsed="false">
      <c r="A17" s="4" t="str">
        <f aca="false">Budget!A17</f>
        <v>Salaries and wages</v>
      </c>
      <c r="B17" s="4" t="str">
        <f aca="false">Budget!B17</f>
        <v>Staff</v>
      </c>
      <c r="C17" s="4" t="str">
        <f aca="false">Budget!C17</f>
        <v>Marketing</v>
      </c>
      <c r="D17" s="10" t="n">
        <f aca="false">Actual!D17-Budget!D17</f>
        <v>0</v>
      </c>
      <c r="E17" s="10" t="n">
        <f aca="false">Actual!E17-Budget!E17</f>
        <v>0</v>
      </c>
      <c r="F17" s="10" t="n">
        <f aca="false">Actual!F17-Budget!F17</f>
        <v>0</v>
      </c>
      <c r="G17" s="10" t="n">
        <f aca="false">Actual!G17-Budget!G17</f>
        <v>0</v>
      </c>
      <c r="H17" s="10" t="n">
        <f aca="false">Actual!H17-Budget!H17</f>
        <v>0</v>
      </c>
      <c r="I17" s="10" t="n">
        <f aca="false">Actual!I17-Budget!I17</f>
        <v>0</v>
      </c>
      <c r="J17" s="10" t="n">
        <f aca="false">Actual!J17-Budget!J17</f>
        <v>0</v>
      </c>
      <c r="K17" s="10" t="n">
        <f aca="false">Actual!K17-Budget!K17</f>
        <v>0</v>
      </c>
      <c r="L17" s="10" t="n">
        <f aca="false">Actual!L17-Budget!L17</f>
        <v>0</v>
      </c>
      <c r="M17" s="10" t="n">
        <f aca="false">Actual!M17-Budget!M17</f>
        <v>0</v>
      </c>
      <c r="N17" s="10" t="n">
        <f aca="false">Actual!N17-Budget!N17</f>
        <v>0</v>
      </c>
      <c r="O17" s="10" t="n">
        <f aca="false">Actual!O17-Budget!O17</f>
        <v>0</v>
      </c>
      <c r="P17" s="10" t="n">
        <f aca="false">Actual!P17-Budget!P17</f>
        <v>0</v>
      </c>
    </row>
    <row r="18" customFormat="false" ht="15" hidden="false" customHeight="false" outlineLevel="0" collapsed="false">
      <c r="A18" s="4" t="str">
        <f aca="false">Budget!A18</f>
        <v>Employee benefits</v>
      </c>
      <c r="B18" s="4" t="str">
        <f aca="false">Budget!B18</f>
        <v>Staff</v>
      </c>
      <c r="C18" s="4" t="str">
        <f aca="false">Budget!C18</f>
        <v>Marketing</v>
      </c>
      <c r="D18" s="10" t="n">
        <f aca="false">Actual!D18-Budget!D18</f>
        <v>0</v>
      </c>
      <c r="E18" s="10" t="n">
        <f aca="false">Actual!E18-Budget!E18</f>
        <v>0</v>
      </c>
      <c r="F18" s="10" t="n">
        <f aca="false">Actual!F18-Budget!F18</f>
        <v>0</v>
      </c>
      <c r="G18" s="10" t="n">
        <f aca="false">Actual!G18-Budget!G18</f>
        <v>0</v>
      </c>
      <c r="H18" s="10" t="n">
        <f aca="false">Actual!H18-Budget!H18</f>
        <v>0</v>
      </c>
      <c r="I18" s="10" t="n">
        <f aca="false">Actual!I18-Budget!I18</f>
        <v>0</v>
      </c>
      <c r="J18" s="10" t="n">
        <f aca="false">Actual!J18-Budget!J18</f>
        <v>0</v>
      </c>
      <c r="K18" s="10" t="n">
        <f aca="false">Actual!K18-Budget!K18</f>
        <v>0</v>
      </c>
      <c r="L18" s="10" t="n">
        <f aca="false">Actual!L18-Budget!L18</f>
        <v>0</v>
      </c>
      <c r="M18" s="10" t="n">
        <f aca="false">Actual!M18-Budget!M18</f>
        <v>0</v>
      </c>
      <c r="N18" s="10" t="n">
        <f aca="false">Actual!N18-Budget!N18</f>
        <v>0</v>
      </c>
      <c r="O18" s="10" t="n">
        <f aca="false">Actual!O18-Budget!O18</f>
        <v>0</v>
      </c>
      <c r="P18" s="10" t="n">
        <f aca="false">Actual!P18-Budget!P18</f>
        <v>0</v>
      </c>
    </row>
    <row r="19" customFormat="false" ht="15" hidden="false" customHeight="false" outlineLevel="0" collapsed="false">
      <c r="A19" s="4" t="str">
        <f aca="false">Budget!A19</f>
        <v>Training</v>
      </c>
      <c r="B19" s="4" t="str">
        <f aca="false">Budget!B19</f>
        <v>Staff</v>
      </c>
      <c r="C19" s="4" t="str">
        <f aca="false">Budget!C19</f>
        <v>Marketing</v>
      </c>
      <c r="D19" s="10" t="n">
        <f aca="false">Actual!D19-Budget!D19</f>
        <v>0</v>
      </c>
      <c r="E19" s="10" t="n">
        <f aca="false">Actual!E19-Budget!E19</f>
        <v>0</v>
      </c>
      <c r="F19" s="10" t="n">
        <f aca="false">Actual!F19-Budget!F19</f>
        <v>0</v>
      </c>
      <c r="G19" s="10" t="n">
        <f aca="false">Actual!G19-Budget!G19</f>
        <v>0</v>
      </c>
      <c r="H19" s="10" t="n">
        <f aca="false">Actual!H19-Budget!H19</f>
        <v>0</v>
      </c>
      <c r="I19" s="10" t="n">
        <f aca="false">Actual!I19-Budget!I19</f>
        <v>0</v>
      </c>
      <c r="J19" s="10" t="n">
        <f aca="false">Actual!J19-Budget!J19</f>
        <v>0</v>
      </c>
      <c r="K19" s="10" t="n">
        <f aca="false">Actual!K19-Budget!K19</f>
        <v>0</v>
      </c>
      <c r="L19" s="10" t="n">
        <f aca="false">Actual!L19-Budget!L19</f>
        <v>0</v>
      </c>
      <c r="M19" s="10" t="n">
        <f aca="false">Actual!M19-Budget!M19</f>
        <v>0</v>
      </c>
      <c r="N19" s="10" t="n">
        <f aca="false">Actual!N19-Budget!N19</f>
        <v>0</v>
      </c>
      <c r="O19" s="10" t="n">
        <f aca="false">Actual!O19-Budget!O19</f>
        <v>0</v>
      </c>
      <c r="P19" s="10" t="n">
        <f aca="false">Actual!P19-Budget!P19</f>
        <v>0</v>
      </c>
    </row>
    <row r="20" customFormat="false" ht="15" hidden="false" customHeight="false" outlineLevel="0" collapsed="false">
      <c r="A20" s="4" t="str">
        <f aca="false">Budget!A20</f>
        <v>Rent</v>
      </c>
      <c r="B20" s="4" t="str">
        <f aca="false">Budget!B20</f>
        <v>Premises</v>
      </c>
      <c r="C20" s="4" t="str">
        <f aca="false">Budget!C20</f>
        <v>Marketing</v>
      </c>
      <c r="D20" s="10" t="n">
        <f aca="false">Actual!D20-Budget!D20</f>
        <v>0</v>
      </c>
      <c r="E20" s="10" t="n">
        <f aca="false">Actual!E20-Budget!E20</f>
        <v>0</v>
      </c>
      <c r="F20" s="10" t="n">
        <f aca="false">Actual!F20-Budget!F20</f>
        <v>0</v>
      </c>
      <c r="G20" s="10" t="n">
        <f aca="false">Actual!G20-Budget!G20</f>
        <v>0</v>
      </c>
      <c r="H20" s="10" t="n">
        <f aca="false">Actual!H20-Budget!H20</f>
        <v>0</v>
      </c>
      <c r="I20" s="10" t="n">
        <f aca="false">Actual!I20-Budget!I20</f>
        <v>0</v>
      </c>
      <c r="J20" s="10" t="n">
        <f aca="false">Actual!J20-Budget!J20</f>
        <v>0</v>
      </c>
      <c r="K20" s="10" t="n">
        <f aca="false">Actual!K20-Budget!K20</f>
        <v>0</v>
      </c>
      <c r="L20" s="10" t="n">
        <f aca="false">Actual!L20-Budget!L20</f>
        <v>0</v>
      </c>
      <c r="M20" s="10" t="n">
        <f aca="false">Actual!M20-Budget!M20</f>
        <v>0</v>
      </c>
      <c r="N20" s="10" t="n">
        <f aca="false">Actual!N20-Budget!N20</f>
        <v>0</v>
      </c>
      <c r="O20" s="10" t="n">
        <f aca="false">Actual!O20-Budget!O20</f>
        <v>0</v>
      </c>
      <c r="P20" s="10" t="n">
        <f aca="false">Actual!P20-Budget!P20</f>
        <v>0</v>
      </c>
    </row>
    <row r="21" customFormat="false" ht="15" hidden="false" customHeight="false" outlineLevel="0" collapsed="false">
      <c r="A21" s="4" t="str">
        <f aca="false">Budget!A21</f>
        <v>Utilities</v>
      </c>
      <c r="B21" s="4" t="str">
        <f aca="false">Budget!B21</f>
        <v>Premises</v>
      </c>
      <c r="C21" s="4" t="str">
        <f aca="false">Budget!C21</f>
        <v>Marketing</v>
      </c>
      <c r="D21" s="10" t="n">
        <f aca="false">Actual!D21-Budget!D21</f>
        <v>0</v>
      </c>
      <c r="E21" s="10" t="n">
        <f aca="false">Actual!E21-Budget!E21</f>
        <v>0</v>
      </c>
      <c r="F21" s="10" t="n">
        <f aca="false">Actual!F21-Budget!F21</f>
        <v>0</v>
      </c>
      <c r="G21" s="10" t="n">
        <f aca="false">Actual!G21-Budget!G21</f>
        <v>0</v>
      </c>
      <c r="H21" s="10" t="n">
        <f aca="false">Actual!H21-Budget!H21</f>
        <v>0</v>
      </c>
      <c r="I21" s="10" t="n">
        <f aca="false">Actual!I21-Budget!I21</f>
        <v>0</v>
      </c>
      <c r="J21" s="10" t="n">
        <f aca="false">Actual!J21-Budget!J21</f>
        <v>0</v>
      </c>
      <c r="K21" s="10" t="n">
        <f aca="false">Actual!K21-Budget!K21</f>
        <v>0</v>
      </c>
      <c r="L21" s="10" t="n">
        <f aca="false">Actual!L21-Budget!L21</f>
        <v>0</v>
      </c>
      <c r="M21" s="10" t="n">
        <f aca="false">Actual!M21-Budget!M21</f>
        <v>0</v>
      </c>
      <c r="N21" s="10" t="n">
        <f aca="false">Actual!N21-Budget!N21</f>
        <v>0</v>
      </c>
      <c r="O21" s="10" t="n">
        <f aca="false">Actual!O21-Budget!O21</f>
        <v>0</v>
      </c>
      <c r="P21" s="10" t="n">
        <f aca="false">Actual!P21-Budget!P21</f>
        <v>0</v>
      </c>
    </row>
    <row r="22" customFormat="false" ht="15" hidden="false" customHeight="false" outlineLevel="0" collapsed="false">
      <c r="A22" s="4" t="str">
        <f aca="false">Budget!A22</f>
        <v>Repairs and maintenance</v>
      </c>
      <c r="B22" s="4" t="str">
        <f aca="false">Budget!B22</f>
        <v>Premises</v>
      </c>
      <c r="C22" s="4" t="str">
        <f aca="false">Budget!C22</f>
        <v>Marketing</v>
      </c>
      <c r="D22" s="10" t="n">
        <f aca="false">Actual!D22-Budget!D22</f>
        <v>0</v>
      </c>
      <c r="E22" s="10" t="n">
        <f aca="false">Actual!E22-Budget!E22</f>
        <v>0</v>
      </c>
      <c r="F22" s="10" t="n">
        <f aca="false">Actual!F22-Budget!F22</f>
        <v>0</v>
      </c>
      <c r="G22" s="10" t="n">
        <f aca="false">Actual!G22-Budget!G22</f>
        <v>0</v>
      </c>
      <c r="H22" s="10" t="n">
        <f aca="false">Actual!H22-Budget!H22</f>
        <v>0</v>
      </c>
      <c r="I22" s="10" t="n">
        <f aca="false">Actual!I22-Budget!I22</f>
        <v>0</v>
      </c>
      <c r="J22" s="10" t="n">
        <f aca="false">Actual!J22-Budget!J22</f>
        <v>0</v>
      </c>
      <c r="K22" s="10" t="n">
        <f aca="false">Actual!K22-Budget!K22</f>
        <v>0</v>
      </c>
      <c r="L22" s="10" t="n">
        <f aca="false">Actual!L22-Budget!L22</f>
        <v>0</v>
      </c>
      <c r="M22" s="10" t="n">
        <f aca="false">Actual!M22-Budget!M22</f>
        <v>0</v>
      </c>
      <c r="N22" s="10" t="n">
        <f aca="false">Actual!N22-Budget!N22</f>
        <v>0</v>
      </c>
      <c r="O22" s="10" t="n">
        <f aca="false">Actual!O22-Budget!O22</f>
        <v>0</v>
      </c>
      <c r="P22" s="10" t="n">
        <f aca="false">Actual!P22-Budget!P22</f>
        <v>0</v>
      </c>
    </row>
    <row r="23" customFormat="false" ht="15" hidden="false" customHeight="false" outlineLevel="0" collapsed="false">
      <c r="A23" s="4" t="str">
        <f aca="false">Budget!A23</f>
        <v>Software licences</v>
      </c>
      <c r="B23" s="4" t="str">
        <f aca="false">Budget!B23</f>
        <v>Technology</v>
      </c>
      <c r="C23" s="4" t="str">
        <f aca="false">Budget!C23</f>
        <v>Marketing</v>
      </c>
      <c r="D23" s="10" t="n">
        <f aca="false">Actual!D23-Budget!D23</f>
        <v>0</v>
      </c>
      <c r="E23" s="10" t="n">
        <f aca="false">Actual!E23-Budget!E23</f>
        <v>0</v>
      </c>
      <c r="F23" s="10" t="n">
        <f aca="false">Actual!F23-Budget!F23</f>
        <v>0</v>
      </c>
      <c r="G23" s="10" t="n">
        <f aca="false">Actual!G23-Budget!G23</f>
        <v>0</v>
      </c>
      <c r="H23" s="10" t="n">
        <f aca="false">Actual!H23-Budget!H23</f>
        <v>0</v>
      </c>
      <c r="I23" s="10" t="n">
        <f aca="false">Actual!I23-Budget!I23</f>
        <v>0</v>
      </c>
      <c r="J23" s="10" t="n">
        <f aca="false">Actual!J23-Budget!J23</f>
        <v>0</v>
      </c>
      <c r="K23" s="10" t="n">
        <f aca="false">Actual!K23-Budget!K23</f>
        <v>0</v>
      </c>
      <c r="L23" s="10" t="n">
        <f aca="false">Actual!L23-Budget!L23</f>
        <v>0</v>
      </c>
      <c r="M23" s="10" t="n">
        <f aca="false">Actual!M23-Budget!M23</f>
        <v>0</v>
      </c>
      <c r="N23" s="10" t="n">
        <f aca="false">Actual!N23-Budget!N23</f>
        <v>0</v>
      </c>
      <c r="O23" s="10" t="n">
        <f aca="false">Actual!O23-Budget!O23</f>
        <v>0</v>
      </c>
      <c r="P23" s="10" t="n">
        <f aca="false">Actual!P23-Budget!P23</f>
        <v>0</v>
      </c>
    </row>
    <row r="24" customFormat="false" ht="15" hidden="false" customHeight="false" outlineLevel="0" collapsed="false">
      <c r="A24" s="4" t="str">
        <f aca="false">Budget!A24</f>
        <v>Hardware</v>
      </c>
      <c r="B24" s="4" t="str">
        <f aca="false">Budget!B24</f>
        <v>Technology</v>
      </c>
      <c r="C24" s="4" t="str">
        <f aca="false">Budget!C24</f>
        <v>Marketing</v>
      </c>
      <c r="D24" s="10" t="n">
        <f aca="false">Actual!D24-Budget!D24</f>
        <v>0</v>
      </c>
      <c r="E24" s="10" t="n">
        <f aca="false">Actual!E24-Budget!E24</f>
        <v>0</v>
      </c>
      <c r="F24" s="10" t="n">
        <f aca="false">Actual!F24-Budget!F24</f>
        <v>0</v>
      </c>
      <c r="G24" s="10" t="n">
        <f aca="false">Actual!G24-Budget!G24</f>
        <v>0</v>
      </c>
      <c r="H24" s="10" t="n">
        <f aca="false">Actual!H24-Budget!H24</f>
        <v>0</v>
      </c>
      <c r="I24" s="10" t="n">
        <f aca="false">Actual!I24-Budget!I24</f>
        <v>0</v>
      </c>
      <c r="J24" s="10" t="n">
        <f aca="false">Actual!J24-Budget!J24</f>
        <v>0</v>
      </c>
      <c r="K24" s="10" t="n">
        <f aca="false">Actual!K24-Budget!K24</f>
        <v>0</v>
      </c>
      <c r="L24" s="10" t="n">
        <f aca="false">Actual!L24-Budget!L24</f>
        <v>0</v>
      </c>
      <c r="M24" s="10" t="n">
        <f aca="false">Actual!M24-Budget!M24</f>
        <v>0</v>
      </c>
      <c r="N24" s="10" t="n">
        <f aca="false">Actual!N24-Budget!N24</f>
        <v>0</v>
      </c>
      <c r="O24" s="10" t="n">
        <f aca="false">Actual!O24-Budget!O24</f>
        <v>0</v>
      </c>
      <c r="P24" s="10" t="n">
        <f aca="false">Actual!P24-Budget!P24</f>
        <v>0</v>
      </c>
    </row>
    <row r="25" customFormat="false" ht="15" hidden="false" customHeight="false" outlineLevel="0" collapsed="false">
      <c r="A25" s="4" t="str">
        <f aca="false">Budget!A25</f>
        <v>Advertising</v>
      </c>
      <c r="B25" s="4" t="str">
        <f aca="false">Budget!B25</f>
        <v>Marketing</v>
      </c>
      <c r="C25" s="4" t="str">
        <f aca="false">Budget!C25</f>
        <v>Marketing</v>
      </c>
      <c r="D25" s="10" t="n">
        <f aca="false">Actual!D25-Budget!D25</f>
        <v>0</v>
      </c>
      <c r="E25" s="10" t="n">
        <f aca="false">Actual!E25-Budget!E25</f>
        <v>0</v>
      </c>
      <c r="F25" s="10" t="n">
        <f aca="false">Actual!F25-Budget!F25</f>
        <v>0</v>
      </c>
      <c r="G25" s="10" t="n">
        <f aca="false">Actual!G25-Budget!G25</f>
        <v>0</v>
      </c>
      <c r="H25" s="10" t="n">
        <f aca="false">Actual!H25-Budget!H25</f>
        <v>0</v>
      </c>
      <c r="I25" s="10" t="n">
        <f aca="false">Actual!I25-Budget!I25</f>
        <v>0</v>
      </c>
      <c r="J25" s="10" t="n">
        <f aca="false">Actual!J25-Budget!J25</f>
        <v>0</v>
      </c>
      <c r="K25" s="10" t="n">
        <f aca="false">Actual!K25-Budget!K25</f>
        <v>0</v>
      </c>
      <c r="L25" s="10" t="n">
        <f aca="false">Actual!L25-Budget!L25</f>
        <v>0</v>
      </c>
      <c r="M25" s="10" t="n">
        <f aca="false">Actual!M25-Budget!M25</f>
        <v>0</v>
      </c>
      <c r="N25" s="10" t="n">
        <f aca="false">Actual!N25-Budget!N25</f>
        <v>0</v>
      </c>
      <c r="O25" s="10" t="n">
        <f aca="false">Actual!O25-Budget!O25</f>
        <v>0</v>
      </c>
      <c r="P25" s="10" t="n">
        <f aca="false">Actual!P25-Budget!P25</f>
        <v>0</v>
      </c>
    </row>
    <row r="26" customFormat="false" ht="15" hidden="false" customHeight="false" outlineLevel="0" collapsed="false">
      <c r="A26" s="4" t="str">
        <f aca="false">Budget!A26</f>
        <v>Travel and entertainment</v>
      </c>
      <c r="B26" s="4" t="str">
        <f aca="false">Budget!B26</f>
        <v>Other</v>
      </c>
      <c r="C26" s="4" t="str">
        <f aca="false">Budget!C26</f>
        <v>Marketing</v>
      </c>
      <c r="D26" s="10" t="n">
        <f aca="false">Actual!D26-Budget!D26</f>
        <v>0</v>
      </c>
      <c r="E26" s="10" t="n">
        <f aca="false">Actual!E26-Budget!E26</f>
        <v>0</v>
      </c>
      <c r="F26" s="10" t="n">
        <f aca="false">Actual!F26-Budget!F26</f>
        <v>0</v>
      </c>
      <c r="G26" s="10" t="n">
        <f aca="false">Actual!G26-Budget!G26</f>
        <v>0</v>
      </c>
      <c r="H26" s="10" t="n">
        <f aca="false">Actual!H26-Budget!H26</f>
        <v>0</v>
      </c>
      <c r="I26" s="10" t="n">
        <f aca="false">Actual!I26-Budget!I26</f>
        <v>0</v>
      </c>
      <c r="J26" s="10" t="n">
        <f aca="false">Actual!J26-Budget!J26</f>
        <v>0</v>
      </c>
      <c r="K26" s="10" t="n">
        <f aca="false">Actual!K26-Budget!K26</f>
        <v>0</v>
      </c>
      <c r="L26" s="10" t="n">
        <f aca="false">Actual!L26-Budget!L26</f>
        <v>0</v>
      </c>
      <c r="M26" s="10" t="n">
        <f aca="false">Actual!M26-Budget!M26</f>
        <v>0</v>
      </c>
      <c r="N26" s="10" t="n">
        <f aca="false">Actual!N26-Budget!N26</f>
        <v>0</v>
      </c>
      <c r="O26" s="10" t="n">
        <f aca="false">Actual!O26-Budget!O26</f>
        <v>0</v>
      </c>
      <c r="P26" s="10" t="n">
        <f aca="false">Actual!P26-Budget!P26</f>
        <v>0</v>
      </c>
    </row>
    <row r="27" customFormat="false" ht="15" hidden="false" customHeight="false" outlineLevel="0" collapsed="false">
      <c r="A27" s="4" t="str">
        <f aca="false">Budget!A27</f>
        <v>Professional fees</v>
      </c>
      <c r="B27" s="4" t="str">
        <f aca="false">Budget!B27</f>
        <v>Other</v>
      </c>
      <c r="C27" s="4" t="str">
        <f aca="false">Budget!C27</f>
        <v>Marketing</v>
      </c>
      <c r="D27" s="10" t="n">
        <f aca="false">Actual!D27-Budget!D27</f>
        <v>0</v>
      </c>
      <c r="E27" s="10" t="n">
        <f aca="false">Actual!E27-Budget!E27</f>
        <v>0</v>
      </c>
      <c r="F27" s="10" t="n">
        <f aca="false">Actual!F27-Budget!F27</f>
        <v>0</v>
      </c>
      <c r="G27" s="10" t="n">
        <f aca="false">Actual!G27-Budget!G27</f>
        <v>0</v>
      </c>
      <c r="H27" s="10" t="n">
        <f aca="false">Actual!H27-Budget!H27</f>
        <v>0</v>
      </c>
      <c r="I27" s="10" t="n">
        <f aca="false">Actual!I27-Budget!I27</f>
        <v>0</v>
      </c>
      <c r="J27" s="10" t="n">
        <f aca="false">Actual!J27-Budget!J27</f>
        <v>0</v>
      </c>
      <c r="K27" s="10" t="n">
        <f aca="false">Actual!K27-Budget!K27</f>
        <v>0</v>
      </c>
      <c r="L27" s="10" t="n">
        <f aca="false">Actual!L27-Budget!L27</f>
        <v>0</v>
      </c>
      <c r="M27" s="10" t="n">
        <f aca="false">Actual!M27-Budget!M27</f>
        <v>0</v>
      </c>
      <c r="N27" s="10" t="n">
        <f aca="false">Actual!N27-Budget!N27</f>
        <v>0</v>
      </c>
      <c r="O27" s="10" t="n">
        <f aca="false">Actual!O27-Budget!O27</f>
        <v>0</v>
      </c>
      <c r="P27" s="10" t="n">
        <f aca="false">Actual!P27-Budget!P27</f>
        <v>0</v>
      </c>
    </row>
    <row r="28" customFormat="false" ht="15" hidden="false" customHeight="false" outlineLevel="0" collapsed="false">
      <c r="A28" s="4" t="str">
        <f aca="false">Budget!A28</f>
        <v>Office supplies</v>
      </c>
      <c r="B28" s="4" t="str">
        <f aca="false">Budget!B28</f>
        <v>Other</v>
      </c>
      <c r="C28" s="4" t="str">
        <f aca="false">Budget!C28</f>
        <v>Marketing</v>
      </c>
      <c r="D28" s="10" t="n">
        <f aca="false">Actual!D28-Budget!D28</f>
        <v>0</v>
      </c>
      <c r="E28" s="10" t="n">
        <f aca="false">Actual!E28-Budget!E28</f>
        <v>0</v>
      </c>
      <c r="F28" s="10" t="n">
        <f aca="false">Actual!F28-Budget!F28</f>
        <v>0</v>
      </c>
      <c r="G28" s="10" t="n">
        <f aca="false">Actual!G28-Budget!G28</f>
        <v>0</v>
      </c>
      <c r="H28" s="10" t="n">
        <f aca="false">Actual!H28-Budget!H28</f>
        <v>0</v>
      </c>
      <c r="I28" s="10" t="n">
        <f aca="false">Actual!I28-Budget!I28</f>
        <v>0</v>
      </c>
      <c r="J28" s="10" t="n">
        <f aca="false">Actual!J28-Budget!J28</f>
        <v>0</v>
      </c>
      <c r="K28" s="10" t="n">
        <f aca="false">Actual!K28-Budget!K28</f>
        <v>0</v>
      </c>
      <c r="L28" s="10" t="n">
        <f aca="false">Actual!L28-Budget!L28</f>
        <v>0</v>
      </c>
      <c r="M28" s="10" t="n">
        <f aca="false">Actual!M28-Budget!M28</f>
        <v>0</v>
      </c>
      <c r="N28" s="10" t="n">
        <f aca="false">Actual!N28-Budget!N28</f>
        <v>0</v>
      </c>
      <c r="O28" s="10" t="n">
        <f aca="false">Actual!O28-Budget!O28</f>
        <v>0</v>
      </c>
      <c r="P28" s="10" t="n">
        <f aca="false">Actual!P28-Budget!P28</f>
        <v>0</v>
      </c>
    </row>
    <row r="29" customFormat="false" ht="15" hidden="false" customHeight="false" outlineLevel="0" collapsed="false">
      <c r="A29" s="4" t="str">
        <f aca="false">Budget!A29</f>
        <v>Salaries and wages</v>
      </c>
      <c r="B29" s="4" t="str">
        <f aca="false">Budget!B29</f>
        <v>Staff</v>
      </c>
      <c r="C29" s="4" t="str">
        <f aca="false">Budget!C29</f>
        <v>Operations</v>
      </c>
      <c r="D29" s="10" t="n">
        <f aca="false">Actual!D29-Budget!D29</f>
        <v>0</v>
      </c>
      <c r="E29" s="10" t="n">
        <f aca="false">Actual!E29-Budget!E29</f>
        <v>0</v>
      </c>
      <c r="F29" s="10" t="n">
        <f aca="false">Actual!F29-Budget!F29</f>
        <v>0</v>
      </c>
      <c r="G29" s="10" t="n">
        <f aca="false">Actual!G29-Budget!G29</f>
        <v>0</v>
      </c>
      <c r="H29" s="10" t="n">
        <f aca="false">Actual!H29-Budget!H29</f>
        <v>0</v>
      </c>
      <c r="I29" s="10" t="n">
        <f aca="false">Actual!I29-Budget!I29</f>
        <v>0</v>
      </c>
      <c r="J29" s="10" t="n">
        <f aca="false">Actual!J29-Budget!J29</f>
        <v>0</v>
      </c>
      <c r="K29" s="10" t="n">
        <f aca="false">Actual!K29-Budget!K29</f>
        <v>0</v>
      </c>
      <c r="L29" s="10" t="n">
        <f aca="false">Actual!L29-Budget!L29</f>
        <v>0</v>
      </c>
      <c r="M29" s="10" t="n">
        <f aca="false">Actual!M29-Budget!M29</f>
        <v>0</v>
      </c>
      <c r="N29" s="10" t="n">
        <f aca="false">Actual!N29-Budget!N29</f>
        <v>0</v>
      </c>
      <c r="O29" s="10" t="n">
        <f aca="false">Actual!O29-Budget!O29</f>
        <v>0</v>
      </c>
      <c r="P29" s="10" t="n">
        <f aca="false">Actual!P29-Budget!P29</f>
        <v>0</v>
      </c>
    </row>
    <row r="30" customFormat="false" ht="15" hidden="false" customHeight="false" outlineLevel="0" collapsed="false">
      <c r="A30" s="4" t="str">
        <f aca="false">Budget!A30</f>
        <v>Employee benefits</v>
      </c>
      <c r="B30" s="4" t="str">
        <f aca="false">Budget!B30</f>
        <v>Staff</v>
      </c>
      <c r="C30" s="4" t="str">
        <f aca="false">Budget!C30</f>
        <v>Operations</v>
      </c>
      <c r="D30" s="10" t="n">
        <f aca="false">Actual!D30-Budget!D30</f>
        <v>0</v>
      </c>
      <c r="E30" s="10" t="n">
        <f aca="false">Actual!E30-Budget!E30</f>
        <v>0</v>
      </c>
      <c r="F30" s="10" t="n">
        <f aca="false">Actual!F30-Budget!F30</f>
        <v>0</v>
      </c>
      <c r="G30" s="10" t="n">
        <f aca="false">Actual!G30-Budget!G30</f>
        <v>0</v>
      </c>
      <c r="H30" s="10" t="n">
        <f aca="false">Actual!H30-Budget!H30</f>
        <v>0</v>
      </c>
      <c r="I30" s="10" t="n">
        <f aca="false">Actual!I30-Budget!I30</f>
        <v>0</v>
      </c>
      <c r="J30" s="10" t="n">
        <f aca="false">Actual!J30-Budget!J30</f>
        <v>0</v>
      </c>
      <c r="K30" s="10" t="n">
        <f aca="false">Actual!K30-Budget!K30</f>
        <v>0</v>
      </c>
      <c r="L30" s="10" t="n">
        <f aca="false">Actual!L30-Budget!L30</f>
        <v>0</v>
      </c>
      <c r="M30" s="10" t="n">
        <f aca="false">Actual!M30-Budget!M30</f>
        <v>0</v>
      </c>
      <c r="N30" s="10" t="n">
        <f aca="false">Actual!N30-Budget!N30</f>
        <v>0</v>
      </c>
      <c r="O30" s="10" t="n">
        <f aca="false">Actual!O30-Budget!O30</f>
        <v>0</v>
      </c>
      <c r="P30" s="10" t="n">
        <f aca="false">Actual!P30-Budget!P30</f>
        <v>0</v>
      </c>
    </row>
    <row r="31" customFormat="false" ht="15" hidden="false" customHeight="false" outlineLevel="0" collapsed="false">
      <c r="A31" s="4" t="str">
        <f aca="false">Budget!A31</f>
        <v>Training</v>
      </c>
      <c r="B31" s="4" t="str">
        <f aca="false">Budget!B31</f>
        <v>Staff</v>
      </c>
      <c r="C31" s="4" t="str">
        <f aca="false">Budget!C31</f>
        <v>Operations</v>
      </c>
      <c r="D31" s="10" t="n">
        <f aca="false">Actual!D31-Budget!D31</f>
        <v>0</v>
      </c>
      <c r="E31" s="10" t="n">
        <f aca="false">Actual!E31-Budget!E31</f>
        <v>0</v>
      </c>
      <c r="F31" s="10" t="n">
        <f aca="false">Actual!F31-Budget!F31</f>
        <v>0</v>
      </c>
      <c r="G31" s="10" t="n">
        <f aca="false">Actual!G31-Budget!G31</f>
        <v>0</v>
      </c>
      <c r="H31" s="10" t="n">
        <f aca="false">Actual!H31-Budget!H31</f>
        <v>0</v>
      </c>
      <c r="I31" s="10" t="n">
        <f aca="false">Actual!I31-Budget!I31</f>
        <v>0</v>
      </c>
      <c r="J31" s="10" t="n">
        <f aca="false">Actual!J31-Budget!J31</f>
        <v>0</v>
      </c>
      <c r="K31" s="10" t="n">
        <f aca="false">Actual!K31-Budget!K31</f>
        <v>0</v>
      </c>
      <c r="L31" s="10" t="n">
        <f aca="false">Actual!L31-Budget!L31</f>
        <v>0</v>
      </c>
      <c r="M31" s="10" t="n">
        <f aca="false">Actual!M31-Budget!M31</f>
        <v>0</v>
      </c>
      <c r="N31" s="10" t="n">
        <f aca="false">Actual!N31-Budget!N31</f>
        <v>0</v>
      </c>
      <c r="O31" s="10" t="n">
        <f aca="false">Actual!O31-Budget!O31</f>
        <v>0</v>
      </c>
      <c r="P31" s="10" t="n">
        <f aca="false">Actual!P31-Budget!P31</f>
        <v>0</v>
      </c>
    </row>
    <row r="32" customFormat="false" ht="15" hidden="false" customHeight="false" outlineLevel="0" collapsed="false">
      <c r="A32" s="4" t="str">
        <f aca="false">Budget!A32</f>
        <v>Rent</v>
      </c>
      <c r="B32" s="4" t="str">
        <f aca="false">Budget!B32</f>
        <v>Premises</v>
      </c>
      <c r="C32" s="4" t="str">
        <f aca="false">Budget!C32</f>
        <v>Operations</v>
      </c>
      <c r="D32" s="10" t="n">
        <f aca="false">Actual!D32-Budget!D32</f>
        <v>0</v>
      </c>
      <c r="E32" s="10" t="n">
        <f aca="false">Actual!E32-Budget!E32</f>
        <v>0</v>
      </c>
      <c r="F32" s="10" t="n">
        <f aca="false">Actual!F32-Budget!F32</f>
        <v>0</v>
      </c>
      <c r="G32" s="10" t="n">
        <f aca="false">Actual!G32-Budget!G32</f>
        <v>0</v>
      </c>
      <c r="H32" s="10" t="n">
        <f aca="false">Actual!H32-Budget!H32</f>
        <v>0</v>
      </c>
      <c r="I32" s="10" t="n">
        <f aca="false">Actual!I32-Budget!I32</f>
        <v>0</v>
      </c>
      <c r="J32" s="10" t="n">
        <f aca="false">Actual!J32-Budget!J32</f>
        <v>0</v>
      </c>
      <c r="K32" s="10" t="n">
        <f aca="false">Actual!K32-Budget!K32</f>
        <v>0</v>
      </c>
      <c r="L32" s="10" t="n">
        <f aca="false">Actual!L32-Budget!L32</f>
        <v>0</v>
      </c>
      <c r="M32" s="10" t="n">
        <f aca="false">Actual!M32-Budget!M32</f>
        <v>0</v>
      </c>
      <c r="N32" s="10" t="n">
        <f aca="false">Actual!N32-Budget!N32</f>
        <v>0</v>
      </c>
      <c r="O32" s="10" t="n">
        <f aca="false">Actual!O32-Budget!O32</f>
        <v>0</v>
      </c>
      <c r="P32" s="10" t="n">
        <f aca="false">Actual!P32-Budget!P32</f>
        <v>0</v>
      </c>
    </row>
    <row r="33" customFormat="false" ht="15" hidden="false" customHeight="false" outlineLevel="0" collapsed="false">
      <c r="A33" s="4" t="str">
        <f aca="false">Budget!A33</f>
        <v>Utilities</v>
      </c>
      <c r="B33" s="4" t="str">
        <f aca="false">Budget!B33</f>
        <v>Premises</v>
      </c>
      <c r="C33" s="4" t="str">
        <f aca="false">Budget!C33</f>
        <v>Operations</v>
      </c>
      <c r="D33" s="10" t="n">
        <f aca="false">Actual!D33-Budget!D33</f>
        <v>0</v>
      </c>
      <c r="E33" s="10" t="n">
        <f aca="false">Actual!E33-Budget!E33</f>
        <v>0</v>
      </c>
      <c r="F33" s="10" t="n">
        <f aca="false">Actual!F33-Budget!F33</f>
        <v>0</v>
      </c>
      <c r="G33" s="10" t="n">
        <f aca="false">Actual!G33-Budget!G33</f>
        <v>0</v>
      </c>
      <c r="H33" s="10" t="n">
        <f aca="false">Actual!H33-Budget!H33</f>
        <v>0</v>
      </c>
      <c r="I33" s="10" t="n">
        <f aca="false">Actual!I33-Budget!I33</f>
        <v>0</v>
      </c>
      <c r="J33" s="10" t="n">
        <f aca="false">Actual!J33-Budget!J33</f>
        <v>0</v>
      </c>
      <c r="K33" s="10" t="n">
        <f aca="false">Actual!K33-Budget!K33</f>
        <v>0</v>
      </c>
      <c r="L33" s="10" t="n">
        <f aca="false">Actual!L33-Budget!L33</f>
        <v>0</v>
      </c>
      <c r="M33" s="10" t="n">
        <f aca="false">Actual!M33-Budget!M33</f>
        <v>0</v>
      </c>
      <c r="N33" s="10" t="n">
        <f aca="false">Actual!N33-Budget!N33</f>
        <v>0</v>
      </c>
      <c r="O33" s="10" t="n">
        <f aca="false">Actual!O33-Budget!O33</f>
        <v>0</v>
      </c>
      <c r="P33" s="10" t="n">
        <f aca="false">Actual!P33-Budget!P33</f>
        <v>0</v>
      </c>
    </row>
    <row r="34" customFormat="false" ht="15" hidden="false" customHeight="false" outlineLevel="0" collapsed="false">
      <c r="A34" s="4" t="str">
        <f aca="false">Budget!A34</f>
        <v>Repairs and maintenance</v>
      </c>
      <c r="B34" s="4" t="str">
        <f aca="false">Budget!B34</f>
        <v>Premises</v>
      </c>
      <c r="C34" s="4" t="str">
        <f aca="false">Budget!C34</f>
        <v>Operations</v>
      </c>
      <c r="D34" s="10" t="n">
        <f aca="false">Actual!D34-Budget!D34</f>
        <v>0</v>
      </c>
      <c r="E34" s="10" t="n">
        <f aca="false">Actual!E34-Budget!E34</f>
        <v>0</v>
      </c>
      <c r="F34" s="10" t="n">
        <f aca="false">Actual!F34-Budget!F34</f>
        <v>0</v>
      </c>
      <c r="G34" s="10" t="n">
        <f aca="false">Actual!G34-Budget!G34</f>
        <v>0</v>
      </c>
      <c r="H34" s="10" t="n">
        <f aca="false">Actual!H34-Budget!H34</f>
        <v>0</v>
      </c>
      <c r="I34" s="10" t="n">
        <f aca="false">Actual!I34-Budget!I34</f>
        <v>0</v>
      </c>
      <c r="J34" s="10" t="n">
        <f aca="false">Actual!J34-Budget!J34</f>
        <v>0</v>
      </c>
      <c r="K34" s="10" t="n">
        <f aca="false">Actual!K34-Budget!K34</f>
        <v>0</v>
      </c>
      <c r="L34" s="10" t="n">
        <f aca="false">Actual!L34-Budget!L34</f>
        <v>0</v>
      </c>
      <c r="M34" s="10" t="n">
        <f aca="false">Actual!M34-Budget!M34</f>
        <v>0</v>
      </c>
      <c r="N34" s="10" t="n">
        <f aca="false">Actual!N34-Budget!N34</f>
        <v>0</v>
      </c>
      <c r="O34" s="10" t="n">
        <f aca="false">Actual!O34-Budget!O34</f>
        <v>0</v>
      </c>
      <c r="P34" s="10" t="n">
        <f aca="false">Actual!P34-Budget!P34</f>
        <v>0</v>
      </c>
    </row>
    <row r="35" customFormat="false" ht="15" hidden="false" customHeight="false" outlineLevel="0" collapsed="false">
      <c r="A35" s="4" t="str">
        <f aca="false">Budget!A35</f>
        <v>Software licences</v>
      </c>
      <c r="B35" s="4" t="str">
        <f aca="false">Budget!B35</f>
        <v>Technology</v>
      </c>
      <c r="C35" s="4" t="str">
        <f aca="false">Budget!C35</f>
        <v>Operations</v>
      </c>
      <c r="D35" s="10" t="n">
        <f aca="false">Actual!D35-Budget!D35</f>
        <v>0</v>
      </c>
      <c r="E35" s="10" t="n">
        <f aca="false">Actual!E35-Budget!E35</f>
        <v>0</v>
      </c>
      <c r="F35" s="10" t="n">
        <f aca="false">Actual!F35-Budget!F35</f>
        <v>0</v>
      </c>
      <c r="G35" s="10" t="n">
        <f aca="false">Actual!G35-Budget!G35</f>
        <v>0</v>
      </c>
      <c r="H35" s="10" t="n">
        <f aca="false">Actual!H35-Budget!H35</f>
        <v>0</v>
      </c>
      <c r="I35" s="10" t="n">
        <f aca="false">Actual!I35-Budget!I35</f>
        <v>0</v>
      </c>
      <c r="J35" s="10" t="n">
        <f aca="false">Actual!J35-Budget!J35</f>
        <v>0</v>
      </c>
      <c r="K35" s="10" t="n">
        <f aca="false">Actual!K35-Budget!K35</f>
        <v>0</v>
      </c>
      <c r="L35" s="10" t="n">
        <f aca="false">Actual!L35-Budget!L35</f>
        <v>0</v>
      </c>
      <c r="M35" s="10" t="n">
        <f aca="false">Actual!M35-Budget!M35</f>
        <v>0</v>
      </c>
      <c r="N35" s="10" t="n">
        <f aca="false">Actual!N35-Budget!N35</f>
        <v>0</v>
      </c>
      <c r="O35" s="10" t="n">
        <f aca="false">Actual!O35-Budget!O35</f>
        <v>0</v>
      </c>
      <c r="P35" s="10" t="n">
        <f aca="false">Actual!P35-Budget!P35</f>
        <v>0</v>
      </c>
    </row>
    <row r="36" customFormat="false" ht="15" hidden="false" customHeight="false" outlineLevel="0" collapsed="false">
      <c r="A36" s="4" t="str">
        <f aca="false">Budget!A36</f>
        <v>Hardware</v>
      </c>
      <c r="B36" s="4" t="str">
        <f aca="false">Budget!B36</f>
        <v>Technology</v>
      </c>
      <c r="C36" s="4" t="str">
        <f aca="false">Budget!C36</f>
        <v>Operations</v>
      </c>
      <c r="D36" s="10" t="n">
        <f aca="false">Actual!D36-Budget!D36</f>
        <v>0</v>
      </c>
      <c r="E36" s="10" t="n">
        <f aca="false">Actual!E36-Budget!E36</f>
        <v>0</v>
      </c>
      <c r="F36" s="10" t="n">
        <f aca="false">Actual!F36-Budget!F36</f>
        <v>0</v>
      </c>
      <c r="G36" s="10" t="n">
        <f aca="false">Actual!G36-Budget!G36</f>
        <v>0</v>
      </c>
      <c r="H36" s="10" t="n">
        <f aca="false">Actual!H36-Budget!H36</f>
        <v>0</v>
      </c>
      <c r="I36" s="10" t="n">
        <f aca="false">Actual!I36-Budget!I36</f>
        <v>0</v>
      </c>
      <c r="J36" s="10" t="n">
        <f aca="false">Actual!J36-Budget!J36</f>
        <v>0</v>
      </c>
      <c r="K36" s="10" t="n">
        <f aca="false">Actual!K36-Budget!K36</f>
        <v>0</v>
      </c>
      <c r="L36" s="10" t="n">
        <f aca="false">Actual!L36-Budget!L36</f>
        <v>0</v>
      </c>
      <c r="M36" s="10" t="n">
        <f aca="false">Actual!M36-Budget!M36</f>
        <v>0</v>
      </c>
      <c r="N36" s="10" t="n">
        <f aca="false">Actual!N36-Budget!N36</f>
        <v>0</v>
      </c>
      <c r="O36" s="10" t="n">
        <f aca="false">Actual!O36-Budget!O36</f>
        <v>0</v>
      </c>
      <c r="P36" s="10" t="n">
        <f aca="false">Actual!P36-Budget!P36</f>
        <v>0</v>
      </c>
    </row>
    <row r="37" customFormat="false" ht="15" hidden="false" customHeight="false" outlineLevel="0" collapsed="false">
      <c r="A37" s="4" t="str">
        <f aca="false">Budget!A37</f>
        <v>Advertising</v>
      </c>
      <c r="B37" s="4" t="str">
        <f aca="false">Budget!B37</f>
        <v>Marketing</v>
      </c>
      <c r="C37" s="4" t="str">
        <f aca="false">Budget!C37</f>
        <v>Operations</v>
      </c>
      <c r="D37" s="10" t="n">
        <f aca="false">Actual!D37-Budget!D37</f>
        <v>0</v>
      </c>
      <c r="E37" s="10" t="n">
        <f aca="false">Actual!E37-Budget!E37</f>
        <v>0</v>
      </c>
      <c r="F37" s="10" t="n">
        <f aca="false">Actual!F37-Budget!F37</f>
        <v>0</v>
      </c>
      <c r="G37" s="10" t="n">
        <f aca="false">Actual!G37-Budget!G37</f>
        <v>0</v>
      </c>
      <c r="H37" s="10" t="n">
        <f aca="false">Actual!H37-Budget!H37</f>
        <v>0</v>
      </c>
      <c r="I37" s="10" t="n">
        <f aca="false">Actual!I37-Budget!I37</f>
        <v>0</v>
      </c>
      <c r="J37" s="10" t="n">
        <f aca="false">Actual!J37-Budget!J37</f>
        <v>0</v>
      </c>
      <c r="K37" s="10" t="n">
        <f aca="false">Actual!K37-Budget!K37</f>
        <v>0</v>
      </c>
      <c r="L37" s="10" t="n">
        <f aca="false">Actual!L37-Budget!L37</f>
        <v>0</v>
      </c>
      <c r="M37" s="10" t="n">
        <f aca="false">Actual!M37-Budget!M37</f>
        <v>0</v>
      </c>
      <c r="N37" s="10" t="n">
        <f aca="false">Actual!N37-Budget!N37</f>
        <v>0</v>
      </c>
      <c r="O37" s="10" t="n">
        <f aca="false">Actual!O37-Budget!O37</f>
        <v>0</v>
      </c>
      <c r="P37" s="10" t="n">
        <f aca="false">Actual!P37-Budget!P37</f>
        <v>0</v>
      </c>
    </row>
    <row r="38" customFormat="false" ht="15" hidden="false" customHeight="false" outlineLevel="0" collapsed="false">
      <c r="A38" s="4" t="str">
        <f aca="false">Budget!A38</f>
        <v>Travel and entertainment</v>
      </c>
      <c r="B38" s="4" t="str">
        <f aca="false">Budget!B38</f>
        <v>Other</v>
      </c>
      <c r="C38" s="4" t="str">
        <f aca="false">Budget!C38</f>
        <v>Operations</v>
      </c>
      <c r="D38" s="10" t="n">
        <f aca="false">Actual!D38-Budget!D38</f>
        <v>0</v>
      </c>
      <c r="E38" s="10" t="n">
        <f aca="false">Actual!E38-Budget!E38</f>
        <v>0</v>
      </c>
      <c r="F38" s="10" t="n">
        <f aca="false">Actual!F38-Budget!F38</f>
        <v>0</v>
      </c>
      <c r="G38" s="10" t="n">
        <f aca="false">Actual!G38-Budget!G38</f>
        <v>0</v>
      </c>
      <c r="H38" s="10" t="n">
        <f aca="false">Actual!H38-Budget!H38</f>
        <v>0</v>
      </c>
      <c r="I38" s="10" t="n">
        <f aca="false">Actual!I38-Budget!I38</f>
        <v>0</v>
      </c>
      <c r="J38" s="10" t="n">
        <f aca="false">Actual!J38-Budget!J38</f>
        <v>0</v>
      </c>
      <c r="K38" s="10" t="n">
        <f aca="false">Actual!K38-Budget!K38</f>
        <v>0</v>
      </c>
      <c r="L38" s="10" t="n">
        <f aca="false">Actual!L38-Budget!L38</f>
        <v>0</v>
      </c>
      <c r="M38" s="10" t="n">
        <f aca="false">Actual!M38-Budget!M38</f>
        <v>0</v>
      </c>
      <c r="N38" s="10" t="n">
        <f aca="false">Actual!N38-Budget!N38</f>
        <v>0</v>
      </c>
      <c r="O38" s="10" t="n">
        <f aca="false">Actual!O38-Budget!O38</f>
        <v>0</v>
      </c>
      <c r="P38" s="10" t="n">
        <f aca="false">Actual!P38-Budget!P38</f>
        <v>0</v>
      </c>
    </row>
    <row r="39" customFormat="false" ht="15" hidden="false" customHeight="false" outlineLevel="0" collapsed="false">
      <c r="A39" s="4" t="str">
        <f aca="false">Budget!A39</f>
        <v>Professional fees</v>
      </c>
      <c r="B39" s="4" t="str">
        <f aca="false">Budget!B39</f>
        <v>Other</v>
      </c>
      <c r="C39" s="4" t="str">
        <f aca="false">Budget!C39</f>
        <v>Operations</v>
      </c>
      <c r="D39" s="10" t="n">
        <f aca="false">Actual!D39-Budget!D39</f>
        <v>0</v>
      </c>
      <c r="E39" s="10" t="n">
        <f aca="false">Actual!E39-Budget!E39</f>
        <v>0</v>
      </c>
      <c r="F39" s="10" t="n">
        <f aca="false">Actual!F39-Budget!F39</f>
        <v>0</v>
      </c>
      <c r="G39" s="10" t="n">
        <f aca="false">Actual!G39-Budget!G39</f>
        <v>0</v>
      </c>
      <c r="H39" s="10" t="n">
        <f aca="false">Actual!H39-Budget!H39</f>
        <v>0</v>
      </c>
      <c r="I39" s="10" t="n">
        <f aca="false">Actual!I39-Budget!I39</f>
        <v>0</v>
      </c>
      <c r="J39" s="10" t="n">
        <f aca="false">Actual!J39-Budget!J39</f>
        <v>0</v>
      </c>
      <c r="K39" s="10" t="n">
        <f aca="false">Actual!K39-Budget!K39</f>
        <v>0</v>
      </c>
      <c r="L39" s="10" t="n">
        <f aca="false">Actual!L39-Budget!L39</f>
        <v>0</v>
      </c>
      <c r="M39" s="10" t="n">
        <f aca="false">Actual!M39-Budget!M39</f>
        <v>0</v>
      </c>
      <c r="N39" s="10" t="n">
        <f aca="false">Actual!N39-Budget!N39</f>
        <v>0</v>
      </c>
      <c r="O39" s="10" t="n">
        <f aca="false">Actual!O39-Budget!O39</f>
        <v>0</v>
      </c>
      <c r="P39" s="10" t="n">
        <f aca="false">Actual!P39-Budget!P39</f>
        <v>0</v>
      </c>
    </row>
    <row r="40" customFormat="false" ht="15" hidden="false" customHeight="false" outlineLevel="0" collapsed="false">
      <c r="A40" s="4" t="str">
        <f aca="false">Budget!A40</f>
        <v>Office supplies</v>
      </c>
      <c r="B40" s="4" t="str">
        <f aca="false">Budget!B40</f>
        <v>Other</v>
      </c>
      <c r="C40" s="4" t="str">
        <f aca="false">Budget!C40</f>
        <v>Operations</v>
      </c>
      <c r="D40" s="10" t="n">
        <f aca="false">Actual!D40-Budget!D40</f>
        <v>0</v>
      </c>
      <c r="E40" s="10" t="n">
        <f aca="false">Actual!E40-Budget!E40</f>
        <v>0</v>
      </c>
      <c r="F40" s="10" t="n">
        <f aca="false">Actual!F40-Budget!F40</f>
        <v>0</v>
      </c>
      <c r="G40" s="10" t="n">
        <f aca="false">Actual!G40-Budget!G40</f>
        <v>0</v>
      </c>
      <c r="H40" s="10" t="n">
        <f aca="false">Actual!H40-Budget!H40</f>
        <v>0</v>
      </c>
      <c r="I40" s="10" t="n">
        <f aca="false">Actual!I40-Budget!I40</f>
        <v>0</v>
      </c>
      <c r="J40" s="10" t="n">
        <f aca="false">Actual!J40-Budget!J40</f>
        <v>0</v>
      </c>
      <c r="K40" s="10" t="n">
        <f aca="false">Actual!K40-Budget!K40</f>
        <v>0</v>
      </c>
      <c r="L40" s="10" t="n">
        <f aca="false">Actual!L40-Budget!L40</f>
        <v>0</v>
      </c>
      <c r="M40" s="10" t="n">
        <f aca="false">Actual!M40-Budget!M40</f>
        <v>0</v>
      </c>
      <c r="N40" s="10" t="n">
        <f aca="false">Actual!N40-Budget!N40</f>
        <v>0</v>
      </c>
      <c r="O40" s="10" t="n">
        <f aca="false">Actual!O40-Budget!O40</f>
        <v>0</v>
      </c>
      <c r="P40" s="10" t="n">
        <f aca="false">Actual!P40-Budget!P40</f>
        <v>0</v>
      </c>
    </row>
    <row r="41" customFormat="false" ht="15" hidden="false" customHeight="false" outlineLevel="0" collapsed="false">
      <c r="A41" s="4" t="str">
        <f aca="false">Budget!A41</f>
        <v>Salaries and wages</v>
      </c>
      <c r="B41" s="4" t="str">
        <f aca="false">Budget!B41</f>
        <v>Staff</v>
      </c>
      <c r="C41" s="4" t="str">
        <f aca="false">Budget!C41</f>
        <v>Finance</v>
      </c>
      <c r="D41" s="10" t="n">
        <f aca="false">Actual!D41-Budget!D41</f>
        <v>0</v>
      </c>
      <c r="E41" s="10" t="n">
        <f aca="false">Actual!E41-Budget!E41</f>
        <v>0</v>
      </c>
      <c r="F41" s="10" t="n">
        <f aca="false">Actual!F41-Budget!F41</f>
        <v>0</v>
      </c>
      <c r="G41" s="10" t="n">
        <f aca="false">Actual!G41-Budget!G41</f>
        <v>0</v>
      </c>
      <c r="H41" s="10" t="n">
        <f aca="false">Actual!H41-Budget!H41</f>
        <v>0</v>
      </c>
      <c r="I41" s="10" t="n">
        <f aca="false">Actual!I41-Budget!I41</f>
        <v>0</v>
      </c>
      <c r="J41" s="10" t="n">
        <f aca="false">Actual!J41-Budget!J41</f>
        <v>0</v>
      </c>
      <c r="K41" s="10" t="n">
        <f aca="false">Actual!K41-Budget!K41</f>
        <v>0</v>
      </c>
      <c r="L41" s="10" t="n">
        <f aca="false">Actual!L41-Budget!L41</f>
        <v>0</v>
      </c>
      <c r="M41" s="10" t="n">
        <f aca="false">Actual!M41-Budget!M41</f>
        <v>0</v>
      </c>
      <c r="N41" s="10" t="n">
        <f aca="false">Actual!N41-Budget!N41</f>
        <v>0</v>
      </c>
      <c r="O41" s="10" t="n">
        <f aca="false">Actual!O41-Budget!O41</f>
        <v>0</v>
      </c>
      <c r="P41" s="10" t="n">
        <f aca="false">Actual!P41-Budget!P41</f>
        <v>0</v>
      </c>
    </row>
    <row r="42" customFormat="false" ht="15" hidden="false" customHeight="false" outlineLevel="0" collapsed="false">
      <c r="A42" s="4" t="str">
        <f aca="false">Budget!A42</f>
        <v>Employee benefits</v>
      </c>
      <c r="B42" s="4" t="str">
        <f aca="false">Budget!B42</f>
        <v>Staff</v>
      </c>
      <c r="C42" s="4" t="str">
        <f aca="false">Budget!C42</f>
        <v>Finance</v>
      </c>
      <c r="D42" s="10" t="n">
        <f aca="false">Actual!D42-Budget!D42</f>
        <v>0</v>
      </c>
      <c r="E42" s="10" t="n">
        <f aca="false">Actual!E42-Budget!E42</f>
        <v>0</v>
      </c>
      <c r="F42" s="10" t="n">
        <f aca="false">Actual!F42-Budget!F42</f>
        <v>0</v>
      </c>
      <c r="G42" s="10" t="n">
        <f aca="false">Actual!G42-Budget!G42</f>
        <v>0</v>
      </c>
      <c r="H42" s="10" t="n">
        <f aca="false">Actual!H42-Budget!H42</f>
        <v>0</v>
      </c>
      <c r="I42" s="10" t="n">
        <f aca="false">Actual!I42-Budget!I42</f>
        <v>0</v>
      </c>
      <c r="J42" s="10" t="n">
        <f aca="false">Actual!J42-Budget!J42</f>
        <v>0</v>
      </c>
      <c r="K42" s="10" t="n">
        <f aca="false">Actual!K42-Budget!K42</f>
        <v>0</v>
      </c>
      <c r="L42" s="10" t="n">
        <f aca="false">Actual!L42-Budget!L42</f>
        <v>0</v>
      </c>
      <c r="M42" s="10" t="n">
        <f aca="false">Actual!M42-Budget!M42</f>
        <v>0</v>
      </c>
      <c r="N42" s="10" t="n">
        <f aca="false">Actual!N42-Budget!N42</f>
        <v>0</v>
      </c>
      <c r="O42" s="10" t="n">
        <f aca="false">Actual!O42-Budget!O42</f>
        <v>0</v>
      </c>
      <c r="P42" s="10" t="n">
        <f aca="false">Actual!P42-Budget!P42</f>
        <v>0</v>
      </c>
    </row>
    <row r="43" customFormat="false" ht="15" hidden="false" customHeight="false" outlineLevel="0" collapsed="false">
      <c r="A43" s="4" t="str">
        <f aca="false">Budget!A43</f>
        <v>Training</v>
      </c>
      <c r="B43" s="4" t="str">
        <f aca="false">Budget!B43</f>
        <v>Staff</v>
      </c>
      <c r="C43" s="4" t="str">
        <f aca="false">Budget!C43</f>
        <v>Finance</v>
      </c>
      <c r="D43" s="10" t="n">
        <f aca="false">Actual!D43-Budget!D43</f>
        <v>0</v>
      </c>
      <c r="E43" s="10" t="n">
        <f aca="false">Actual!E43-Budget!E43</f>
        <v>0</v>
      </c>
      <c r="F43" s="10" t="n">
        <f aca="false">Actual!F43-Budget!F43</f>
        <v>0</v>
      </c>
      <c r="G43" s="10" t="n">
        <f aca="false">Actual!G43-Budget!G43</f>
        <v>0</v>
      </c>
      <c r="H43" s="10" t="n">
        <f aca="false">Actual!H43-Budget!H43</f>
        <v>0</v>
      </c>
      <c r="I43" s="10" t="n">
        <f aca="false">Actual!I43-Budget!I43</f>
        <v>0</v>
      </c>
      <c r="J43" s="10" t="n">
        <f aca="false">Actual!J43-Budget!J43</f>
        <v>0</v>
      </c>
      <c r="K43" s="10" t="n">
        <f aca="false">Actual!K43-Budget!K43</f>
        <v>0</v>
      </c>
      <c r="L43" s="10" t="n">
        <f aca="false">Actual!L43-Budget!L43</f>
        <v>0</v>
      </c>
      <c r="M43" s="10" t="n">
        <f aca="false">Actual!M43-Budget!M43</f>
        <v>0</v>
      </c>
      <c r="N43" s="10" t="n">
        <f aca="false">Actual!N43-Budget!N43</f>
        <v>0</v>
      </c>
      <c r="O43" s="10" t="n">
        <f aca="false">Actual!O43-Budget!O43</f>
        <v>0</v>
      </c>
      <c r="P43" s="10" t="n">
        <f aca="false">Actual!P43-Budget!P43</f>
        <v>0</v>
      </c>
    </row>
    <row r="44" customFormat="false" ht="15" hidden="false" customHeight="false" outlineLevel="0" collapsed="false">
      <c r="A44" s="4" t="str">
        <f aca="false">Budget!A44</f>
        <v>Rent</v>
      </c>
      <c r="B44" s="4" t="str">
        <f aca="false">Budget!B44</f>
        <v>Premises</v>
      </c>
      <c r="C44" s="4" t="str">
        <f aca="false">Budget!C44</f>
        <v>Finance</v>
      </c>
      <c r="D44" s="10" t="n">
        <f aca="false">Actual!D44-Budget!D44</f>
        <v>0</v>
      </c>
      <c r="E44" s="10" t="n">
        <f aca="false">Actual!E44-Budget!E44</f>
        <v>0</v>
      </c>
      <c r="F44" s="10" t="n">
        <f aca="false">Actual!F44-Budget!F44</f>
        <v>0</v>
      </c>
      <c r="G44" s="10" t="n">
        <f aca="false">Actual!G44-Budget!G44</f>
        <v>0</v>
      </c>
      <c r="H44" s="10" t="n">
        <f aca="false">Actual!H44-Budget!H44</f>
        <v>0</v>
      </c>
      <c r="I44" s="10" t="n">
        <f aca="false">Actual!I44-Budget!I44</f>
        <v>0</v>
      </c>
      <c r="J44" s="10" t="n">
        <f aca="false">Actual!J44-Budget!J44</f>
        <v>0</v>
      </c>
      <c r="K44" s="10" t="n">
        <f aca="false">Actual!K44-Budget!K44</f>
        <v>0</v>
      </c>
      <c r="L44" s="10" t="n">
        <f aca="false">Actual!L44-Budget!L44</f>
        <v>0</v>
      </c>
      <c r="M44" s="10" t="n">
        <f aca="false">Actual!M44-Budget!M44</f>
        <v>0</v>
      </c>
      <c r="N44" s="10" t="n">
        <f aca="false">Actual!N44-Budget!N44</f>
        <v>0</v>
      </c>
      <c r="O44" s="10" t="n">
        <f aca="false">Actual!O44-Budget!O44</f>
        <v>0</v>
      </c>
      <c r="P44" s="10" t="n">
        <f aca="false">Actual!P44-Budget!P44</f>
        <v>0</v>
      </c>
    </row>
    <row r="45" customFormat="false" ht="15" hidden="false" customHeight="false" outlineLevel="0" collapsed="false">
      <c r="A45" s="4" t="str">
        <f aca="false">Budget!A45</f>
        <v>Utilities</v>
      </c>
      <c r="B45" s="4" t="str">
        <f aca="false">Budget!B45</f>
        <v>Premises</v>
      </c>
      <c r="C45" s="4" t="str">
        <f aca="false">Budget!C45</f>
        <v>Finance</v>
      </c>
      <c r="D45" s="10" t="n">
        <f aca="false">Actual!D45-Budget!D45</f>
        <v>0</v>
      </c>
      <c r="E45" s="10" t="n">
        <f aca="false">Actual!E45-Budget!E45</f>
        <v>0</v>
      </c>
      <c r="F45" s="10" t="n">
        <f aca="false">Actual!F45-Budget!F45</f>
        <v>0</v>
      </c>
      <c r="G45" s="10" t="n">
        <f aca="false">Actual!G45-Budget!G45</f>
        <v>0</v>
      </c>
      <c r="H45" s="10" t="n">
        <f aca="false">Actual!H45-Budget!H45</f>
        <v>0</v>
      </c>
      <c r="I45" s="10" t="n">
        <f aca="false">Actual!I45-Budget!I45</f>
        <v>0</v>
      </c>
      <c r="J45" s="10" t="n">
        <f aca="false">Actual!J45-Budget!J45</f>
        <v>0</v>
      </c>
      <c r="K45" s="10" t="n">
        <f aca="false">Actual!K45-Budget!K45</f>
        <v>0</v>
      </c>
      <c r="L45" s="10" t="n">
        <f aca="false">Actual!L45-Budget!L45</f>
        <v>0</v>
      </c>
      <c r="M45" s="10" t="n">
        <f aca="false">Actual!M45-Budget!M45</f>
        <v>0</v>
      </c>
      <c r="N45" s="10" t="n">
        <f aca="false">Actual!N45-Budget!N45</f>
        <v>0</v>
      </c>
      <c r="O45" s="10" t="n">
        <f aca="false">Actual!O45-Budget!O45</f>
        <v>0</v>
      </c>
      <c r="P45" s="10" t="n">
        <f aca="false">Actual!P45-Budget!P45</f>
        <v>0</v>
      </c>
    </row>
    <row r="46" customFormat="false" ht="15" hidden="false" customHeight="false" outlineLevel="0" collapsed="false">
      <c r="A46" s="4" t="str">
        <f aca="false">Budget!A46</f>
        <v>Repairs and maintenance</v>
      </c>
      <c r="B46" s="4" t="str">
        <f aca="false">Budget!B46</f>
        <v>Premises</v>
      </c>
      <c r="C46" s="4" t="str">
        <f aca="false">Budget!C46</f>
        <v>Finance</v>
      </c>
      <c r="D46" s="10" t="n">
        <f aca="false">Actual!D46-Budget!D46</f>
        <v>0</v>
      </c>
      <c r="E46" s="10" t="n">
        <f aca="false">Actual!E46-Budget!E46</f>
        <v>0</v>
      </c>
      <c r="F46" s="10" t="n">
        <f aca="false">Actual!F46-Budget!F46</f>
        <v>0</v>
      </c>
      <c r="G46" s="10" t="n">
        <f aca="false">Actual!G46-Budget!G46</f>
        <v>0</v>
      </c>
      <c r="H46" s="10" t="n">
        <f aca="false">Actual!H46-Budget!H46</f>
        <v>0</v>
      </c>
      <c r="I46" s="10" t="n">
        <f aca="false">Actual!I46-Budget!I46</f>
        <v>0</v>
      </c>
      <c r="J46" s="10" t="n">
        <f aca="false">Actual!J46-Budget!J46</f>
        <v>0</v>
      </c>
      <c r="K46" s="10" t="n">
        <f aca="false">Actual!K46-Budget!K46</f>
        <v>0</v>
      </c>
      <c r="L46" s="10" t="n">
        <f aca="false">Actual!L46-Budget!L46</f>
        <v>0</v>
      </c>
      <c r="M46" s="10" t="n">
        <f aca="false">Actual!M46-Budget!M46</f>
        <v>0</v>
      </c>
      <c r="N46" s="10" t="n">
        <f aca="false">Actual!N46-Budget!N46</f>
        <v>0</v>
      </c>
      <c r="O46" s="10" t="n">
        <f aca="false">Actual!O46-Budget!O46</f>
        <v>0</v>
      </c>
      <c r="P46" s="10" t="n">
        <f aca="false">Actual!P46-Budget!P46</f>
        <v>0</v>
      </c>
    </row>
    <row r="47" customFormat="false" ht="15" hidden="false" customHeight="false" outlineLevel="0" collapsed="false">
      <c r="A47" s="4" t="str">
        <f aca="false">Budget!A47</f>
        <v>Software licences</v>
      </c>
      <c r="B47" s="4" t="str">
        <f aca="false">Budget!B47</f>
        <v>Technology</v>
      </c>
      <c r="C47" s="4" t="str">
        <f aca="false">Budget!C47</f>
        <v>Finance</v>
      </c>
      <c r="D47" s="10" t="n">
        <f aca="false">Actual!D47-Budget!D47</f>
        <v>0</v>
      </c>
      <c r="E47" s="10" t="n">
        <f aca="false">Actual!E47-Budget!E47</f>
        <v>0</v>
      </c>
      <c r="F47" s="10" t="n">
        <f aca="false">Actual!F47-Budget!F47</f>
        <v>0</v>
      </c>
      <c r="G47" s="10" t="n">
        <f aca="false">Actual!G47-Budget!G47</f>
        <v>0</v>
      </c>
      <c r="H47" s="10" t="n">
        <f aca="false">Actual!H47-Budget!H47</f>
        <v>0</v>
      </c>
      <c r="I47" s="10" t="n">
        <f aca="false">Actual!I47-Budget!I47</f>
        <v>0</v>
      </c>
      <c r="J47" s="10" t="n">
        <f aca="false">Actual!J47-Budget!J47</f>
        <v>0</v>
      </c>
      <c r="K47" s="10" t="n">
        <f aca="false">Actual!K47-Budget!K47</f>
        <v>0</v>
      </c>
      <c r="L47" s="10" t="n">
        <f aca="false">Actual!L47-Budget!L47</f>
        <v>0</v>
      </c>
      <c r="M47" s="10" t="n">
        <f aca="false">Actual!M47-Budget!M47</f>
        <v>0</v>
      </c>
      <c r="N47" s="10" t="n">
        <f aca="false">Actual!N47-Budget!N47</f>
        <v>0</v>
      </c>
      <c r="O47" s="10" t="n">
        <f aca="false">Actual!O47-Budget!O47</f>
        <v>0</v>
      </c>
      <c r="P47" s="10" t="n">
        <f aca="false">Actual!P47-Budget!P47</f>
        <v>0</v>
      </c>
    </row>
    <row r="48" customFormat="false" ht="15" hidden="false" customHeight="false" outlineLevel="0" collapsed="false">
      <c r="A48" s="4" t="str">
        <f aca="false">Budget!A48</f>
        <v>Hardware</v>
      </c>
      <c r="B48" s="4" t="str">
        <f aca="false">Budget!B48</f>
        <v>Technology</v>
      </c>
      <c r="C48" s="4" t="str">
        <f aca="false">Budget!C48</f>
        <v>Finance</v>
      </c>
      <c r="D48" s="10" t="n">
        <f aca="false">Actual!D48-Budget!D48</f>
        <v>0</v>
      </c>
      <c r="E48" s="10" t="n">
        <f aca="false">Actual!E48-Budget!E48</f>
        <v>0</v>
      </c>
      <c r="F48" s="10" t="n">
        <f aca="false">Actual!F48-Budget!F48</f>
        <v>0</v>
      </c>
      <c r="G48" s="10" t="n">
        <f aca="false">Actual!G48-Budget!G48</f>
        <v>0</v>
      </c>
      <c r="H48" s="10" t="n">
        <f aca="false">Actual!H48-Budget!H48</f>
        <v>0</v>
      </c>
      <c r="I48" s="10" t="n">
        <f aca="false">Actual!I48-Budget!I48</f>
        <v>0</v>
      </c>
      <c r="J48" s="10" t="n">
        <f aca="false">Actual!J48-Budget!J48</f>
        <v>0</v>
      </c>
      <c r="K48" s="10" t="n">
        <f aca="false">Actual!K48-Budget!K48</f>
        <v>0</v>
      </c>
      <c r="L48" s="10" t="n">
        <f aca="false">Actual!L48-Budget!L48</f>
        <v>0</v>
      </c>
      <c r="M48" s="10" t="n">
        <f aca="false">Actual!M48-Budget!M48</f>
        <v>0</v>
      </c>
      <c r="N48" s="10" t="n">
        <f aca="false">Actual!N48-Budget!N48</f>
        <v>0</v>
      </c>
      <c r="O48" s="10" t="n">
        <f aca="false">Actual!O48-Budget!O48</f>
        <v>0</v>
      </c>
      <c r="P48" s="10" t="n">
        <f aca="false">Actual!P48-Budget!P48</f>
        <v>0</v>
      </c>
    </row>
    <row r="49" customFormat="false" ht="15" hidden="false" customHeight="false" outlineLevel="0" collapsed="false">
      <c r="A49" s="4" t="str">
        <f aca="false">Budget!A49</f>
        <v>Advertising</v>
      </c>
      <c r="B49" s="4" t="str">
        <f aca="false">Budget!B49</f>
        <v>Marketing</v>
      </c>
      <c r="C49" s="4" t="str">
        <f aca="false">Budget!C49</f>
        <v>Finance</v>
      </c>
      <c r="D49" s="10" t="n">
        <f aca="false">Actual!D49-Budget!D49</f>
        <v>0</v>
      </c>
      <c r="E49" s="10" t="n">
        <f aca="false">Actual!E49-Budget!E49</f>
        <v>0</v>
      </c>
      <c r="F49" s="10" t="n">
        <f aca="false">Actual!F49-Budget!F49</f>
        <v>0</v>
      </c>
      <c r="G49" s="10" t="n">
        <f aca="false">Actual!G49-Budget!G49</f>
        <v>0</v>
      </c>
      <c r="H49" s="10" t="n">
        <f aca="false">Actual!H49-Budget!H49</f>
        <v>0</v>
      </c>
      <c r="I49" s="10" t="n">
        <f aca="false">Actual!I49-Budget!I49</f>
        <v>0</v>
      </c>
      <c r="J49" s="10" t="n">
        <f aca="false">Actual!J49-Budget!J49</f>
        <v>0</v>
      </c>
      <c r="K49" s="10" t="n">
        <f aca="false">Actual!K49-Budget!K49</f>
        <v>0</v>
      </c>
      <c r="L49" s="10" t="n">
        <f aca="false">Actual!L49-Budget!L49</f>
        <v>0</v>
      </c>
      <c r="M49" s="10" t="n">
        <f aca="false">Actual!M49-Budget!M49</f>
        <v>0</v>
      </c>
      <c r="N49" s="10" t="n">
        <f aca="false">Actual!N49-Budget!N49</f>
        <v>0</v>
      </c>
      <c r="O49" s="10" t="n">
        <f aca="false">Actual!O49-Budget!O49</f>
        <v>0</v>
      </c>
      <c r="P49" s="10" t="n">
        <f aca="false">Actual!P49-Budget!P49</f>
        <v>0</v>
      </c>
    </row>
    <row r="50" customFormat="false" ht="15" hidden="false" customHeight="false" outlineLevel="0" collapsed="false">
      <c r="A50" s="4" t="str">
        <f aca="false">Budget!A50</f>
        <v>Travel and entertainment</v>
      </c>
      <c r="B50" s="4" t="str">
        <f aca="false">Budget!B50</f>
        <v>Other</v>
      </c>
      <c r="C50" s="4" t="str">
        <f aca="false">Budget!C50</f>
        <v>Finance</v>
      </c>
      <c r="D50" s="10" t="n">
        <f aca="false">Actual!D50-Budget!D50</f>
        <v>0</v>
      </c>
      <c r="E50" s="10" t="n">
        <f aca="false">Actual!E50-Budget!E50</f>
        <v>0</v>
      </c>
      <c r="F50" s="10" t="n">
        <f aca="false">Actual!F50-Budget!F50</f>
        <v>0</v>
      </c>
      <c r="G50" s="10" t="n">
        <f aca="false">Actual!G50-Budget!G50</f>
        <v>0</v>
      </c>
      <c r="H50" s="10" t="n">
        <f aca="false">Actual!H50-Budget!H50</f>
        <v>0</v>
      </c>
      <c r="I50" s="10" t="n">
        <f aca="false">Actual!I50-Budget!I50</f>
        <v>0</v>
      </c>
      <c r="J50" s="10" t="n">
        <f aca="false">Actual!J50-Budget!J50</f>
        <v>0</v>
      </c>
      <c r="K50" s="10" t="n">
        <f aca="false">Actual!K50-Budget!K50</f>
        <v>0</v>
      </c>
      <c r="L50" s="10" t="n">
        <f aca="false">Actual!L50-Budget!L50</f>
        <v>0</v>
      </c>
      <c r="M50" s="10" t="n">
        <f aca="false">Actual!M50-Budget!M50</f>
        <v>0</v>
      </c>
      <c r="N50" s="10" t="n">
        <f aca="false">Actual!N50-Budget!N50</f>
        <v>0</v>
      </c>
      <c r="O50" s="10" t="n">
        <f aca="false">Actual!O50-Budget!O50</f>
        <v>0</v>
      </c>
      <c r="P50" s="10" t="n">
        <f aca="false">Actual!P50-Budget!P50</f>
        <v>0</v>
      </c>
    </row>
    <row r="51" customFormat="false" ht="15" hidden="false" customHeight="false" outlineLevel="0" collapsed="false">
      <c r="A51" s="4" t="str">
        <f aca="false">Budget!A51</f>
        <v>Professional fees</v>
      </c>
      <c r="B51" s="4" t="str">
        <f aca="false">Budget!B51</f>
        <v>Other</v>
      </c>
      <c r="C51" s="4" t="str">
        <f aca="false">Budget!C51</f>
        <v>Finance</v>
      </c>
      <c r="D51" s="10" t="n">
        <f aca="false">Actual!D51-Budget!D51</f>
        <v>0</v>
      </c>
      <c r="E51" s="10" t="n">
        <f aca="false">Actual!E51-Budget!E51</f>
        <v>0</v>
      </c>
      <c r="F51" s="10" t="n">
        <f aca="false">Actual!F51-Budget!F51</f>
        <v>0</v>
      </c>
      <c r="G51" s="10" t="n">
        <f aca="false">Actual!G51-Budget!G51</f>
        <v>0</v>
      </c>
      <c r="H51" s="10" t="n">
        <f aca="false">Actual!H51-Budget!H51</f>
        <v>0</v>
      </c>
      <c r="I51" s="10" t="n">
        <f aca="false">Actual!I51-Budget!I51</f>
        <v>0</v>
      </c>
      <c r="J51" s="10" t="n">
        <f aca="false">Actual!J51-Budget!J51</f>
        <v>0</v>
      </c>
      <c r="K51" s="10" t="n">
        <f aca="false">Actual!K51-Budget!K51</f>
        <v>0</v>
      </c>
      <c r="L51" s="10" t="n">
        <f aca="false">Actual!L51-Budget!L51</f>
        <v>0</v>
      </c>
      <c r="M51" s="10" t="n">
        <f aca="false">Actual!M51-Budget!M51</f>
        <v>0</v>
      </c>
      <c r="N51" s="10" t="n">
        <f aca="false">Actual!N51-Budget!N51</f>
        <v>0</v>
      </c>
      <c r="O51" s="10" t="n">
        <f aca="false">Actual!O51-Budget!O51</f>
        <v>0</v>
      </c>
      <c r="P51" s="10" t="n">
        <f aca="false">Actual!P51-Budget!P51</f>
        <v>0</v>
      </c>
    </row>
    <row r="52" customFormat="false" ht="15" hidden="false" customHeight="false" outlineLevel="0" collapsed="false">
      <c r="A52" s="4" t="str">
        <f aca="false">Budget!A52</f>
        <v>Office supplies</v>
      </c>
      <c r="B52" s="4" t="str">
        <f aca="false">Budget!B52</f>
        <v>Other</v>
      </c>
      <c r="C52" s="4" t="str">
        <f aca="false">Budget!C52</f>
        <v>Finance</v>
      </c>
      <c r="D52" s="10" t="n">
        <f aca="false">Actual!D52-Budget!D52</f>
        <v>0</v>
      </c>
      <c r="E52" s="10" t="n">
        <f aca="false">Actual!E52-Budget!E52</f>
        <v>0</v>
      </c>
      <c r="F52" s="10" t="n">
        <f aca="false">Actual!F52-Budget!F52</f>
        <v>0</v>
      </c>
      <c r="G52" s="10" t="n">
        <f aca="false">Actual!G52-Budget!G52</f>
        <v>0</v>
      </c>
      <c r="H52" s="10" t="n">
        <f aca="false">Actual!H52-Budget!H52</f>
        <v>0</v>
      </c>
      <c r="I52" s="10" t="n">
        <f aca="false">Actual!I52-Budget!I52</f>
        <v>0</v>
      </c>
      <c r="J52" s="10" t="n">
        <f aca="false">Actual!J52-Budget!J52</f>
        <v>0</v>
      </c>
      <c r="K52" s="10" t="n">
        <f aca="false">Actual!K52-Budget!K52</f>
        <v>0</v>
      </c>
      <c r="L52" s="10" t="n">
        <f aca="false">Actual!L52-Budget!L52</f>
        <v>0</v>
      </c>
      <c r="M52" s="10" t="n">
        <f aca="false">Actual!M52-Budget!M52</f>
        <v>0</v>
      </c>
      <c r="N52" s="10" t="n">
        <f aca="false">Actual!N52-Budget!N52</f>
        <v>0</v>
      </c>
      <c r="O52" s="10" t="n">
        <f aca="false">Actual!O52-Budget!O52</f>
        <v>0</v>
      </c>
      <c r="P52" s="10" t="n">
        <f aca="false">Actual!P52-Budget!P52</f>
        <v>0</v>
      </c>
    </row>
    <row r="53" customFormat="false" ht="15" hidden="false" customHeight="false" outlineLevel="0" collapsed="false">
      <c r="A53" s="4" t="str">
        <f aca="false">Budget!A53</f>
        <v>Salaries and wages</v>
      </c>
      <c r="B53" s="4" t="str">
        <f aca="false">Budget!B53</f>
        <v>Staff</v>
      </c>
      <c r="C53" s="4" t="str">
        <f aca="false">Budget!C53</f>
        <v>HR</v>
      </c>
      <c r="D53" s="10" t="n">
        <f aca="false">Actual!D53-Budget!D53</f>
        <v>0</v>
      </c>
      <c r="E53" s="10" t="n">
        <f aca="false">Actual!E53-Budget!E53</f>
        <v>0</v>
      </c>
      <c r="F53" s="10" t="n">
        <f aca="false">Actual!F53-Budget!F53</f>
        <v>0</v>
      </c>
      <c r="G53" s="10" t="n">
        <f aca="false">Actual!G53-Budget!G53</f>
        <v>0</v>
      </c>
      <c r="H53" s="10" t="n">
        <f aca="false">Actual!H53-Budget!H53</f>
        <v>0</v>
      </c>
      <c r="I53" s="10" t="n">
        <f aca="false">Actual!I53-Budget!I53</f>
        <v>0</v>
      </c>
      <c r="J53" s="10" t="n">
        <f aca="false">Actual!J53-Budget!J53</f>
        <v>0</v>
      </c>
      <c r="K53" s="10" t="n">
        <f aca="false">Actual!K53-Budget!K53</f>
        <v>0</v>
      </c>
      <c r="L53" s="10" t="n">
        <f aca="false">Actual!L53-Budget!L53</f>
        <v>0</v>
      </c>
      <c r="M53" s="10" t="n">
        <f aca="false">Actual!M53-Budget!M53</f>
        <v>0</v>
      </c>
      <c r="N53" s="10" t="n">
        <f aca="false">Actual!N53-Budget!N53</f>
        <v>0</v>
      </c>
      <c r="O53" s="10" t="n">
        <f aca="false">Actual!O53-Budget!O53</f>
        <v>0</v>
      </c>
      <c r="P53" s="10" t="n">
        <f aca="false">Actual!P53-Budget!P53</f>
        <v>0</v>
      </c>
    </row>
    <row r="54" customFormat="false" ht="15" hidden="false" customHeight="false" outlineLevel="0" collapsed="false">
      <c r="A54" s="4" t="str">
        <f aca="false">Budget!A54</f>
        <v>Employee benefits</v>
      </c>
      <c r="B54" s="4" t="str">
        <f aca="false">Budget!B54</f>
        <v>Staff</v>
      </c>
      <c r="C54" s="4" t="str">
        <f aca="false">Budget!C54</f>
        <v>HR</v>
      </c>
      <c r="D54" s="10" t="n">
        <f aca="false">Actual!D54-Budget!D54</f>
        <v>0</v>
      </c>
      <c r="E54" s="10" t="n">
        <f aca="false">Actual!E54-Budget!E54</f>
        <v>0</v>
      </c>
      <c r="F54" s="10" t="n">
        <f aca="false">Actual!F54-Budget!F54</f>
        <v>0</v>
      </c>
      <c r="G54" s="10" t="n">
        <f aca="false">Actual!G54-Budget!G54</f>
        <v>0</v>
      </c>
      <c r="H54" s="10" t="n">
        <f aca="false">Actual!H54-Budget!H54</f>
        <v>0</v>
      </c>
      <c r="I54" s="10" t="n">
        <f aca="false">Actual!I54-Budget!I54</f>
        <v>0</v>
      </c>
      <c r="J54" s="10" t="n">
        <f aca="false">Actual!J54-Budget!J54</f>
        <v>0</v>
      </c>
      <c r="K54" s="10" t="n">
        <f aca="false">Actual!K54-Budget!K54</f>
        <v>0</v>
      </c>
      <c r="L54" s="10" t="n">
        <f aca="false">Actual!L54-Budget!L54</f>
        <v>0</v>
      </c>
      <c r="M54" s="10" t="n">
        <f aca="false">Actual!M54-Budget!M54</f>
        <v>0</v>
      </c>
      <c r="N54" s="10" t="n">
        <f aca="false">Actual!N54-Budget!N54</f>
        <v>0</v>
      </c>
      <c r="O54" s="10" t="n">
        <f aca="false">Actual!O54-Budget!O54</f>
        <v>0</v>
      </c>
      <c r="P54" s="10" t="n">
        <f aca="false">Actual!P54-Budget!P54</f>
        <v>0</v>
      </c>
    </row>
    <row r="55" customFormat="false" ht="15" hidden="false" customHeight="false" outlineLevel="0" collapsed="false">
      <c r="A55" s="4" t="str">
        <f aca="false">Budget!A55</f>
        <v>Training</v>
      </c>
      <c r="B55" s="4" t="str">
        <f aca="false">Budget!B55</f>
        <v>Staff</v>
      </c>
      <c r="C55" s="4" t="str">
        <f aca="false">Budget!C55</f>
        <v>HR</v>
      </c>
      <c r="D55" s="10" t="n">
        <f aca="false">Actual!D55-Budget!D55</f>
        <v>0</v>
      </c>
      <c r="E55" s="10" t="n">
        <f aca="false">Actual!E55-Budget!E55</f>
        <v>0</v>
      </c>
      <c r="F55" s="10" t="n">
        <f aca="false">Actual!F55-Budget!F55</f>
        <v>0</v>
      </c>
      <c r="G55" s="10" t="n">
        <f aca="false">Actual!G55-Budget!G55</f>
        <v>0</v>
      </c>
      <c r="H55" s="10" t="n">
        <f aca="false">Actual!H55-Budget!H55</f>
        <v>0</v>
      </c>
      <c r="I55" s="10" t="n">
        <f aca="false">Actual!I55-Budget!I55</f>
        <v>0</v>
      </c>
      <c r="J55" s="10" t="n">
        <f aca="false">Actual!J55-Budget!J55</f>
        <v>0</v>
      </c>
      <c r="K55" s="10" t="n">
        <f aca="false">Actual!K55-Budget!K55</f>
        <v>0</v>
      </c>
      <c r="L55" s="10" t="n">
        <f aca="false">Actual!L55-Budget!L55</f>
        <v>0</v>
      </c>
      <c r="M55" s="10" t="n">
        <f aca="false">Actual!M55-Budget!M55</f>
        <v>0</v>
      </c>
      <c r="N55" s="10" t="n">
        <f aca="false">Actual!N55-Budget!N55</f>
        <v>0</v>
      </c>
      <c r="O55" s="10" t="n">
        <f aca="false">Actual!O55-Budget!O55</f>
        <v>0</v>
      </c>
      <c r="P55" s="10" t="n">
        <f aca="false">Actual!P55-Budget!P55</f>
        <v>0</v>
      </c>
    </row>
    <row r="56" customFormat="false" ht="15" hidden="false" customHeight="false" outlineLevel="0" collapsed="false">
      <c r="A56" s="4" t="str">
        <f aca="false">Budget!A56</f>
        <v>Rent</v>
      </c>
      <c r="B56" s="4" t="str">
        <f aca="false">Budget!B56</f>
        <v>Premises</v>
      </c>
      <c r="C56" s="4" t="str">
        <f aca="false">Budget!C56</f>
        <v>HR</v>
      </c>
      <c r="D56" s="10" t="n">
        <f aca="false">Actual!D56-Budget!D56</f>
        <v>0</v>
      </c>
      <c r="E56" s="10" t="n">
        <f aca="false">Actual!E56-Budget!E56</f>
        <v>0</v>
      </c>
      <c r="F56" s="10" t="n">
        <f aca="false">Actual!F56-Budget!F56</f>
        <v>0</v>
      </c>
      <c r="G56" s="10" t="n">
        <f aca="false">Actual!G56-Budget!G56</f>
        <v>0</v>
      </c>
      <c r="H56" s="10" t="n">
        <f aca="false">Actual!H56-Budget!H56</f>
        <v>0</v>
      </c>
      <c r="I56" s="10" t="n">
        <f aca="false">Actual!I56-Budget!I56</f>
        <v>0</v>
      </c>
      <c r="J56" s="10" t="n">
        <f aca="false">Actual!J56-Budget!J56</f>
        <v>0</v>
      </c>
      <c r="K56" s="10" t="n">
        <f aca="false">Actual!K56-Budget!K56</f>
        <v>0</v>
      </c>
      <c r="L56" s="10" t="n">
        <f aca="false">Actual!L56-Budget!L56</f>
        <v>0</v>
      </c>
      <c r="M56" s="10" t="n">
        <f aca="false">Actual!M56-Budget!M56</f>
        <v>0</v>
      </c>
      <c r="N56" s="10" t="n">
        <f aca="false">Actual!N56-Budget!N56</f>
        <v>0</v>
      </c>
      <c r="O56" s="10" t="n">
        <f aca="false">Actual!O56-Budget!O56</f>
        <v>0</v>
      </c>
      <c r="P56" s="10" t="n">
        <f aca="false">Actual!P56-Budget!P56</f>
        <v>0</v>
      </c>
    </row>
    <row r="57" customFormat="false" ht="15" hidden="false" customHeight="false" outlineLevel="0" collapsed="false">
      <c r="A57" s="4" t="str">
        <f aca="false">Budget!A57</f>
        <v>Utilities</v>
      </c>
      <c r="B57" s="4" t="str">
        <f aca="false">Budget!B57</f>
        <v>Premises</v>
      </c>
      <c r="C57" s="4" t="str">
        <f aca="false">Budget!C57</f>
        <v>HR</v>
      </c>
      <c r="D57" s="10" t="n">
        <f aca="false">Actual!D57-Budget!D57</f>
        <v>0</v>
      </c>
      <c r="E57" s="10" t="n">
        <f aca="false">Actual!E57-Budget!E57</f>
        <v>0</v>
      </c>
      <c r="F57" s="10" t="n">
        <f aca="false">Actual!F57-Budget!F57</f>
        <v>0</v>
      </c>
      <c r="G57" s="10" t="n">
        <f aca="false">Actual!G57-Budget!G57</f>
        <v>0</v>
      </c>
      <c r="H57" s="10" t="n">
        <f aca="false">Actual!H57-Budget!H57</f>
        <v>0</v>
      </c>
      <c r="I57" s="10" t="n">
        <f aca="false">Actual!I57-Budget!I57</f>
        <v>0</v>
      </c>
      <c r="J57" s="10" t="n">
        <f aca="false">Actual!J57-Budget!J57</f>
        <v>0</v>
      </c>
      <c r="K57" s="10" t="n">
        <f aca="false">Actual!K57-Budget!K57</f>
        <v>0</v>
      </c>
      <c r="L57" s="10" t="n">
        <f aca="false">Actual!L57-Budget!L57</f>
        <v>0</v>
      </c>
      <c r="M57" s="10" t="n">
        <f aca="false">Actual!M57-Budget!M57</f>
        <v>0</v>
      </c>
      <c r="N57" s="10" t="n">
        <f aca="false">Actual!N57-Budget!N57</f>
        <v>0</v>
      </c>
      <c r="O57" s="10" t="n">
        <f aca="false">Actual!O57-Budget!O57</f>
        <v>0</v>
      </c>
      <c r="P57" s="10" t="n">
        <f aca="false">Actual!P57-Budget!P57</f>
        <v>0</v>
      </c>
    </row>
    <row r="58" customFormat="false" ht="15" hidden="false" customHeight="false" outlineLevel="0" collapsed="false">
      <c r="A58" s="4" t="str">
        <f aca="false">Budget!A58</f>
        <v>Repairs and maintenance</v>
      </c>
      <c r="B58" s="4" t="str">
        <f aca="false">Budget!B58</f>
        <v>Premises</v>
      </c>
      <c r="C58" s="4" t="str">
        <f aca="false">Budget!C58</f>
        <v>HR</v>
      </c>
      <c r="D58" s="10" t="n">
        <f aca="false">Actual!D58-Budget!D58</f>
        <v>0</v>
      </c>
      <c r="E58" s="10" t="n">
        <f aca="false">Actual!E58-Budget!E58</f>
        <v>0</v>
      </c>
      <c r="F58" s="10" t="n">
        <f aca="false">Actual!F58-Budget!F58</f>
        <v>0</v>
      </c>
      <c r="G58" s="10" t="n">
        <f aca="false">Actual!G58-Budget!G58</f>
        <v>0</v>
      </c>
      <c r="H58" s="10" t="n">
        <f aca="false">Actual!H58-Budget!H58</f>
        <v>0</v>
      </c>
      <c r="I58" s="10" t="n">
        <f aca="false">Actual!I58-Budget!I58</f>
        <v>0</v>
      </c>
      <c r="J58" s="10" t="n">
        <f aca="false">Actual!J58-Budget!J58</f>
        <v>0</v>
      </c>
      <c r="K58" s="10" t="n">
        <f aca="false">Actual!K58-Budget!K58</f>
        <v>0</v>
      </c>
      <c r="L58" s="10" t="n">
        <f aca="false">Actual!L58-Budget!L58</f>
        <v>0</v>
      </c>
      <c r="M58" s="10" t="n">
        <f aca="false">Actual!M58-Budget!M58</f>
        <v>0</v>
      </c>
      <c r="N58" s="10" t="n">
        <f aca="false">Actual!N58-Budget!N58</f>
        <v>0</v>
      </c>
      <c r="O58" s="10" t="n">
        <f aca="false">Actual!O58-Budget!O58</f>
        <v>0</v>
      </c>
      <c r="P58" s="10" t="n">
        <f aca="false">Actual!P58-Budget!P58</f>
        <v>0</v>
      </c>
    </row>
    <row r="59" customFormat="false" ht="15" hidden="false" customHeight="false" outlineLevel="0" collapsed="false">
      <c r="A59" s="4" t="str">
        <f aca="false">Budget!A59</f>
        <v>Software licences</v>
      </c>
      <c r="B59" s="4" t="str">
        <f aca="false">Budget!B59</f>
        <v>Technology</v>
      </c>
      <c r="C59" s="4" t="str">
        <f aca="false">Budget!C59</f>
        <v>HR</v>
      </c>
      <c r="D59" s="10" t="n">
        <f aca="false">Actual!D59-Budget!D59</f>
        <v>0</v>
      </c>
      <c r="E59" s="10" t="n">
        <f aca="false">Actual!E59-Budget!E59</f>
        <v>0</v>
      </c>
      <c r="F59" s="10" t="n">
        <f aca="false">Actual!F59-Budget!F59</f>
        <v>0</v>
      </c>
      <c r="G59" s="10" t="n">
        <f aca="false">Actual!G59-Budget!G59</f>
        <v>0</v>
      </c>
      <c r="H59" s="10" t="n">
        <f aca="false">Actual!H59-Budget!H59</f>
        <v>0</v>
      </c>
      <c r="I59" s="10" t="n">
        <f aca="false">Actual!I59-Budget!I59</f>
        <v>0</v>
      </c>
      <c r="J59" s="10" t="n">
        <f aca="false">Actual!J59-Budget!J59</f>
        <v>0</v>
      </c>
      <c r="K59" s="10" t="n">
        <f aca="false">Actual!K59-Budget!K59</f>
        <v>0</v>
      </c>
      <c r="L59" s="10" t="n">
        <f aca="false">Actual!L59-Budget!L59</f>
        <v>0</v>
      </c>
      <c r="M59" s="10" t="n">
        <f aca="false">Actual!M59-Budget!M59</f>
        <v>0</v>
      </c>
      <c r="N59" s="10" t="n">
        <f aca="false">Actual!N59-Budget!N59</f>
        <v>0</v>
      </c>
      <c r="O59" s="10" t="n">
        <f aca="false">Actual!O59-Budget!O59</f>
        <v>0</v>
      </c>
      <c r="P59" s="10" t="n">
        <f aca="false">Actual!P59-Budget!P59</f>
        <v>0</v>
      </c>
    </row>
    <row r="60" customFormat="false" ht="15" hidden="false" customHeight="false" outlineLevel="0" collapsed="false">
      <c r="A60" s="4" t="str">
        <f aca="false">Budget!A60</f>
        <v>Hardware</v>
      </c>
      <c r="B60" s="4" t="str">
        <f aca="false">Budget!B60</f>
        <v>Technology</v>
      </c>
      <c r="C60" s="4" t="str">
        <f aca="false">Budget!C60</f>
        <v>HR</v>
      </c>
      <c r="D60" s="10" t="n">
        <f aca="false">Actual!D60-Budget!D60</f>
        <v>0</v>
      </c>
      <c r="E60" s="10" t="n">
        <f aca="false">Actual!E60-Budget!E60</f>
        <v>0</v>
      </c>
      <c r="F60" s="10" t="n">
        <f aca="false">Actual!F60-Budget!F60</f>
        <v>0</v>
      </c>
      <c r="G60" s="10" t="n">
        <f aca="false">Actual!G60-Budget!G60</f>
        <v>0</v>
      </c>
      <c r="H60" s="10" t="n">
        <f aca="false">Actual!H60-Budget!H60</f>
        <v>0</v>
      </c>
      <c r="I60" s="10" t="n">
        <f aca="false">Actual!I60-Budget!I60</f>
        <v>0</v>
      </c>
      <c r="J60" s="10" t="n">
        <f aca="false">Actual!J60-Budget!J60</f>
        <v>0</v>
      </c>
      <c r="K60" s="10" t="n">
        <f aca="false">Actual!K60-Budget!K60</f>
        <v>0</v>
      </c>
      <c r="L60" s="10" t="n">
        <f aca="false">Actual!L60-Budget!L60</f>
        <v>0</v>
      </c>
      <c r="M60" s="10" t="n">
        <f aca="false">Actual!M60-Budget!M60</f>
        <v>0</v>
      </c>
      <c r="N60" s="10" t="n">
        <f aca="false">Actual!N60-Budget!N60</f>
        <v>0</v>
      </c>
      <c r="O60" s="10" t="n">
        <f aca="false">Actual!O60-Budget!O60</f>
        <v>0</v>
      </c>
      <c r="P60" s="10" t="n">
        <f aca="false">Actual!P60-Budget!P60</f>
        <v>0</v>
      </c>
    </row>
    <row r="61" customFormat="false" ht="15" hidden="false" customHeight="false" outlineLevel="0" collapsed="false">
      <c r="A61" s="4" t="str">
        <f aca="false">Budget!A61</f>
        <v>Advertising</v>
      </c>
      <c r="B61" s="4" t="str">
        <f aca="false">Budget!B61</f>
        <v>Marketing</v>
      </c>
      <c r="C61" s="4" t="str">
        <f aca="false">Budget!C61</f>
        <v>HR</v>
      </c>
      <c r="D61" s="10" t="n">
        <f aca="false">Actual!D61-Budget!D61</f>
        <v>0</v>
      </c>
      <c r="E61" s="10" t="n">
        <f aca="false">Actual!E61-Budget!E61</f>
        <v>0</v>
      </c>
      <c r="F61" s="10" t="n">
        <f aca="false">Actual!F61-Budget!F61</f>
        <v>0</v>
      </c>
      <c r="G61" s="10" t="n">
        <f aca="false">Actual!G61-Budget!G61</f>
        <v>0</v>
      </c>
      <c r="H61" s="10" t="n">
        <f aca="false">Actual!H61-Budget!H61</f>
        <v>0</v>
      </c>
      <c r="I61" s="10" t="n">
        <f aca="false">Actual!I61-Budget!I61</f>
        <v>0</v>
      </c>
      <c r="J61" s="10" t="n">
        <f aca="false">Actual!J61-Budget!J61</f>
        <v>0</v>
      </c>
      <c r="K61" s="10" t="n">
        <f aca="false">Actual!K61-Budget!K61</f>
        <v>0</v>
      </c>
      <c r="L61" s="10" t="n">
        <f aca="false">Actual!L61-Budget!L61</f>
        <v>0</v>
      </c>
      <c r="M61" s="10" t="n">
        <f aca="false">Actual!M61-Budget!M61</f>
        <v>0</v>
      </c>
      <c r="N61" s="10" t="n">
        <f aca="false">Actual!N61-Budget!N61</f>
        <v>0</v>
      </c>
      <c r="O61" s="10" t="n">
        <f aca="false">Actual!O61-Budget!O61</f>
        <v>0</v>
      </c>
      <c r="P61" s="10" t="n">
        <f aca="false">Actual!P61-Budget!P61</f>
        <v>0</v>
      </c>
    </row>
    <row r="62" customFormat="false" ht="15" hidden="false" customHeight="false" outlineLevel="0" collapsed="false">
      <c r="A62" s="4" t="str">
        <f aca="false">Budget!A62</f>
        <v>Travel and entertainment</v>
      </c>
      <c r="B62" s="4" t="str">
        <f aca="false">Budget!B62</f>
        <v>Other</v>
      </c>
      <c r="C62" s="4" t="str">
        <f aca="false">Budget!C62</f>
        <v>HR</v>
      </c>
      <c r="D62" s="10" t="n">
        <f aca="false">Actual!D62-Budget!D62</f>
        <v>0</v>
      </c>
      <c r="E62" s="10" t="n">
        <f aca="false">Actual!E62-Budget!E62</f>
        <v>0</v>
      </c>
      <c r="F62" s="10" t="n">
        <f aca="false">Actual!F62-Budget!F62</f>
        <v>0</v>
      </c>
      <c r="G62" s="10" t="n">
        <f aca="false">Actual!G62-Budget!G62</f>
        <v>0</v>
      </c>
      <c r="H62" s="10" t="n">
        <f aca="false">Actual!H62-Budget!H62</f>
        <v>0</v>
      </c>
      <c r="I62" s="10" t="n">
        <f aca="false">Actual!I62-Budget!I62</f>
        <v>0</v>
      </c>
      <c r="J62" s="10" t="n">
        <f aca="false">Actual!J62-Budget!J62</f>
        <v>0</v>
      </c>
      <c r="K62" s="10" t="n">
        <f aca="false">Actual!K62-Budget!K62</f>
        <v>0</v>
      </c>
      <c r="L62" s="10" t="n">
        <f aca="false">Actual!L62-Budget!L62</f>
        <v>0</v>
      </c>
      <c r="M62" s="10" t="n">
        <f aca="false">Actual!M62-Budget!M62</f>
        <v>0</v>
      </c>
      <c r="N62" s="10" t="n">
        <f aca="false">Actual!N62-Budget!N62</f>
        <v>0</v>
      </c>
      <c r="O62" s="10" t="n">
        <f aca="false">Actual!O62-Budget!O62</f>
        <v>0</v>
      </c>
      <c r="P62" s="10" t="n">
        <f aca="false">Actual!P62-Budget!P62</f>
        <v>0</v>
      </c>
    </row>
    <row r="63" customFormat="false" ht="15" hidden="false" customHeight="false" outlineLevel="0" collapsed="false">
      <c r="A63" s="4" t="str">
        <f aca="false">Budget!A63</f>
        <v>Professional fees</v>
      </c>
      <c r="B63" s="4" t="str">
        <f aca="false">Budget!B63</f>
        <v>Other</v>
      </c>
      <c r="C63" s="4" t="str">
        <f aca="false">Budget!C63</f>
        <v>HR</v>
      </c>
      <c r="D63" s="10" t="n">
        <f aca="false">Actual!D63-Budget!D63</f>
        <v>0</v>
      </c>
      <c r="E63" s="10" t="n">
        <f aca="false">Actual!E63-Budget!E63</f>
        <v>0</v>
      </c>
      <c r="F63" s="10" t="n">
        <f aca="false">Actual!F63-Budget!F63</f>
        <v>0</v>
      </c>
      <c r="G63" s="10" t="n">
        <f aca="false">Actual!G63-Budget!G63</f>
        <v>0</v>
      </c>
      <c r="H63" s="10" t="n">
        <f aca="false">Actual!H63-Budget!H63</f>
        <v>0</v>
      </c>
      <c r="I63" s="10" t="n">
        <f aca="false">Actual!I63-Budget!I63</f>
        <v>0</v>
      </c>
      <c r="J63" s="10" t="n">
        <f aca="false">Actual!J63-Budget!J63</f>
        <v>0</v>
      </c>
      <c r="K63" s="10" t="n">
        <f aca="false">Actual!K63-Budget!K63</f>
        <v>0</v>
      </c>
      <c r="L63" s="10" t="n">
        <f aca="false">Actual!L63-Budget!L63</f>
        <v>0</v>
      </c>
      <c r="M63" s="10" t="n">
        <f aca="false">Actual!M63-Budget!M63</f>
        <v>0</v>
      </c>
      <c r="N63" s="10" t="n">
        <f aca="false">Actual!N63-Budget!N63</f>
        <v>0</v>
      </c>
      <c r="O63" s="10" t="n">
        <f aca="false">Actual!O63-Budget!O63</f>
        <v>0</v>
      </c>
      <c r="P63" s="10" t="n">
        <f aca="false">Actual!P63-Budget!P63</f>
        <v>0</v>
      </c>
    </row>
    <row r="64" customFormat="false" ht="15" hidden="false" customHeight="false" outlineLevel="0" collapsed="false">
      <c r="A64" s="4" t="str">
        <f aca="false">Budget!A64</f>
        <v>Office supplies</v>
      </c>
      <c r="B64" s="4" t="str">
        <f aca="false">Budget!B64</f>
        <v>Other</v>
      </c>
      <c r="C64" s="4" t="str">
        <f aca="false">Budget!C64</f>
        <v>HR</v>
      </c>
      <c r="D64" s="10" t="n">
        <f aca="false">Actual!D64-Budget!D64</f>
        <v>0</v>
      </c>
      <c r="E64" s="10" t="n">
        <f aca="false">Actual!E64-Budget!E64</f>
        <v>0</v>
      </c>
      <c r="F64" s="10" t="n">
        <f aca="false">Actual!F64-Budget!F64</f>
        <v>0</v>
      </c>
      <c r="G64" s="10" t="n">
        <f aca="false">Actual!G64-Budget!G64</f>
        <v>0</v>
      </c>
      <c r="H64" s="10" t="n">
        <f aca="false">Actual!H64-Budget!H64</f>
        <v>0</v>
      </c>
      <c r="I64" s="10" t="n">
        <f aca="false">Actual!I64-Budget!I64</f>
        <v>0</v>
      </c>
      <c r="J64" s="10" t="n">
        <f aca="false">Actual!J64-Budget!J64</f>
        <v>0</v>
      </c>
      <c r="K64" s="10" t="n">
        <f aca="false">Actual!K64-Budget!K64</f>
        <v>0</v>
      </c>
      <c r="L64" s="10" t="n">
        <f aca="false">Actual!L64-Budget!L64</f>
        <v>0</v>
      </c>
      <c r="M64" s="10" t="n">
        <f aca="false">Actual!M64-Budget!M64</f>
        <v>0</v>
      </c>
      <c r="N64" s="10" t="n">
        <f aca="false">Actual!N64-Budget!N64</f>
        <v>0</v>
      </c>
      <c r="O64" s="10" t="n">
        <f aca="false">Actual!O64-Budget!O64</f>
        <v>0</v>
      </c>
      <c r="P64" s="10" t="n">
        <f aca="false">Actual!P64-Budget!P64</f>
        <v>0</v>
      </c>
    </row>
    <row r="65" customFormat="false" ht="15" hidden="false" customHeight="false" outlineLevel="0" collapsed="false">
      <c r="A65" s="4" t="str">
        <f aca="false">Budget!A65</f>
        <v>Salaries and wages</v>
      </c>
      <c r="B65" s="4" t="str">
        <f aca="false">Budget!B65</f>
        <v>Staff</v>
      </c>
      <c r="C65" s="4" t="str">
        <f aca="false">Budget!C65</f>
        <v>IT</v>
      </c>
      <c r="D65" s="10" t="n">
        <f aca="false">Actual!D65-Budget!D65</f>
        <v>0</v>
      </c>
      <c r="E65" s="10" t="n">
        <f aca="false">Actual!E65-Budget!E65</f>
        <v>0</v>
      </c>
      <c r="F65" s="10" t="n">
        <f aca="false">Actual!F65-Budget!F65</f>
        <v>0</v>
      </c>
      <c r="G65" s="10" t="n">
        <f aca="false">Actual!G65-Budget!G65</f>
        <v>0</v>
      </c>
      <c r="H65" s="10" t="n">
        <f aca="false">Actual!H65-Budget!H65</f>
        <v>0</v>
      </c>
      <c r="I65" s="10" t="n">
        <f aca="false">Actual!I65-Budget!I65</f>
        <v>0</v>
      </c>
      <c r="J65" s="10" t="n">
        <f aca="false">Actual!J65-Budget!J65</f>
        <v>0</v>
      </c>
      <c r="K65" s="10" t="n">
        <f aca="false">Actual!K65-Budget!K65</f>
        <v>0</v>
      </c>
      <c r="L65" s="10" t="n">
        <f aca="false">Actual!L65-Budget!L65</f>
        <v>0</v>
      </c>
      <c r="M65" s="10" t="n">
        <f aca="false">Actual!M65-Budget!M65</f>
        <v>0</v>
      </c>
      <c r="N65" s="10" t="n">
        <f aca="false">Actual!N65-Budget!N65</f>
        <v>0</v>
      </c>
      <c r="O65" s="10" t="n">
        <f aca="false">Actual!O65-Budget!O65</f>
        <v>0</v>
      </c>
      <c r="P65" s="10" t="n">
        <f aca="false">Actual!P65-Budget!P65</f>
        <v>0</v>
      </c>
    </row>
    <row r="66" customFormat="false" ht="15" hidden="false" customHeight="false" outlineLevel="0" collapsed="false">
      <c r="A66" s="4" t="str">
        <f aca="false">Budget!A66</f>
        <v>Employee benefits</v>
      </c>
      <c r="B66" s="4" t="str">
        <f aca="false">Budget!B66</f>
        <v>Staff</v>
      </c>
      <c r="C66" s="4" t="str">
        <f aca="false">Budget!C66</f>
        <v>IT</v>
      </c>
      <c r="D66" s="10" t="n">
        <f aca="false">Actual!D66-Budget!D66</f>
        <v>0</v>
      </c>
      <c r="E66" s="10" t="n">
        <f aca="false">Actual!E66-Budget!E66</f>
        <v>0</v>
      </c>
      <c r="F66" s="10" t="n">
        <f aca="false">Actual!F66-Budget!F66</f>
        <v>0</v>
      </c>
      <c r="G66" s="10" t="n">
        <f aca="false">Actual!G66-Budget!G66</f>
        <v>0</v>
      </c>
      <c r="H66" s="10" t="n">
        <f aca="false">Actual!H66-Budget!H66</f>
        <v>0</v>
      </c>
      <c r="I66" s="10" t="n">
        <f aca="false">Actual!I66-Budget!I66</f>
        <v>0</v>
      </c>
      <c r="J66" s="10" t="n">
        <f aca="false">Actual!J66-Budget!J66</f>
        <v>0</v>
      </c>
      <c r="K66" s="10" t="n">
        <f aca="false">Actual!K66-Budget!K66</f>
        <v>0</v>
      </c>
      <c r="L66" s="10" t="n">
        <f aca="false">Actual!L66-Budget!L66</f>
        <v>0</v>
      </c>
      <c r="M66" s="10" t="n">
        <f aca="false">Actual!M66-Budget!M66</f>
        <v>0</v>
      </c>
      <c r="N66" s="10" t="n">
        <f aca="false">Actual!N66-Budget!N66</f>
        <v>0</v>
      </c>
      <c r="O66" s="10" t="n">
        <f aca="false">Actual!O66-Budget!O66</f>
        <v>0</v>
      </c>
      <c r="P66" s="10" t="n">
        <f aca="false">Actual!P66-Budget!P66</f>
        <v>0</v>
      </c>
    </row>
    <row r="67" customFormat="false" ht="15" hidden="false" customHeight="false" outlineLevel="0" collapsed="false">
      <c r="A67" s="4" t="str">
        <f aca="false">Budget!A67</f>
        <v>Training</v>
      </c>
      <c r="B67" s="4" t="str">
        <f aca="false">Budget!B67</f>
        <v>Staff</v>
      </c>
      <c r="C67" s="4" t="str">
        <f aca="false">Budget!C67</f>
        <v>IT</v>
      </c>
      <c r="D67" s="10" t="n">
        <f aca="false">Actual!D67-Budget!D67</f>
        <v>0</v>
      </c>
      <c r="E67" s="10" t="n">
        <f aca="false">Actual!E67-Budget!E67</f>
        <v>0</v>
      </c>
      <c r="F67" s="10" t="n">
        <f aca="false">Actual!F67-Budget!F67</f>
        <v>0</v>
      </c>
      <c r="G67" s="10" t="n">
        <f aca="false">Actual!G67-Budget!G67</f>
        <v>0</v>
      </c>
      <c r="H67" s="10" t="n">
        <f aca="false">Actual!H67-Budget!H67</f>
        <v>0</v>
      </c>
      <c r="I67" s="10" t="n">
        <f aca="false">Actual!I67-Budget!I67</f>
        <v>0</v>
      </c>
      <c r="J67" s="10" t="n">
        <f aca="false">Actual!J67-Budget!J67</f>
        <v>0</v>
      </c>
      <c r="K67" s="10" t="n">
        <f aca="false">Actual!K67-Budget!K67</f>
        <v>0</v>
      </c>
      <c r="L67" s="10" t="n">
        <f aca="false">Actual!L67-Budget!L67</f>
        <v>0</v>
      </c>
      <c r="M67" s="10" t="n">
        <f aca="false">Actual!M67-Budget!M67</f>
        <v>0</v>
      </c>
      <c r="N67" s="10" t="n">
        <f aca="false">Actual!N67-Budget!N67</f>
        <v>0</v>
      </c>
      <c r="O67" s="10" t="n">
        <f aca="false">Actual!O67-Budget!O67</f>
        <v>0</v>
      </c>
      <c r="P67" s="10" t="n">
        <f aca="false">Actual!P67-Budget!P67</f>
        <v>0</v>
      </c>
    </row>
    <row r="68" customFormat="false" ht="15" hidden="false" customHeight="false" outlineLevel="0" collapsed="false">
      <c r="A68" s="4" t="str">
        <f aca="false">Budget!A68</f>
        <v>Rent</v>
      </c>
      <c r="B68" s="4" t="str">
        <f aca="false">Budget!B68</f>
        <v>Premises</v>
      </c>
      <c r="C68" s="4" t="str">
        <f aca="false">Budget!C68</f>
        <v>IT</v>
      </c>
      <c r="D68" s="10" t="n">
        <f aca="false">Actual!D68-Budget!D68</f>
        <v>0</v>
      </c>
      <c r="E68" s="10" t="n">
        <f aca="false">Actual!E68-Budget!E68</f>
        <v>0</v>
      </c>
      <c r="F68" s="10" t="n">
        <f aca="false">Actual!F68-Budget!F68</f>
        <v>0</v>
      </c>
      <c r="G68" s="10" t="n">
        <f aca="false">Actual!G68-Budget!G68</f>
        <v>0</v>
      </c>
      <c r="H68" s="10" t="n">
        <f aca="false">Actual!H68-Budget!H68</f>
        <v>0</v>
      </c>
      <c r="I68" s="10" t="n">
        <f aca="false">Actual!I68-Budget!I68</f>
        <v>0</v>
      </c>
      <c r="J68" s="10" t="n">
        <f aca="false">Actual!J68-Budget!J68</f>
        <v>0</v>
      </c>
      <c r="K68" s="10" t="n">
        <f aca="false">Actual!K68-Budget!K68</f>
        <v>0</v>
      </c>
      <c r="L68" s="10" t="n">
        <f aca="false">Actual!L68-Budget!L68</f>
        <v>0</v>
      </c>
      <c r="M68" s="10" t="n">
        <f aca="false">Actual!M68-Budget!M68</f>
        <v>0</v>
      </c>
      <c r="N68" s="10" t="n">
        <f aca="false">Actual!N68-Budget!N68</f>
        <v>0</v>
      </c>
      <c r="O68" s="10" t="n">
        <f aca="false">Actual!O68-Budget!O68</f>
        <v>0</v>
      </c>
      <c r="P68" s="10" t="n">
        <f aca="false">Actual!P68-Budget!P68</f>
        <v>0</v>
      </c>
    </row>
    <row r="69" customFormat="false" ht="15" hidden="false" customHeight="false" outlineLevel="0" collapsed="false">
      <c r="A69" s="4" t="str">
        <f aca="false">Budget!A69</f>
        <v>Utilities</v>
      </c>
      <c r="B69" s="4" t="str">
        <f aca="false">Budget!B69</f>
        <v>Premises</v>
      </c>
      <c r="C69" s="4" t="str">
        <f aca="false">Budget!C69</f>
        <v>IT</v>
      </c>
      <c r="D69" s="10" t="n">
        <f aca="false">Actual!D69-Budget!D69</f>
        <v>0</v>
      </c>
      <c r="E69" s="10" t="n">
        <f aca="false">Actual!E69-Budget!E69</f>
        <v>0</v>
      </c>
      <c r="F69" s="10" t="n">
        <f aca="false">Actual!F69-Budget!F69</f>
        <v>0</v>
      </c>
      <c r="G69" s="10" t="n">
        <f aca="false">Actual!G69-Budget!G69</f>
        <v>0</v>
      </c>
      <c r="H69" s="10" t="n">
        <f aca="false">Actual!H69-Budget!H69</f>
        <v>0</v>
      </c>
      <c r="I69" s="10" t="n">
        <f aca="false">Actual!I69-Budget!I69</f>
        <v>0</v>
      </c>
      <c r="J69" s="10" t="n">
        <f aca="false">Actual!J69-Budget!J69</f>
        <v>0</v>
      </c>
      <c r="K69" s="10" t="n">
        <f aca="false">Actual!K69-Budget!K69</f>
        <v>0</v>
      </c>
      <c r="L69" s="10" t="n">
        <f aca="false">Actual!L69-Budget!L69</f>
        <v>0</v>
      </c>
      <c r="M69" s="10" t="n">
        <f aca="false">Actual!M69-Budget!M69</f>
        <v>0</v>
      </c>
      <c r="N69" s="10" t="n">
        <f aca="false">Actual!N69-Budget!N69</f>
        <v>0</v>
      </c>
      <c r="O69" s="10" t="n">
        <f aca="false">Actual!O69-Budget!O69</f>
        <v>0</v>
      </c>
      <c r="P69" s="10" t="n">
        <f aca="false">Actual!P69-Budget!P69</f>
        <v>0</v>
      </c>
    </row>
    <row r="70" customFormat="false" ht="15" hidden="false" customHeight="false" outlineLevel="0" collapsed="false">
      <c r="A70" s="4" t="str">
        <f aca="false">Budget!A70</f>
        <v>Repairs and maintenance</v>
      </c>
      <c r="B70" s="4" t="str">
        <f aca="false">Budget!B70</f>
        <v>Premises</v>
      </c>
      <c r="C70" s="4" t="str">
        <f aca="false">Budget!C70</f>
        <v>IT</v>
      </c>
      <c r="D70" s="10" t="n">
        <f aca="false">Actual!D70-Budget!D70</f>
        <v>0</v>
      </c>
      <c r="E70" s="10" t="n">
        <f aca="false">Actual!E70-Budget!E70</f>
        <v>0</v>
      </c>
      <c r="F70" s="10" t="n">
        <f aca="false">Actual!F70-Budget!F70</f>
        <v>0</v>
      </c>
      <c r="G70" s="10" t="n">
        <f aca="false">Actual!G70-Budget!G70</f>
        <v>0</v>
      </c>
      <c r="H70" s="10" t="n">
        <f aca="false">Actual!H70-Budget!H70</f>
        <v>0</v>
      </c>
      <c r="I70" s="10" t="n">
        <f aca="false">Actual!I70-Budget!I70</f>
        <v>0</v>
      </c>
      <c r="J70" s="10" t="n">
        <f aca="false">Actual!J70-Budget!J70</f>
        <v>0</v>
      </c>
      <c r="K70" s="10" t="n">
        <f aca="false">Actual!K70-Budget!K70</f>
        <v>0</v>
      </c>
      <c r="L70" s="10" t="n">
        <f aca="false">Actual!L70-Budget!L70</f>
        <v>0</v>
      </c>
      <c r="M70" s="10" t="n">
        <f aca="false">Actual!M70-Budget!M70</f>
        <v>0</v>
      </c>
      <c r="N70" s="10" t="n">
        <f aca="false">Actual!N70-Budget!N70</f>
        <v>0</v>
      </c>
      <c r="O70" s="10" t="n">
        <f aca="false">Actual!O70-Budget!O70</f>
        <v>0</v>
      </c>
      <c r="P70" s="10" t="n">
        <f aca="false">Actual!P70-Budget!P70</f>
        <v>0</v>
      </c>
    </row>
    <row r="71" customFormat="false" ht="15" hidden="false" customHeight="false" outlineLevel="0" collapsed="false">
      <c r="A71" s="4" t="str">
        <f aca="false">Budget!A71</f>
        <v>Software licences</v>
      </c>
      <c r="B71" s="4" t="str">
        <f aca="false">Budget!B71</f>
        <v>Technology</v>
      </c>
      <c r="C71" s="4" t="str">
        <f aca="false">Budget!C71</f>
        <v>IT</v>
      </c>
      <c r="D71" s="10" t="n">
        <f aca="false">Actual!D71-Budget!D71</f>
        <v>0</v>
      </c>
      <c r="E71" s="10" t="n">
        <f aca="false">Actual!E71-Budget!E71</f>
        <v>0</v>
      </c>
      <c r="F71" s="10" t="n">
        <f aca="false">Actual!F71-Budget!F71</f>
        <v>0</v>
      </c>
      <c r="G71" s="10" t="n">
        <f aca="false">Actual!G71-Budget!G71</f>
        <v>0</v>
      </c>
      <c r="H71" s="10" t="n">
        <f aca="false">Actual!H71-Budget!H71</f>
        <v>0</v>
      </c>
      <c r="I71" s="10" t="n">
        <f aca="false">Actual!I71-Budget!I71</f>
        <v>0</v>
      </c>
      <c r="J71" s="10" t="n">
        <f aca="false">Actual!J71-Budget!J71</f>
        <v>0</v>
      </c>
      <c r="K71" s="10" t="n">
        <f aca="false">Actual!K71-Budget!K71</f>
        <v>0</v>
      </c>
      <c r="L71" s="10" t="n">
        <f aca="false">Actual!L71-Budget!L71</f>
        <v>0</v>
      </c>
      <c r="M71" s="10" t="n">
        <f aca="false">Actual!M71-Budget!M71</f>
        <v>0</v>
      </c>
      <c r="N71" s="10" t="n">
        <f aca="false">Actual!N71-Budget!N71</f>
        <v>0</v>
      </c>
      <c r="O71" s="10" t="n">
        <f aca="false">Actual!O71-Budget!O71</f>
        <v>0</v>
      </c>
      <c r="P71" s="10" t="n">
        <f aca="false">Actual!P71-Budget!P71</f>
        <v>0</v>
      </c>
    </row>
    <row r="72" customFormat="false" ht="15" hidden="false" customHeight="false" outlineLevel="0" collapsed="false">
      <c r="A72" s="4" t="str">
        <f aca="false">Budget!A72</f>
        <v>Hardware</v>
      </c>
      <c r="B72" s="4" t="str">
        <f aca="false">Budget!B72</f>
        <v>Technology</v>
      </c>
      <c r="C72" s="4" t="str">
        <f aca="false">Budget!C72</f>
        <v>IT</v>
      </c>
      <c r="D72" s="10" t="n">
        <f aca="false">Actual!D72-Budget!D72</f>
        <v>0</v>
      </c>
      <c r="E72" s="10" t="n">
        <f aca="false">Actual!E72-Budget!E72</f>
        <v>0</v>
      </c>
      <c r="F72" s="10" t="n">
        <f aca="false">Actual!F72-Budget!F72</f>
        <v>0</v>
      </c>
      <c r="G72" s="10" t="n">
        <f aca="false">Actual!G72-Budget!G72</f>
        <v>0</v>
      </c>
      <c r="H72" s="10" t="n">
        <f aca="false">Actual!H72-Budget!H72</f>
        <v>0</v>
      </c>
      <c r="I72" s="10" t="n">
        <f aca="false">Actual!I72-Budget!I72</f>
        <v>0</v>
      </c>
      <c r="J72" s="10" t="n">
        <f aca="false">Actual!J72-Budget!J72</f>
        <v>0</v>
      </c>
      <c r="K72" s="10" t="n">
        <f aca="false">Actual!K72-Budget!K72</f>
        <v>0</v>
      </c>
      <c r="L72" s="10" t="n">
        <f aca="false">Actual!L72-Budget!L72</f>
        <v>0</v>
      </c>
      <c r="M72" s="10" t="n">
        <f aca="false">Actual!M72-Budget!M72</f>
        <v>0</v>
      </c>
      <c r="N72" s="10" t="n">
        <f aca="false">Actual!N72-Budget!N72</f>
        <v>0</v>
      </c>
      <c r="O72" s="10" t="n">
        <f aca="false">Actual!O72-Budget!O72</f>
        <v>0</v>
      </c>
      <c r="P72" s="10" t="n">
        <f aca="false">Actual!P72-Budget!P72</f>
        <v>0</v>
      </c>
    </row>
    <row r="73" customFormat="false" ht="15" hidden="false" customHeight="false" outlineLevel="0" collapsed="false">
      <c r="A73" s="4" t="str">
        <f aca="false">Budget!A73</f>
        <v>Advertising</v>
      </c>
      <c r="B73" s="4" t="str">
        <f aca="false">Budget!B73</f>
        <v>Marketing</v>
      </c>
      <c r="C73" s="4" t="str">
        <f aca="false">Budget!C73</f>
        <v>IT</v>
      </c>
      <c r="D73" s="10" t="n">
        <f aca="false">Actual!D73-Budget!D73</f>
        <v>0</v>
      </c>
      <c r="E73" s="10" t="n">
        <f aca="false">Actual!E73-Budget!E73</f>
        <v>0</v>
      </c>
      <c r="F73" s="10" t="n">
        <f aca="false">Actual!F73-Budget!F73</f>
        <v>0</v>
      </c>
      <c r="G73" s="10" t="n">
        <f aca="false">Actual!G73-Budget!G73</f>
        <v>0</v>
      </c>
      <c r="H73" s="10" t="n">
        <f aca="false">Actual!H73-Budget!H73</f>
        <v>0</v>
      </c>
      <c r="I73" s="10" t="n">
        <f aca="false">Actual!I73-Budget!I73</f>
        <v>0</v>
      </c>
      <c r="J73" s="10" t="n">
        <f aca="false">Actual!J73-Budget!J73</f>
        <v>0</v>
      </c>
      <c r="K73" s="10" t="n">
        <f aca="false">Actual!K73-Budget!K73</f>
        <v>0</v>
      </c>
      <c r="L73" s="10" t="n">
        <f aca="false">Actual!L73-Budget!L73</f>
        <v>0</v>
      </c>
      <c r="M73" s="10" t="n">
        <f aca="false">Actual!M73-Budget!M73</f>
        <v>0</v>
      </c>
      <c r="N73" s="10" t="n">
        <f aca="false">Actual!N73-Budget!N73</f>
        <v>0</v>
      </c>
      <c r="O73" s="10" t="n">
        <f aca="false">Actual!O73-Budget!O73</f>
        <v>0</v>
      </c>
      <c r="P73" s="10" t="n">
        <f aca="false">Actual!P73-Budget!P73</f>
        <v>0</v>
      </c>
    </row>
    <row r="74" customFormat="false" ht="15" hidden="false" customHeight="false" outlineLevel="0" collapsed="false">
      <c r="A74" s="4" t="str">
        <f aca="false">Budget!A74</f>
        <v>Travel and entertainment</v>
      </c>
      <c r="B74" s="4" t="str">
        <f aca="false">Budget!B74</f>
        <v>Other</v>
      </c>
      <c r="C74" s="4" t="str">
        <f aca="false">Budget!C74</f>
        <v>IT</v>
      </c>
      <c r="D74" s="10" t="n">
        <f aca="false">Actual!D74-Budget!D74</f>
        <v>0</v>
      </c>
      <c r="E74" s="10" t="n">
        <f aca="false">Actual!E74-Budget!E74</f>
        <v>0</v>
      </c>
      <c r="F74" s="10" t="n">
        <f aca="false">Actual!F74-Budget!F74</f>
        <v>0</v>
      </c>
      <c r="G74" s="10" t="n">
        <f aca="false">Actual!G74-Budget!G74</f>
        <v>0</v>
      </c>
      <c r="H74" s="10" t="n">
        <f aca="false">Actual!H74-Budget!H74</f>
        <v>0</v>
      </c>
      <c r="I74" s="10" t="n">
        <f aca="false">Actual!I74-Budget!I74</f>
        <v>0</v>
      </c>
      <c r="J74" s="10" t="n">
        <f aca="false">Actual!J74-Budget!J74</f>
        <v>0</v>
      </c>
      <c r="K74" s="10" t="n">
        <f aca="false">Actual!K74-Budget!K74</f>
        <v>0</v>
      </c>
      <c r="L74" s="10" t="n">
        <f aca="false">Actual!L74-Budget!L74</f>
        <v>0</v>
      </c>
      <c r="M74" s="10" t="n">
        <f aca="false">Actual!M74-Budget!M74</f>
        <v>0</v>
      </c>
      <c r="N74" s="10" t="n">
        <f aca="false">Actual!N74-Budget!N74</f>
        <v>0</v>
      </c>
      <c r="O74" s="10" t="n">
        <f aca="false">Actual!O74-Budget!O74</f>
        <v>0</v>
      </c>
      <c r="P74" s="10" t="n">
        <f aca="false">Actual!P74-Budget!P74</f>
        <v>0</v>
      </c>
    </row>
    <row r="75" customFormat="false" ht="15" hidden="false" customHeight="false" outlineLevel="0" collapsed="false">
      <c r="A75" s="4" t="str">
        <f aca="false">Budget!A75</f>
        <v>Professional fees</v>
      </c>
      <c r="B75" s="4" t="str">
        <f aca="false">Budget!B75</f>
        <v>Other</v>
      </c>
      <c r="C75" s="4" t="str">
        <f aca="false">Budget!C75</f>
        <v>IT</v>
      </c>
      <c r="D75" s="10" t="n">
        <f aca="false">Actual!D75-Budget!D75</f>
        <v>0</v>
      </c>
      <c r="E75" s="10" t="n">
        <f aca="false">Actual!E75-Budget!E75</f>
        <v>0</v>
      </c>
      <c r="F75" s="10" t="n">
        <f aca="false">Actual!F75-Budget!F75</f>
        <v>0</v>
      </c>
      <c r="G75" s="10" t="n">
        <f aca="false">Actual!G75-Budget!G75</f>
        <v>0</v>
      </c>
      <c r="H75" s="10" t="n">
        <f aca="false">Actual!H75-Budget!H75</f>
        <v>0</v>
      </c>
      <c r="I75" s="10" t="n">
        <f aca="false">Actual!I75-Budget!I75</f>
        <v>0</v>
      </c>
      <c r="J75" s="10" t="n">
        <f aca="false">Actual!J75-Budget!J75</f>
        <v>0</v>
      </c>
      <c r="K75" s="10" t="n">
        <f aca="false">Actual!K75-Budget!K75</f>
        <v>0</v>
      </c>
      <c r="L75" s="10" t="n">
        <f aca="false">Actual!L75-Budget!L75</f>
        <v>0</v>
      </c>
      <c r="M75" s="10" t="n">
        <f aca="false">Actual!M75-Budget!M75</f>
        <v>0</v>
      </c>
      <c r="N75" s="10" t="n">
        <f aca="false">Actual!N75-Budget!N75</f>
        <v>0</v>
      </c>
      <c r="O75" s="10" t="n">
        <f aca="false">Actual!O75-Budget!O75</f>
        <v>0</v>
      </c>
      <c r="P75" s="10" t="n">
        <f aca="false">Actual!P75-Budget!P75</f>
        <v>0</v>
      </c>
    </row>
    <row r="76" customFormat="false" ht="15" hidden="false" customHeight="false" outlineLevel="0" collapsed="false">
      <c r="A76" s="4" t="str">
        <f aca="false">Budget!A76</f>
        <v>Office supplies</v>
      </c>
      <c r="B76" s="4" t="str">
        <f aca="false">Budget!B76</f>
        <v>Other</v>
      </c>
      <c r="C76" s="4" t="str">
        <f aca="false">Budget!C76</f>
        <v>IT</v>
      </c>
      <c r="D76" s="10" t="n">
        <f aca="false">Actual!D76-Budget!D76</f>
        <v>0</v>
      </c>
      <c r="E76" s="10" t="n">
        <f aca="false">Actual!E76-Budget!E76</f>
        <v>0</v>
      </c>
      <c r="F76" s="10" t="n">
        <f aca="false">Actual!F76-Budget!F76</f>
        <v>0</v>
      </c>
      <c r="G76" s="10" t="n">
        <f aca="false">Actual!G76-Budget!G76</f>
        <v>0</v>
      </c>
      <c r="H76" s="10" t="n">
        <f aca="false">Actual!H76-Budget!H76</f>
        <v>0</v>
      </c>
      <c r="I76" s="10" t="n">
        <f aca="false">Actual!I76-Budget!I76</f>
        <v>0</v>
      </c>
      <c r="J76" s="10" t="n">
        <f aca="false">Actual!J76-Budget!J76</f>
        <v>0</v>
      </c>
      <c r="K76" s="10" t="n">
        <f aca="false">Actual!K76-Budget!K76</f>
        <v>0</v>
      </c>
      <c r="L76" s="10" t="n">
        <f aca="false">Actual!L76-Budget!L76</f>
        <v>0</v>
      </c>
      <c r="M76" s="10" t="n">
        <f aca="false">Actual!M76-Budget!M76</f>
        <v>0</v>
      </c>
      <c r="N76" s="10" t="n">
        <f aca="false">Actual!N76-Budget!N76</f>
        <v>0</v>
      </c>
      <c r="O76" s="10" t="n">
        <f aca="false">Actual!O76-Budget!O76</f>
        <v>0</v>
      </c>
      <c r="P76" s="10" t="n">
        <f aca="false">Actual!P76-Budget!P76</f>
        <v>0</v>
      </c>
    </row>
    <row r="77" customFormat="false" ht="15" hidden="false" customHeight="false" outlineLevel="0" collapsed="false">
      <c r="A77" s="7" t="s">
        <v>46</v>
      </c>
      <c r="B77" s="8"/>
      <c r="C77" s="8"/>
      <c r="D77" s="9" t="n">
        <f aca="false">SUM(D5:D76)</f>
        <v>0</v>
      </c>
      <c r="E77" s="9" t="n">
        <f aca="false">SUM(E5:E76)</f>
        <v>0</v>
      </c>
      <c r="F77" s="9" t="n">
        <f aca="false">SUM(F5:F76)</f>
        <v>0</v>
      </c>
      <c r="G77" s="9" t="n">
        <f aca="false">SUM(G5:G76)</f>
        <v>0</v>
      </c>
      <c r="H77" s="9" t="n">
        <f aca="false">SUM(H5:H76)</f>
        <v>0</v>
      </c>
      <c r="I77" s="9" t="n">
        <f aca="false">SUM(I5:I76)</f>
        <v>0</v>
      </c>
      <c r="J77" s="9" t="n">
        <f aca="false">SUM(J5:J76)</f>
        <v>0</v>
      </c>
      <c r="K77" s="9" t="n">
        <f aca="false">SUM(K5:K76)</f>
        <v>0</v>
      </c>
      <c r="L77" s="9" t="n">
        <f aca="false">SUM(L5:L76)</f>
        <v>0</v>
      </c>
      <c r="M77" s="9" t="n">
        <f aca="false">SUM(M5:M76)</f>
        <v>0</v>
      </c>
      <c r="N77" s="9" t="n">
        <f aca="false">SUM(N5:N76)</f>
        <v>0</v>
      </c>
      <c r="O77" s="9" t="n">
        <f aca="false">SUM(O5:O76)</f>
        <v>0</v>
      </c>
      <c r="P77" s="9" t="n">
        <f aca="false">SUM(P5:P76)</f>
        <v>0</v>
      </c>
    </row>
  </sheetData>
  <mergeCells count="2">
    <mergeCell ref="A1:O1"/>
    <mergeCell ref="A2:O2"/>
  </mergeCells>
  <conditionalFormatting sqref="D5:P76">
    <cfRule type="cellIs" priority="2" operator="greaterThan" aboveAverage="0" equalAverage="0" bottom="0" percent="0" rank="0" text="" dxfId="4">
      <formula>0</formula>
    </cfRule>
    <cfRule type="cellIs" priority="3" operator="less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6" min="5" style="0" width="12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48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1" t="s">
        <v>49</v>
      </c>
      <c r="C4" s="12" t="n">
        <v>4</v>
      </c>
      <c r="D4" s="13" t="s">
        <v>50</v>
      </c>
    </row>
    <row r="6" customFormat="false" ht="15" hidden="false" customHeight="false" outlineLevel="0" collapsed="false">
      <c r="A6" s="11" t="s">
        <v>51</v>
      </c>
    </row>
    <row r="7" customFormat="false" ht="24" hidden="false" customHeight="true" outlineLevel="0" collapsed="false">
      <c r="A7" s="3" t="s">
        <v>4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</row>
    <row r="8" customFormat="false" ht="15" hidden="false" customHeight="false" outlineLevel="0" collapsed="false">
      <c r="A8" s="14" t="s">
        <v>20</v>
      </c>
      <c r="B8" s="10" t="n">
        <f aca="false">SUMPRODUCT((Budget!$C$5:$C$76=A8)*Budget!$D$5:$O$76*(COLUMN(Budget!$D$5:$O$5)-COLUMN(Budget!$D$5)&lt;$C$4))</f>
        <v>0</v>
      </c>
      <c r="C8" s="10" t="n">
        <f aca="false">SUMPRODUCT((Actual!$C$5:$C$76=A8)*Actual!$D$5:$O$76*(COLUMN(Actual!$D$5:$O$5)-COLUMN(Actual!$D$5)&lt;$C$4))</f>
        <v>0</v>
      </c>
      <c r="D8" s="10" t="n">
        <f aca="false">C8-B8</f>
        <v>0</v>
      </c>
      <c r="E8" s="15" t="n">
        <f aca="false">IF(B8=0,0,D8/B8)</f>
        <v>0</v>
      </c>
      <c r="F8" s="14" t="str">
        <f aca="false">IF(B8=0,"No budget",IF(E8&gt;0.1,"Over",IF(E8&lt;-0.1,"Under","On track")))</f>
        <v>No budget</v>
      </c>
    </row>
    <row r="9" customFormat="false" ht="15" hidden="false" customHeight="false" outlineLevel="0" collapsed="false">
      <c r="A9" s="14" t="s">
        <v>31</v>
      </c>
      <c r="B9" s="10" t="n">
        <f aca="false">SUMPRODUCT((Budget!$C$5:$C$76=A9)*Budget!$D$5:$O$76*(COLUMN(Budget!$D$5:$O$5)-COLUMN(Budget!$D$5)&lt;$C$4))</f>
        <v>0</v>
      </c>
      <c r="C9" s="10" t="n">
        <f aca="false">SUMPRODUCT((Actual!$C$5:$C$76=A9)*Actual!$D$5:$O$76*(COLUMN(Actual!$D$5:$O$5)-COLUMN(Actual!$D$5)&lt;$C$4))</f>
        <v>0</v>
      </c>
      <c r="D9" s="10" t="n">
        <f aca="false">C9-B9</f>
        <v>0</v>
      </c>
      <c r="E9" s="15" t="n">
        <f aca="false">IF(B9=0,0,D9/B9)</f>
        <v>0</v>
      </c>
      <c r="F9" s="14" t="str">
        <f aca="false">IF(B9=0,"No budget",IF(E9&gt;0.1,"Over",IF(E9&lt;-0.1,"Under","On track")))</f>
        <v>No budget</v>
      </c>
    </row>
    <row r="10" customFormat="false" ht="15" hidden="false" customHeight="false" outlineLevel="0" collapsed="false">
      <c r="A10" s="14" t="s">
        <v>36</v>
      </c>
      <c r="B10" s="10" t="n">
        <f aca="false">SUMPRODUCT((Budget!$C$5:$C$76=A10)*Budget!$D$5:$O$76*(COLUMN(Budget!$D$5:$O$5)-COLUMN(Budget!$D$5)&lt;$C$4))</f>
        <v>0</v>
      </c>
      <c r="C10" s="10" t="n">
        <f aca="false">SUMPRODUCT((Actual!$C$5:$C$76=A10)*Actual!$D$5:$O$76*(COLUMN(Actual!$D$5:$O$5)-COLUMN(Actual!$D$5)&lt;$C$4))</f>
        <v>0</v>
      </c>
      <c r="D10" s="10" t="n">
        <f aca="false">C10-B10</f>
        <v>0</v>
      </c>
      <c r="E10" s="15" t="n">
        <f aca="false">IF(B10=0,0,D10/B10)</f>
        <v>0</v>
      </c>
      <c r="F10" s="14" t="str">
        <f aca="false">IF(B10=0,"No budget",IF(E10&gt;0.1,"Over",IF(E10&lt;-0.1,"Under","On track")))</f>
        <v>No budget</v>
      </c>
    </row>
    <row r="11" customFormat="false" ht="15" hidden="false" customHeight="false" outlineLevel="0" collapsed="false">
      <c r="A11" s="14" t="s">
        <v>37</v>
      </c>
      <c r="B11" s="10" t="n">
        <f aca="false">SUMPRODUCT((Budget!$C$5:$C$76=A11)*Budget!$D$5:$O$76*(COLUMN(Budget!$D$5:$O$5)-COLUMN(Budget!$D$5)&lt;$C$4))</f>
        <v>0</v>
      </c>
      <c r="C11" s="10" t="n">
        <f aca="false">SUMPRODUCT((Actual!$C$5:$C$76=A11)*Actual!$D$5:$O$76*(COLUMN(Actual!$D$5:$O$5)-COLUMN(Actual!$D$5)&lt;$C$4))</f>
        <v>0</v>
      </c>
      <c r="D11" s="10" t="n">
        <f aca="false">C11-B11</f>
        <v>0</v>
      </c>
      <c r="E11" s="15" t="n">
        <f aca="false">IF(B11=0,0,D11/B11)</f>
        <v>0</v>
      </c>
      <c r="F11" s="14" t="str">
        <f aca="false">IF(B11=0,"No budget",IF(E11&gt;0.1,"Over",IF(E11&lt;-0.1,"Under","On track")))</f>
        <v>No budget</v>
      </c>
    </row>
    <row r="12" customFormat="false" ht="15" hidden="false" customHeight="false" outlineLevel="0" collapsed="false">
      <c r="A12" s="14" t="s">
        <v>38</v>
      </c>
      <c r="B12" s="10" t="n">
        <f aca="false">SUMPRODUCT((Budget!$C$5:$C$76=A12)*Budget!$D$5:$O$76*(COLUMN(Budget!$D$5:$O$5)-COLUMN(Budget!$D$5)&lt;$C$4))</f>
        <v>0</v>
      </c>
      <c r="C12" s="10" t="n">
        <f aca="false">SUMPRODUCT((Actual!$C$5:$C$76=A12)*Actual!$D$5:$O$76*(COLUMN(Actual!$D$5:$O$5)-COLUMN(Actual!$D$5)&lt;$C$4))</f>
        <v>0</v>
      </c>
      <c r="D12" s="10" t="n">
        <f aca="false">C12-B12</f>
        <v>0</v>
      </c>
      <c r="E12" s="15" t="n">
        <f aca="false">IF(B12=0,0,D12/B12)</f>
        <v>0</v>
      </c>
      <c r="F12" s="14" t="str">
        <f aca="false">IF(B12=0,"No budget",IF(E12&gt;0.1,"Over",IF(E12&lt;-0.1,"Under","On track")))</f>
        <v>No budget</v>
      </c>
    </row>
    <row r="13" customFormat="false" ht="15" hidden="false" customHeight="false" outlineLevel="0" collapsed="false">
      <c r="A13" s="14" t="s">
        <v>39</v>
      </c>
      <c r="B13" s="10" t="n">
        <f aca="false">SUMPRODUCT((Budget!$C$5:$C$76=A13)*Budget!$D$5:$O$76*(COLUMN(Budget!$D$5:$O$5)-COLUMN(Budget!$D$5)&lt;$C$4))</f>
        <v>0</v>
      </c>
      <c r="C13" s="10" t="n">
        <f aca="false">SUMPRODUCT((Actual!$C$5:$C$76=A13)*Actual!$D$5:$O$76*(COLUMN(Actual!$D$5:$O$5)-COLUMN(Actual!$D$5)&lt;$C$4))</f>
        <v>0</v>
      </c>
      <c r="D13" s="10" t="n">
        <f aca="false">C13-B13</f>
        <v>0</v>
      </c>
      <c r="E13" s="15" t="n">
        <f aca="false">IF(B13=0,0,D13/B13)</f>
        <v>0</v>
      </c>
      <c r="F13" s="14" t="str">
        <f aca="false">IF(B13=0,"No budget",IF(E13&gt;0.1,"Over",IF(E13&lt;-0.1,"Under","On track")))</f>
        <v>No budget</v>
      </c>
    </row>
    <row r="14" customFormat="false" ht="15" hidden="false" customHeight="false" outlineLevel="0" collapsed="false">
      <c r="A14" s="7" t="s">
        <v>57</v>
      </c>
      <c r="B14" s="9" t="n">
        <f aca="false">SUM(B8:B13)</f>
        <v>0</v>
      </c>
      <c r="C14" s="9" t="n">
        <f aca="false">SUM(C8:C13)</f>
        <v>0</v>
      </c>
      <c r="D14" s="9" t="n">
        <f aca="false">SUM(D8:D13)</f>
        <v>0</v>
      </c>
      <c r="E14" s="16" t="n">
        <f aca="false">IF(B14=0,0,D14/B14)</f>
        <v>0</v>
      </c>
      <c r="F14" s="8"/>
    </row>
    <row r="16" customFormat="false" ht="15" hidden="false" customHeight="false" outlineLevel="0" collapsed="false">
      <c r="A16" s="11" t="s">
        <v>58</v>
      </c>
    </row>
    <row r="17" customFormat="false" ht="24" hidden="false" customHeight="true" outlineLevel="0" collapsed="false">
      <c r="A17" s="3" t="s">
        <v>3</v>
      </c>
      <c r="B17" s="3" t="s">
        <v>59</v>
      </c>
      <c r="C17" s="3" t="s">
        <v>60</v>
      </c>
      <c r="D17" s="3" t="s">
        <v>54</v>
      </c>
      <c r="E17" s="3" t="s">
        <v>55</v>
      </c>
      <c r="F17" s="3"/>
    </row>
    <row r="18" customFormat="false" ht="15" hidden="false" customHeight="false" outlineLevel="0" collapsed="false">
      <c r="A18" s="14" t="s">
        <v>19</v>
      </c>
      <c r="B18" s="10" t="n">
        <f aca="false">SUMIFS(Budget!$O$5:$O$76,Budget!$B$5:$B$76,A18)</f>
        <v>0</v>
      </c>
      <c r="C18" s="10" t="n">
        <f aca="false">SUMIFS(Actual!$O$5:$O$76,Actual!$B$5:$B$76,A18)</f>
        <v>0</v>
      </c>
      <c r="D18" s="10" t="n">
        <f aca="false">C18-B18</f>
        <v>0</v>
      </c>
      <c r="E18" s="15" t="n">
        <f aca="false">IF(B18=0,0,D18/B18)</f>
        <v>0</v>
      </c>
    </row>
    <row r="19" customFormat="false" ht="15" hidden="false" customHeight="false" outlineLevel="0" collapsed="false">
      <c r="A19" s="14" t="s">
        <v>24</v>
      </c>
      <c r="B19" s="10" t="n">
        <f aca="false">SUMIFS(Budget!$O$5:$O$76,Budget!$B$5:$B$76,A19)</f>
        <v>0</v>
      </c>
      <c r="C19" s="10" t="n">
        <f aca="false">SUMIFS(Actual!$O$5:$O$76,Actual!$B$5:$B$76,A19)</f>
        <v>0</v>
      </c>
      <c r="D19" s="10" t="n">
        <f aca="false">C19-B19</f>
        <v>0</v>
      </c>
      <c r="E19" s="15" t="n">
        <f aca="false">IF(B19=0,0,D19/B19)</f>
        <v>0</v>
      </c>
    </row>
    <row r="20" customFormat="false" ht="15" hidden="false" customHeight="false" outlineLevel="0" collapsed="false">
      <c r="A20" s="14" t="s">
        <v>28</v>
      </c>
      <c r="B20" s="10" t="n">
        <f aca="false">SUMIFS(Budget!$O$5:$O$76,Budget!$B$5:$B$76,A20)</f>
        <v>0</v>
      </c>
      <c r="C20" s="10" t="n">
        <f aca="false">SUMIFS(Actual!$O$5:$O$76,Actual!$B$5:$B$76,A20)</f>
        <v>0</v>
      </c>
      <c r="D20" s="10" t="n">
        <f aca="false">C20-B20</f>
        <v>0</v>
      </c>
      <c r="E20" s="15" t="n">
        <f aca="false">IF(B20=0,0,D20/B20)</f>
        <v>0</v>
      </c>
    </row>
    <row r="21" customFormat="false" ht="15" hidden="false" customHeight="false" outlineLevel="0" collapsed="false">
      <c r="A21" s="14" t="s">
        <v>31</v>
      </c>
      <c r="B21" s="10" t="n">
        <f aca="false">SUMIFS(Budget!$O$5:$O$76,Budget!$B$5:$B$76,A21)</f>
        <v>0</v>
      </c>
      <c r="C21" s="10" t="n">
        <f aca="false">SUMIFS(Actual!$O$5:$O$76,Actual!$B$5:$B$76,A21)</f>
        <v>0</v>
      </c>
      <c r="D21" s="10" t="n">
        <f aca="false">C21-B21</f>
        <v>0</v>
      </c>
      <c r="E21" s="15" t="n">
        <f aca="false">IF(B21=0,0,D21/B21)</f>
        <v>0</v>
      </c>
    </row>
    <row r="22" customFormat="false" ht="15" hidden="false" customHeight="false" outlineLevel="0" collapsed="false">
      <c r="A22" s="14" t="s">
        <v>33</v>
      </c>
      <c r="B22" s="10" t="n">
        <f aca="false">SUMIFS(Budget!$O$5:$O$76,Budget!$B$5:$B$76,A22)</f>
        <v>0</v>
      </c>
      <c r="C22" s="10" t="n">
        <f aca="false">SUMIFS(Actual!$O$5:$O$76,Actual!$B$5:$B$76,A22)</f>
        <v>0</v>
      </c>
      <c r="D22" s="10" t="n">
        <f aca="false">C22-B22</f>
        <v>0</v>
      </c>
      <c r="E22" s="15" t="n">
        <f aca="false">IF(B22=0,0,D22/B22)</f>
        <v>0</v>
      </c>
    </row>
    <row r="23" customFormat="false" ht="15" hidden="false" customHeight="false" outlineLevel="0" collapsed="false">
      <c r="A23" s="7" t="s">
        <v>57</v>
      </c>
      <c r="B23" s="9" t="n">
        <f aca="false">SUM(B18:B22)</f>
        <v>0</v>
      </c>
      <c r="C23" s="9" t="n">
        <f aca="false">SUM(C18:C22)</f>
        <v>0</v>
      </c>
      <c r="D23" s="9" t="n">
        <f aca="false">SUM(D18:D22)</f>
        <v>0</v>
      </c>
      <c r="E23" s="16" t="n">
        <f aca="false">IF(B23=0,0,D23/B23)</f>
        <v>0</v>
      </c>
    </row>
    <row r="25" customFormat="false" ht="15" hidden="false" customHeight="false" outlineLevel="0" collapsed="false">
      <c r="A25" s="13" t="s">
        <v>61</v>
      </c>
    </row>
  </sheetData>
  <mergeCells count="2">
    <mergeCell ref="A1:G1"/>
    <mergeCell ref="A2:G2"/>
  </mergeCells>
  <conditionalFormatting sqref="F8:F13">
    <cfRule type="expression" priority="2" aboveAverage="0" equalAverage="0" bottom="0" percent="0" rank="0" text="" dxfId="6">
      <formula>$F8="Over"</formula>
    </cfRule>
    <cfRule type="expression" priority="3" aboveAverage="0" equalAverage="0" bottom="0" percent="0" rank="0" text="" dxfId="5">
      <formula>$F8="On track"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30"/>
  </cols>
  <sheetData>
    <row r="1" customFormat="false" ht="25.5" hidden="false" customHeight="true" outlineLevel="0" collapsed="false">
      <c r="A1" s="1" t="s">
        <v>62</v>
      </c>
      <c r="B1" s="1"/>
      <c r="C1" s="1"/>
    </row>
    <row r="2" customFormat="false" ht="15" hidden="false" customHeight="true" outlineLevel="0" collapsed="false">
      <c r="A2" s="2" t="s">
        <v>63</v>
      </c>
      <c r="B2" s="2"/>
      <c r="C2" s="2"/>
    </row>
    <row r="4" customFormat="false" ht="15" hidden="false" customHeight="true" outlineLevel="0" collapsed="false">
      <c r="A4" s="17" t="s">
        <v>64</v>
      </c>
      <c r="B4" s="17"/>
      <c r="C4" s="17"/>
    </row>
    <row r="5" customFormat="false" ht="33.75" hidden="false" customHeight="true" outlineLevel="0" collapsed="false">
      <c r="A5" s="18" t="s">
        <v>65</v>
      </c>
      <c r="B5" s="18"/>
      <c r="C5" s="18"/>
    </row>
    <row r="7" customFormat="false" ht="15" hidden="false" customHeight="true" outlineLevel="0" collapsed="false">
      <c r="A7" s="17" t="s">
        <v>66</v>
      </c>
      <c r="B7" s="17"/>
      <c r="C7" s="17"/>
    </row>
    <row r="8" customFormat="false" ht="33.75" hidden="false" customHeight="true" outlineLevel="0" collapsed="false">
      <c r="A8" s="18" t="s">
        <v>67</v>
      </c>
      <c r="B8" s="18"/>
      <c r="C8" s="18"/>
    </row>
    <row r="10" customFormat="false" ht="15" hidden="false" customHeight="true" outlineLevel="0" collapsed="false">
      <c r="A10" s="17" t="s">
        <v>68</v>
      </c>
      <c r="B10" s="17"/>
      <c r="C10" s="17"/>
    </row>
    <row r="11" customFormat="false" ht="33.75" hidden="false" customHeight="true" outlineLevel="0" collapsed="false">
      <c r="A11" s="18" t="s">
        <v>69</v>
      </c>
      <c r="B11" s="18"/>
      <c r="C11" s="18"/>
    </row>
    <row r="13" customFormat="false" ht="15" hidden="false" customHeight="true" outlineLevel="0" collapsed="false">
      <c r="A13" s="17" t="s">
        <v>70</v>
      </c>
      <c r="B13" s="17"/>
      <c r="C13" s="17"/>
    </row>
    <row r="14" customFormat="false" ht="33.75" hidden="false" customHeight="true" outlineLevel="0" collapsed="false">
      <c r="A14" s="18" t="s">
        <v>71</v>
      </c>
      <c r="B14" s="18"/>
      <c r="C14" s="18"/>
    </row>
    <row r="16" customFormat="false" ht="15" hidden="false" customHeight="true" outlineLevel="0" collapsed="false">
      <c r="A16" s="17" t="s">
        <v>72</v>
      </c>
      <c r="B16" s="17"/>
      <c r="C16" s="17"/>
    </row>
    <row r="17" customFormat="false" ht="33.75" hidden="false" customHeight="true" outlineLevel="0" collapsed="false">
      <c r="A17" s="18" t="s">
        <v>73</v>
      </c>
      <c r="B17" s="18"/>
      <c r="C17" s="18"/>
    </row>
    <row r="19" customFormat="false" ht="15" hidden="false" customHeight="true" outlineLevel="0" collapsed="false">
      <c r="A19" s="17" t="s">
        <v>74</v>
      </c>
      <c r="B19" s="17"/>
      <c r="C19" s="17"/>
    </row>
    <row r="20" customFormat="false" ht="33.75" hidden="false" customHeight="true" outlineLevel="0" collapsed="false">
      <c r="A20" s="18" t="s">
        <v>75</v>
      </c>
      <c r="B20" s="18"/>
      <c r="C20" s="18"/>
    </row>
  </sheetData>
  <mergeCells count="14">
    <mergeCell ref="A1:C1"/>
    <mergeCell ref="A2:C2"/>
    <mergeCell ref="A4:C4"/>
    <mergeCell ref="A5:C5"/>
    <mergeCell ref="A7:C7"/>
    <mergeCell ref="A8:C8"/>
    <mergeCell ref="A10:C10"/>
    <mergeCell ref="A11:C11"/>
    <mergeCell ref="A13:C13"/>
    <mergeCell ref="A14:C14"/>
    <mergeCell ref="A16:C16"/>
    <mergeCell ref="A17:C17"/>
    <mergeCell ref="A19:C19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2026-07-23T18:18:38Z</dcterms:created>
  <dc:creator>openpyxl</dc:creator>
  <dc:description/>
  <dc:language>en-US</dc:language>
  <cp:lastModifiedBy/>
  <dcterms:modified xsi:type="dcterms:W3CDTF">2026-07-23T18:18:38Z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