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orecast" sheetId="1" state="visible" r:id="rId3"/>
    <sheet name="Assumptions" sheetId="2" state="visible" r:id="rId4"/>
    <sheet name="Actuals" sheetId="3" state="visible" r:id="rId5"/>
    <sheet name="Read m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<sst xmlns="http://schemas.openxmlformats.org/spreadsheetml/2006/main" count="98" uniqueCount="84">
  <si>
    <t xml:space="preserve">13-Week Cash Flow Forecast</t>
  </si>
  <si>
    <t xml:space="preserve">Explore Excel  ·  exploreexcel.com  ·  Enter values in blue, everything else calculates</t>
  </si>
  <si>
    <t xml:space="preserve">Forecast start date</t>
  </si>
  <si>
    <t xml:space="preserve">Opening cash balance</t>
  </si>
  <si>
    <t xml:space="preserve">Minimum cash buffer</t>
  </si>
  <si>
    <t xml:space="preserve">Line item</t>
  </si>
  <si>
    <t xml:space="preserve">Category</t>
  </si>
  <si>
    <t xml:space="preserve">RECEIPTS</t>
  </si>
  <si>
    <t xml:space="preserve">Cash sales</t>
  </si>
  <si>
    <t xml:space="preserve">Trading</t>
  </si>
  <si>
    <t xml:space="preserve">Receipts from debtors</t>
  </si>
  <si>
    <t xml:space="preserve">Other income</t>
  </si>
  <si>
    <t xml:space="preserve">Loan drawdown</t>
  </si>
  <si>
    <t xml:space="preserve">Financing</t>
  </si>
  <si>
    <t xml:space="preserve">Asset disposals</t>
  </si>
  <si>
    <t xml:space="preserve">Investing</t>
  </si>
  <si>
    <t xml:space="preserve">Total receipts</t>
  </si>
  <si>
    <t xml:space="preserve">PAYMENTS</t>
  </si>
  <si>
    <t xml:space="preserve">Payments to suppliers</t>
  </si>
  <si>
    <t xml:space="preserve">Payroll and wages</t>
  </si>
  <si>
    <t xml:space="preserve">Rent and utilities</t>
  </si>
  <si>
    <t xml:space="preserve">Marketing</t>
  </si>
  <si>
    <t xml:space="preserve">Professional fees</t>
  </si>
  <si>
    <t xml:space="preserve">Tax payments</t>
  </si>
  <si>
    <t xml:space="preserve">Loan repayments</t>
  </si>
  <si>
    <t xml:space="preserve">Interest paid</t>
  </si>
  <si>
    <t xml:space="preserve">Capital expenditure</t>
  </si>
  <si>
    <t xml:space="preserve">Total payments</t>
  </si>
  <si>
    <t xml:space="preserve">CASH POSITION</t>
  </si>
  <si>
    <t xml:space="preserve">Opening balance</t>
  </si>
  <si>
    <t xml:space="preserve">Net movement</t>
  </si>
  <si>
    <t xml:space="preserve">Closing balance</t>
  </si>
  <si>
    <t xml:space="preserve">Headroom over buffer</t>
  </si>
  <si>
    <t xml:space="preserve">Below buffer?</t>
  </si>
  <si>
    <t xml:space="preserve">How to use this file</t>
  </si>
  <si>
    <t xml:space="preserve">Blue text</t>
  </si>
  <si>
    <t xml:space="preserve">You fill these in. Everything else calculates itself.</t>
  </si>
  <si>
    <t xml:space="preserve">Black text</t>
  </si>
  <si>
    <t xml:space="preserve">Formulas. Do not overwrite these.</t>
  </si>
  <si>
    <t xml:space="preserve">Shaded green</t>
  </si>
  <si>
    <t xml:space="preserve">Totals and calculated results.</t>
  </si>
  <si>
    <t xml:space="preserve">Note: every week header is calculated from the start date on Assumptions. Change that one date and the whole forecast shifts.</t>
  </si>
  <si>
    <t xml:space="preserve">Assumptions</t>
  </si>
  <si>
    <t xml:space="preserve">Change these. The forecast follows.</t>
  </si>
  <si>
    <t xml:space="preserve">2026-01-05</t>
  </si>
  <si>
    <t xml:space="preserve">Monday of week 1. Every column header on Forecast counts forward from here.</t>
  </si>
  <si>
    <t xml:space="preserve">Bank balance on the start date, per the statement, not the ledger.</t>
  </si>
  <si>
    <t xml:space="preserve">The level you do not want to drop below. Drives the headroom row and the red flags.</t>
  </si>
  <si>
    <t xml:space="preserve">Debtor collection assumptions</t>
  </si>
  <si>
    <t xml:space="preserve">Collected within 30 days</t>
  </si>
  <si>
    <t xml:space="preserve">Proportion of invoices settled in the first month.</t>
  </si>
  <si>
    <t xml:space="preserve">Collected in 31-60 days</t>
  </si>
  <si>
    <t xml:space="preserve">The next tranche.</t>
  </si>
  <si>
    <t xml:space="preserve">Collected in 61-90 days</t>
  </si>
  <si>
    <t xml:space="preserve">Slow payers.</t>
  </si>
  <si>
    <t xml:space="preserve">Written off</t>
  </si>
  <si>
    <t xml:space="preserve">Bad debt provision.</t>
  </si>
  <si>
    <t xml:space="preserve">Total</t>
  </si>
  <si>
    <t xml:space="preserve">Must equal 100%. If it does not, your collection profile is wrong.</t>
  </si>
  <si>
    <t xml:space="preserve">Actual vs Forecast</t>
  </si>
  <si>
    <t xml:space="preserve">Enter what really happened. Variance calculates against the forecast.</t>
  </si>
  <si>
    <t xml:space="preserve">Week ending</t>
  </si>
  <si>
    <t xml:space="preserve">Forecast closing</t>
  </si>
  <si>
    <t xml:space="preserve">Actual closing</t>
  </si>
  <si>
    <t xml:space="preserve">Variance</t>
  </si>
  <si>
    <t xml:space="preserve">Variance %</t>
  </si>
  <si>
    <t xml:space="preserve">Comment</t>
  </si>
  <si>
    <t xml:space="preserve">A variance you cannot explain is worth more attention than a large one you can.</t>
  </si>
  <si>
    <t xml:space="preserve">How this workbook works</t>
  </si>
  <si>
    <t xml:space="preserve">Explore Excel  ·  exploreexcel.com</t>
  </si>
  <si>
    <t xml:space="preserve">What this is</t>
  </si>
  <si>
    <t xml:space="preserve">A rolling thirteen-week cash forecast. Thirteen weeks because it is one quarter — far enough ahead to act on a shortfall, close enough that the numbers mean something.</t>
  </si>
  <si>
    <t xml:space="preserve">Where to start</t>
  </si>
  <si>
    <t xml:space="preserve">1. Open Assumptions and set the start date, opening balance and buffer.</t>
  </si>
  <si>
    <t xml:space="preserve">2. Go to Forecast and fill in the blue cells, week by week.</t>
  </si>
  <si>
    <t xml:space="preserve">3. Each Friday, enter the real closing balance on Actuals.</t>
  </si>
  <si>
    <t xml:space="preserve">The colour convention</t>
  </si>
  <si>
    <t xml:space="preserve">Blue text is an input. Black text is a formula. Green shading is a total. This is the standard used in financial models, so anyone in finance will read it without being told.</t>
  </si>
  <si>
    <t xml:space="preserve">What the flags mean</t>
  </si>
  <si>
    <t xml:space="preserve">A closing balance below zero turns red. Headroom below your buffer turns amber. The CHECK row flags any week where you drop under the buffer.</t>
  </si>
  <si>
    <t xml:space="preserve">Rolling it forward</t>
  </si>
  <si>
    <t xml:space="preserve">Each week, change the start date on Assumptions by seven days and update the opening balance to last week's actual closing. The whole grid shifts. That is the entire maintenance routine.</t>
  </si>
  <si>
    <t xml:space="preserve">One honest caveat</t>
  </si>
  <si>
    <t xml:space="preserve">A forecast is a set of assumptions, not a prediction. The value is in noticing early that reality has diverged from what you assumed — which is why the Actuals sheet matters more than the Forecast sheet.</t>
  </si>
</sst>
</file>

<file path=xl/styles.xml><?xml version="1.0" encoding="utf-8"?>
<styleSheet xmlns="http://schemas.openxmlformats.org/spreadsheetml/2006/main">
  <numFmts count="5">
    <numFmt numFmtId="164" formatCode="General"/>
    <numFmt numFmtId="165" formatCode="dd\-mmm\-yy"/>
    <numFmt numFmtId="166" formatCode="#,##0.00;\(#,##0.00\);\-"/>
    <numFmt numFmtId="167" formatCode="dd\-mmm"/>
    <numFmt numFmtId="168" formatCode="0.0%;\(0.0%\);\-"/>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C6E4D9"/>
      <name val="Arial"/>
      <family val="0"/>
      <charset val="1"/>
    </font>
    <font>
      <b val="true"/>
      <sz val="11"/>
      <color rgb="FF0A4A3A"/>
      <name val="Arial"/>
      <family val="0"/>
      <charset val="1"/>
    </font>
    <font>
      <sz val="10"/>
      <color rgb="FF141414"/>
      <name val="Arial"/>
      <family val="0"/>
      <charset val="1"/>
    </font>
    <font>
      <b val="true"/>
      <sz val="10"/>
      <color rgb="FFFFFFFF"/>
      <name val="Arial"/>
      <family val="0"/>
      <charset val="1"/>
    </font>
    <font>
      <sz val="10"/>
      <color rgb="FF0000FF"/>
      <name val="Arial"/>
      <family val="0"/>
      <charset val="1"/>
    </font>
    <font>
      <b val="true"/>
      <sz val="10"/>
      <color rgb="FF0A4A3A"/>
      <name val="Arial"/>
      <family val="0"/>
      <charset val="1"/>
    </font>
    <font>
      <b val="true"/>
      <sz val="10"/>
      <color rgb="FF141414"/>
      <name val="Arial"/>
      <family val="0"/>
      <charset val="1"/>
    </font>
    <font>
      <sz val="9"/>
      <color rgb="FF4A4A48"/>
      <name val="Arial"/>
      <family val="0"/>
      <charset val="1"/>
    </font>
    <font>
      <i val="true"/>
      <sz val="9"/>
      <color rgb="FF4A4A48"/>
      <name val="Arial"/>
      <family val="0"/>
      <charset val="1"/>
    </font>
  </fonts>
  <fills count="5">
    <fill>
      <patternFill patternType="none"/>
    </fill>
    <fill>
      <patternFill patternType="gray125"/>
    </fill>
    <fill>
      <patternFill patternType="solid">
        <fgColor rgb="FF0F6E56"/>
        <bgColor rgb="FF008080"/>
      </patternFill>
    </fill>
    <fill>
      <patternFill patternType="solid">
        <fgColor rgb="FFE1F5EE"/>
        <bgColor rgb="FFE4E4E0"/>
      </patternFill>
    </fill>
    <fill>
      <patternFill patternType="solid">
        <fgColor rgb="FFFFFDF0"/>
        <bgColor rgb="FFFFFFFF"/>
      </patternFill>
    </fill>
  </fills>
  <borders count="2">
    <border diagonalUp="false" diagonalDown="false">
      <left/>
      <right/>
      <top/>
      <bottom/>
      <diagonal/>
    </border>
    <border diagonalUp="false" diagonalDown="false">
      <left style="thin">
        <color rgb="FFE4E4E0"/>
      </left>
      <right style="thin">
        <color rgb="FFE4E4E0"/>
      </right>
      <top style="thin">
        <color rgb="FFE4E4E0"/>
      </top>
      <bottom style="thin">
        <color rgb="FFE4E4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2" borderId="0" xfId="0" applyFont="true" applyBorder="true" applyAlignment="true" applyProtection="false">
      <alignment horizontal="general" vertical="center" textRotation="0" wrapText="false" indent="1"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7" fontId="8" fillId="2"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7A2020"/>
        <sz val="10"/>
      </font>
      <fill>
        <patternFill>
          <bgColor rgb="FFFCECEC"/>
        </patternFill>
      </fill>
    </dxf>
    <dxf>
      <font>
        <name val="Arial"/>
        <charset val="1"/>
        <family val="0"/>
        <color rgb="FF7A5410"/>
        <sz val="10"/>
      </font>
      <fill>
        <patternFill>
          <bgColor rgb="FFFDF4E3"/>
        </patternFill>
      </fill>
    </dxf>
    <dxf>
      <font>
        <name val="Arial"/>
        <charset val="1"/>
        <family val="0"/>
        <color rgb="FF7A2020"/>
        <sz val="10"/>
      </font>
      <fill>
        <patternFill>
          <bgColor rgb="FFFCEC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410"/>
      <rgbColor rgb="FF800080"/>
      <rgbColor rgb="FF0F6E56"/>
      <rgbColor rgb="FFC0C0C0"/>
      <rgbColor rgb="FF808080"/>
      <rgbColor rgb="FF9999FF"/>
      <rgbColor rgb="FF993366"/>
      <rgbColor rgb="FFFDF4E3"/>
      <rgbColor rgb="FFE1F5EE"/>
      <rgbColor rgb="FF660066"/>
      <rgbColor rgb="FFFF8080"/>
      <rgbColor rgb="FF0066CC"/>
      <rgbColor rgb="FFE4E4E0"/>
      <rgbColor rgb="FF000080"/>
      <rgbColor rgb="FFFF00FF"/>
      <rgbColor rgb="FFFFFF00"/>
      <rgbColor rgb="FF00FFFF"/>
      <rgbColor rgb="FF800080"/>
      <rgbColor rgb="FF800000"/>
      <rgbColor rgb="FF008080"/>
      <rgbColor rgb="FF0000FF"/>
      <rgbColor rgb="FF00CCFF"/>
      <rgbColor rgb="FFFFFDF0"/>
      <rgbColor rgb="FFC6E4D9"/>
      <rgbColor rgb="FFFCECEC"/>
      <rgbColor rgb="FF99CCFF"/>
      <rgbColor rgb="FFFF99CC"/>
      <rgbColor rgb="FFCC99FF"/>
      <rgbColor rgb="FFFFCC99"/>
      <rgbColor rgb="FF3366FF"/>
      <rgbColor rgb="FF33CCCC"/>
      <rgbColor rgb="FF99CC00"/>
      <rgbColor rgb="FFFFCC00"/>
      <rgbColor rgb="FFFF9900"/>
      <rgbColor rgb="FFFF6600"/>
      <rgbColor rgb="FF666699"/>
      <rgbColor rgb="FF969696"/>
      <rgbColor rgb="FF0A4A3A"/>
      <rgbColor rgb="FF339966"/>
      <rgbColor rgb="FF141414"/>
      <rgbColor rgb="FF333300"/>
      <rgbColor rgb="FF7A2020"/>
      <rgbColor rgb="FF993366"/>
      <rgbColor rgb="FF333399"/>
      <rgbColor rgb="FF4A4A4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
    <col collapsed="false" customWidth="true" hidden="false" outlineLevel="0" max="15" min="3" style="0" width="12"/>
  </cols>
  <sheetData>
    <row r="1" customFormat="false" ht="25.5" hidden="false" customHeight="true" outlineLevel="0" collapsed="false">
      <c r="A1" s="1" t="s">
        <v>0</v>
      </c>
      <c r="B1" s="1"/>
      <c r="C1" s="1"/>
      <c r="D1" s="1"/>
      <c r="E1" s="1"/>
      <c r="F1" s="1"/>
      <c r="G1" s="1"/>
      <c r="H1" s="1"/>
      <c r="I1" s="1"/>
      <c r="J1" s="1"/>
      <c r="K1" s="1"/>
      <c r="L1" s="1"/>
      <c r="M1" s="1"/>
      <c r="N1" s="1"/>
      <c r="O1" s="1"/>
    </row>
    <row r="2" customFormat="false" ht="15" hidden="false" customHeight="true" outlineLevel="0" collapsed="false">
      <c r="A2" s="2" t="s">
        <v>1</v>
      </c>
      <c r="B2" s="2"/>
      <c r="C2" s="2"/>
      <c r="D2" s="2"/>
      <c r="E2" s="2"/>
      <c r="F2" s="2"/>
      <c r="G2" s="2"/>
      <c r="H2" s="2"/>
      <c r="I2" s="2"/>
      <c r="J2" s="2"/>
      <c r="K2" s="2"/>
      <c r="L2" s="2"/>
      <c r="M2" s="2"/>
      <c r="N2" s="2"/>
      <c r="O2" s="2"/>
    </row>
    <row r="4" customFormat="false" ht="15" hidden="false" customHeight="false" outlineLevel="0" collapsed="false">
      <c r="A4" s="3" t="s">
        <v>2</v>
      </c>
      <c r="C4" s="4" t="str">
        <f aca="false">Assumptions!B4</f>
        <v>2026-01-05</v>
      </c>
    </row>
    <row r="5" customFormat="false" ht="15" hidden="false" customHeight="false" outlineLevel="0" collapsed="false">
      <c r="A5" s="3" t="s">
        <v>3</v>
      </c>
      <c r="C5" s="5" t="n">
        <f aca="false">Assumptions!B5</f>
        <v>45000</v>
      </c>
    </row>
    <row r="6" customFormat="false" ht="15" hidden="false" customHeight="false" outlineLevel="0" collapsed="false">
      <c r="A6" s="3" t="s">
        <v>4</v>
      </c>
      <c r="C6" s="5" t="n">
        <f aca="false">Assumptions!B6</f>
        <v>20000</v>
      </c>
    </row>
    <row r="8" customFormat="false" ht="21.75" hidden="false" customHeight="true" outlineLevel="0" collapsed="false">
      <c r="A8" s="6" t="s">
        <v>5</v>
      </c>
      <c r="B8" s="6" t="s">
        <v>6</v>
      </c>
      <c r="C8" s="7" t="n">
        <f aca="false">$C$4+0</f>
        <v>46027</v>
      </c>
      <c r="D8" s="7" t="n">
        <f aca="false">$C$4+7</f>
        <v>46034</v>
      </c>
      <c r="E8" s="7" t="n">
        <f aca="false">$C$4+14</f>
        <v>46041</v>
      </c>
      <c r="F8" s="7" t="n">
        <f aca="false">$C$4+21</f>
        <v>46048</v>
      </c>
      <c r="G8" s="7" t="n">
        <f aca="false">$C$4+28</f>
        <v>46055</v>
      </c>
      <c r="H8" s="7" t="n">
        <f aca="false">$C$4+35</f>
        <v>46062</v>
      </c>
      <c r="I8" s="7" t="n">
        <f aca="false">$C$4+42</f>
        <v>46069</v>
      </c>
      <c r="J8" s="7" t="n">
        <f aca="false">$C$4+49</f>
        <v>46076</v>
      </c>
      <c r="K8" s="7" t="n">
        <f aca="false">$C$4+56</f>
        <v>46083</v>
      </c>
      <c r="L8" s="7" t="n">
        <f aca="false">$C$4+63</f>
        <v>46090</v>
      </c>
      <c r="M8" s="7" t="n">
        <f aca="false">$C$4+70</f>
        <v>46097</v>
      </c>
      <c r="N8" s="7" t="n">
        <f aca="false">$C$4+77</f>
        <v>46104</v>
      </c>
      <c r="O8" s="7" t="n">
        <f aca="false">$C$4+84</f>
        <v>46111</v>
      </c>
    </row>
    <row r="9" customFormat="false" ht="15" hidden="false" customHeight="false" outlineLevel="0" collapsed="false">
      <c r="A9" s="8" t="s">
        <v>7</v>
      </c>
      <c r="B9" s="9"/>
      <c r="C9" s="9"/>
      <c r="D9" s="9"/>
      <c r="E9" s="9"/>
      <c r="F9" s="9"/>
      <c r="G9" s="9"/>
      <c r="H9" s="9"/>
      <c r="I9" s="9"/>
      <c r="J9" s="9"/>
      <c r="K9" s="9"/>
      <c r="L9" s="9"/>
      <c r="M9" s="9"/>
      <c r="N9" s="9"/>
      <c r="O9" s="9"/>
    </row>
    <row r="10" customFormat="false" ht="15" hidden="false" customHeight="false" outlineLevel="0" collapsed="false">
      <c r="A10" s="10" t="s">
        <v>8</v>
      </c>
      <c r="B10" s="10" t="s">
        <v>9</v>
      </c>
      <c r="C10" s="11" t="n">
        <v>0</v>
      </c>
      <c r="D10" s="11" t="n">
        <v>0</v>
      </c>
      <c r="E10" s="11" t="n">
        <v>0</v>
      </c>
      <c r="F10" s="11" t="n">
        <v>0</v>
      </c>
      <c r="G10" s="11" t="n">
        <v>0</v>
      </c>
      <c r="H10" s="11" t="n">
        <v>0</v>
      </c>
      <c r="I10" s="11" t="n">
        <v>0</v>
      </c>
      <c r="J10" s="11" t="n">
        <v>0</v>
      </c>
      <c r="K10" s="11" t="n">
        <v>0</v>
      </c>
      <c r="L10" s="11" t="n">
        <v>0</v>
      </c>
      <c r="M10" s="11" t="n">
        <v>0</v>
      </c>
      <c r="N10" s="11" t="n">
        <v>0</v>
      </c>
      <c r="O10" s="11" t="n">
        <v>0</v>
      </c>
    </row>
    <row r="11" customFormat="false" ht="15" hidden="false" customHeight="false" outlineLevel="0" collapsed="false">
      <c r="A11" s="10" t="s">
        <v>10</v>
      </c>
      <c r="B11" s="10" t="s">
        <v>9</v>
      </c>
      <c r="C11" s="11" t="n">
        <v>0</v>
      </c>
      <c r="D11" s="11" t="n">
        <v>0</v>
      </c>
      <c r="E11" s="11" t="n">
        <v>0</v>
      </c>
      <c r="F11" s="11" t="n">
        <v>0</v>
      </c>
      <c r="G11" s="11" t="n">
        <v>0</v>
      </c>
      <c r="H11" s="11" t="n">
        <v>0</v>
      </c>
      <c r="I11" s="11" t="n">
        <v>0</v>
      </c>
      <c r="J11" s="11" t="n">
        <v>0</v>
      </c>
      <c r="K11" s="11" t="n">
        <v>0</v>
      </c>
      <c r="L11" s="11" t="n">
        <v>0</v>
      </c>
      <c r="M11" s="11" t="n">
        <v>0</v>
      </c>
      <c r="N11" s="11" t="n">
        <v>0</v>
      </c>
      <c r="O11" s="11" t="n">
        <v>0</v>
      </c>
    </row>
    <row r="12" customFormat="false" ht="15" hidden="false" customHeight="false" outlineLevel="0" collapsed="false">
      <c r="A12" s="10" t="s">
        <v>11</v>
      </c>
      <c r="B12" s="10" t="s">
        <v>9</v>
      </c>
      <c r="C12" s="11" t="n">
        <v>0</v>
      </c>
      <c r="D12" s="11" t="n">
        <v>0</v>
      </c>
      <c r="E12" s="11" t="n">
        <v>0</v>
      </c>
      <c r="F12" s="11" t="n">
        <v>0</v>
      </c>
      <c r="G12" s="11" t="n">
        <v>0</v>
      </c>
      <c r="H12" s="11" t="n">
        <v>0</v>
      </c>
      <c r="I12" s="11" t="n">
        <v>0</v>
      </c>
      <c r="J12" s="11" t="n">
        <v>0</v>
      </c>
      <c r="K12" s="11" t="n">
        <v>0</v>
      </c>
      <c r="L12" s="11" t="n">
        <v>0</v>
      </c>
      <c r="M12" s="11" t="n">
        <v>0</v>
      </c>
      <c r="N12" s="11" t="n">
        <v>0</v>
      </c>
      <c r="O12" s="11" t="n">
        <v>0</v>
      </c>
    </row>
    <row r="13" customFormat="false" ht="15" hidden="false" customHeight="false" outlineLevel="0" collapsed="false">
      <c r="A13" s="10" t="s">
        <v>12</v>
      </c>
      <c r="B13" s="10" t="s">
        <v>13</v>
      </c>
      <c r="C13" s="11" t="n">
        <v>0</v>
      </c>
      <c r="D13" s="11" t="n">
        <v>0</v>
      </c>
      <c r="E13" s="11" t="n">
        <v>0</v>
      </c>
      <c r="F13" s="11" t="n">
        <v>0</v>
      </c>
      <c r="G13" s="11" t="n">
        <v>0</v>
      </c>
      <c r="H13" s="11" t="n">
        <v>0</v>
      </c>
      <c r="I13" s="11" t="n">
        <v>0</v>
      </c>
      <c r="J13" s="11" t="n">
        <v>0</v>
      </c>
      <c r="K13" s="11" t="n">
        <v>0</v>
      </c>
      <c r="L13" s="11" t="n">
        <v>0</v>
      </c>
      <c r="M13" s="11" t="n">
        <v>0</v>
      </c>
      <c r="N13" s="11" t="n">
        <v>0</v>
      </c>
      <c r="O13" s="11" t="n">
        <v>0</v>
      </c>
    </row>
    <row r="14" customFormat="false" ht="15" hidden="false" customHeight="false" outlineLevel="0" collapsed="false">
      <c r="A14" s="10" t="s">
        <v>14</v>
      </c>
      <c r="B14" s="10" t="s">
        <v>15</v>
      </c>
      <c r="C14" s="11" t="n">
        <v>0</v>
      </c>
      <c r="D14" s="11" t="n">
        <v>0</v>
      </c>
      <c r="E14" s="11" t="n">
        <v>0</v>
      </c>
      <c r="F14" s="11" t="n">
        <v>0</v>
      </c>
      <c r="G14" s="11" t="n">
        <v>0</v>
      </c>
      <c r="H14" s="11" t="n">
        <v>0</v>
      </c>
      <c r="I14" s="11" t="n">
        <v>0</v>
      </c>
      <c r="J14" s="11" t="n">
        <v>0</v>
      </c>
      <c r="K14" s="11" t="n">
        <v>0</v>
      </c>
      <c r="L14" s="11" t="n">
        <v>0</v>
      </c>
      <c r="M14" s="11" t="n">
        <v>0</v>
      </c>
      <c r="N14" s="11" t="n">
        <v>0</v>
      </c>
      <c r="O14" s="11" t="n">
        <v>0</v>
      </c>
    </row>
    <row r="15" customFormat="false" ht="15" hidden="false" customHeight="false" outlineLevel="0" collapsed="false">
      <c r="A15" s="12" t="s">
        <v>16</v>
      </c>
      <c r="B15" s="9"/>
      <c r="C15" s="13" t="n">
        <f aca="false">SUM(C10:C14)</f>
        <v>0</v>
      </c>
      <c r="D15" s="13" t="n">
        <f aca="false">SUM(D10:D14)</f>
        <v>0</v>
      </c>
      <c r="E15" s="13" t="n">
        <f aca="false">SUM(E10:E14)</f>
        <v>0</v>
      </c>
      <c r="F15" s="13" t="n">
        <f aca="false">SUM(F10:F14)</f>
        <v>0</v>
      </c>
      <c r="G15" s="13" t="n">
        <f aca="false">SUM(G10:G14)</f>
        <v>0</v>
      </c>
      <c r="H15" s="13" t="n">
        <f aca="false">SUM(H10:H14)</f>
        <v>0</v>
      </c>
      <c r="I15" s="13" t="n">
        <f aca="false">SUM(I10:I14)</f>
        <v>0</v>
      </c>
      <c r="J15" s="13" t="n">
        <f aca="false">SUM(J10:J14)</f>
        <v>0</v>
      </c>
      <c r="K15" s="13" t="n">
        <f aca="false">SUM(K10:K14)</f>
        <v>0</v>
      </c>
      <c r="L15" s="13" t="n">
        <f aca="false">SUM(L10:L14)</f>
        <v>0</v>
      </c>
      <c r="M15" s="13" t="n">
        <f aca="false">SUM(M10:M14)</f>
        <v>0</v>
      </c>
      <c r="N15" s="13" t="n">
        <f aca="false">SUM(N10:N14)</f>
        <v>0</v>
      </c>
      <c r="O15" s="13" t="n">
        <f aca="false">SUM(O10:O14)</f>
        <v>0</v>
      </c>
    </row>
    <row r="17" customFormat="false" ht="15" hidden="false" customHeight="false" outlineLevel="0" collapsed="false">
      <c r="A17" s="8" t="s">
        <v>17</v>
      </c>
      <c r="B17" s="9"/>
      <c r="C17" s="9"/>
      <c r="D17" s="9"/>
      <c r="E17" s="9"/>
      <c r="F17" s="9"/>
      <c r="G17" s="9"/>
      <c r="H17" s="9"/>
      <c r="I17" s="9"/>
      <c r="J17" s="9"/>
      <c r="K17" s="9"/>
      <c r="L17" s="9"/>
      <c r="M17" s="9"/>
      <c r="N17" s="9"/>
      <c r="O17" s="9"/>
    </row>
    <row r="18" customFormat="false" ht="15" hidden="false" customHeight="false" outlineLevel="0" collapsed="false">
      <c r="A18" s="10" t="s">
        <v>18</v>
      </c>
      <c r="B18" s="10" t="s">
        <v>9</v>
      </c>
      <c r="C18" s="11" t="n">
        <v>0</v>
      </c>
      <c r="D18" s="11" t="n">
        <v>0</v>
      </c>
      <c r="E18" s="11" t="n">
        <v>0</v>
      </c>
      <c r="F18" s="11" t="n">
        <v>0</v>
      </c>
      <c r="G18" s="11" t="n">
        <v>0</v>
      </c>
      <c r="H18" s="11" t="n">
        <v>0</v>
      </c>
      <c r="I18" s="11" t="n">
        <v>0</v>
      </c>
      <c r="J18" s="11" t="n">
        <v>0</v>
      </c>
      <c r="K18" s="11" t="n">
        <v>0</v>
      </c>
      <c r="L18" s="11" t="n">
        <v>0</v>
      </c>
      <c r="M18" s="11" t="n">
        <v>0</v>
      </c>
      <c r="N18" s="11" t="n">
        <v>0</v>
      </c>
      <c r="O18" s="11" t="n">
        <v>0</v>
      </c>
    </row>
    <row r="19" customFormat="false" ht="15" hidden="false" customHeight="false" outlineLevel="0" collapsed="false">
      <c r="A19" s="10" t="s">
        <v>19</v>
      </c>
      <c r="B19" s="10" t="s">
        <v>9</v>
      </c>
      <c r="C19" s="11" t="n">
        <v>0</v>
      </c>
      <c r="D19" s="11" t="n">
        <v>0</v>
      </c>
      <c r="E19" s="11" t="n">
        <v>0</v>
      </c>
      <c r="F19" s="11" t="n">
        <v>0</v>
      </c>
      <c r="G19" s="11" t="n">
        <v>0</v>
      </c>
      <c r="H19" s="11" t="n">
        <v>0</v>
      </c>
      <c r="I19" s="11" t="n">
        <v>0</v>
      </c>
      <c r="J19" s="11" t="n">
        <v>0</v>
      </c>
      <c r="K19" s="11" t="n">
        <v>0</v>
      </c>
      <c r="L19" s="11" t="n">
        <v>0</v>
      </c>
      <c r="M19" s="11" t="n">
        <v>0</v>
      </c>
      <c r="N19" s="11" t="n">
        <v>0</v>
      </c>
      <c r="O19" s="11" t="n">
        <v>0</v>
      </c>
    </row>
    <row r="20" customFormat="false" ht="15" hidden="false" customHeight="false" outlineLevel="0" collapsed="false">
      <c r="A20" s="10" t="s">
        <v>20</v>
      </c>
      <c r="B20" s="10" t="s">
        <v>9</v>
      </c>
      <c r="C20" s="11" t="n">
        <v>0</v>
      </c>
      <c r="D20" s="11" t="n">
        <v>0</v>
      </c>
      <c r="E20" s="11" t="n">
        <v>0</v>
      </c>
      <c r="F20" s="11" t="n">
        <v>0</v>
      </c>
      <c r="G20" s="11" t="n">
        <v>0</v>
      </c>
      <c r="H20" s="11" t="n">
        <v>0</v>
      </c>
      <c r="I20" s="11" t="n">
        <v>0</v>
      </c>
      <c r="J20" s="11" t="n">
        <v>0</v>
      </c>
      <c r="K20" s="11" t="n">
        <v>0</v>
      </c>
      <c r="L20" s="11" t="n">
        <v>0</v>
      </c>
      <c r="M20" s="11" t="n">
        <v>0</v>
      </c>
      <c r="N20" s="11" t="n">
        <v>0</v>
      </c>
      <c r="O20" s="11" t="n">
        <v>0</v>
      </c>
    </row>
    <row r="21" customFormat="false" ht="15" hidden="false" customHeight="false" outlineLevel="0" collapsed="false">
      <c r="A21" s="10" t="s">
        <v>21</v>
      </c>
      <c r="B21" s="10" t="s">
        <v>9</v>
      </c>
      <c r="C21" s="11" t="n">
        <v>0</v>
      </c>
      <c r="D21" s="11" t="n">
        <v>0</v>
      </c>
      <c r="E21" s="11" t="n">
        <v>0</v>
      </c>
      <c r="F21" s="11" t="n">
        <v>0</v>
      </c>
      <c r="G21" s="11" t="n">
        <v>0</v>
      </c>
      <c r="H21" s="11" t="n">
        <v>0</v>
      </c>
      <c r="I21" s="11" t="n">
        <v>0</v>
      </c>
      <c r="J21" s="11" t="n">
        <v>0</v>
      </c>
      <c r="K21" s="11" t="n">
        <v>0</v>
      </c>
      <c r="L21" s="11" t="n">
        <v>0</v>
      </c>
      <c r="M21" s="11" t="n">
        <v>0</v>
      </c>
      <c r="N21" s="11" t="n">
        <v>0</v>
      </c>
      <c r="O21" s="11" t="n">
        <v>0</v>
      </c>
    </row>
    <row r="22" customFormat="false" ht="15" hidden="false" customHeight="false" outlineLevel="0" collapsed="false">
      <c r="A22" s="10" t="s">
        <v>22</v>
      </c>
      <c r="B22" s="10" t="s">
        <v>9</v>
      </c>
      <c r="C22" s="11" t="n">
        <v>0</v>
      </c>
      <c r="D22" s="11" t="n">
        <v>0</v>
      </c>
      <c r="E22" s="11" t="n">
        <v>0</v>
      </c>
      <c r="F22" s="11" t="n">
        <v>0</v>
      </c>
      <c r="G22" s="11" t="n">
        <v>0</v>
      </c>
      <c r="H22" s="11" t="n">
        <v>0</v>
      </c>
      <c r="I22" s="11" t="n">
        <v>0</v>
      </c>
      <c r="J22" s="11" t="n">
        <v>0</v>
      </c>
      <c r="K22" s="11" t="n">
        <v>0</v>
      </c>
      <c r="L22" s="11" t="n">
        <v>0</v>
      </c>
      <c r="M22" s="11" t="n">
        <v>0</v>
      </c>
      <c r="N22" s="11" t="n">
        <v>0</v>
      </c>
      <c r="O22" s="11" t="n">
        <v>0</v>
      </c>
    </row>
    <row r="23" customFormat="false" ht="15" hidden="false" customHeight="false" outlineLevel="0" collapsed="false">
      <c r="A23" s="10" t="s">
        <v>23</v>
      </c>
      <c r="B23" s="10" t="s">
        <v>9</v>
      </c>
      <c r="C23" s="11" t="n">
        <v>0</v>
      </c>
      <c r="D23" s="11" t="n">
        <v>0</v>
      </c>
      <c r="E23" s="11" t="n">
        <v>0</v>
      </c>
      <c r="F23" s="11" t="n">
        <v>0</v>
      </c>
      <c r="G23" s="11" t="n">
        <v>0</v>
      </c>
      <c r="H23" s="11" t="n">
        <v>0</v>
      </c>
      <c r="I23" s="11" t="n">
        <v>0</v>
      </c>
      <c r="J23" s="11" t="n">
        <v>0</v>
      </c>
      <c r="K23" s="11" t="n">
        <v>0</v>
      </c>
      <c r="L23" s="11" t="n">
        <v>0</v>
      </c>
      <c r="M23" s="11" t="n">
        <v>0</v>
      </c>
      <c r="N23" s="11" t="n">
        <v>0</v>
      </c>
      <c r="O23" s="11" t="n">
        <v>0</v>
      </c>
    </row>
    <row r="24" customFormat="false" ht="15" hidden="false" customHeight="false" outlineLevel="0" collapsed="false">
      <c r="A24" s="10" t="s">
        <v>24</v>
      </c>
      <c r="B24" s="10" t="s">
        <v>13</v>
      </c>
      <c r="C24" s="11" t="n">
        <v>0</v>
      </c>
      <c r="D24" s="11" t="n">
        <v>0</v>
      </c>
      <c r="E24" s="11" t="n">
        <v>0</v>
      </c>
      <c r="F24" s="11" t="n">
        <v>0</v>
      </c>
      <c r="G24" s="11" t="n">
        <v>0</v>
      </c>
      <c r="H24" s="11" t="n">
        <v>0</v>
      </c>
      <c r="I24" s="11" t="n">
        <v>0</v>
      </c>
      <c r="J24" s="11" t="n">
        <v>0</v>
      </c>
      <c r="K24" s="11" t="n">
        <v>0</v>
      </c>
      <c r="L24" s="11" t="n">
        <v>0</v>
      </c>
      <c r="M24" s="11" t="n">
        <v>0</v>
      </c>
      <c r="N24" s="11" t="n">
        <v>0</v>
      </c>
      <c r="O24" s="11" t="n">
        <v>0</v>
      </c>
    </row>
    <row r="25" customFormat="false" ht="15" hidden="false" customHeight="false" outlineLevel="0" collapsed="false">
      <c r="A25" s="10" t="s">
        <v>25</v>
      </c>
      <c r="B25" s="10" t="s">
        <v>13</v>
      </c>
      <c r="C25" s="11" t="n">
        <v>0</v>
      </c>
      <c r="D25" s="11" t="n">
        <v>0</v>
      </c>
      <c r="E25" s="11" t="n">
        <v>0</v>
      </c>
      <c r="F25" s="11" t="n">
        <v>0</v>
      </c>
      <c r="G25" s="11" t="n">
        <v>0</v>
      </c>
      <c r="H25" s="11" t="n">
        <v>0</v>
      </c>
      <c r="I25" s="11" t="n">
        <v>0</v>
      </c>
      <c r="J25" s="11" t="n">
        <v>0</v>
      </c>
      <c r="K25" s="11" t="n">
        <v>0</v>
      </c>
      <c r="L25" s="11" t="n">
        <v>0</v>
      </c>
      <c r="M25" s="11" t="n">
        <v>0</v>
      </c>
      <c r="N25" s="11" t="n">
        <v>0</v>
      </c>
      <c r="O25" s="11" t="n">
        <v>0</v>
      </c>
    </row>
    <row r="26" customFormat="false" ht="15" hidden="false" customHeight="false" outlineLevel="0" collapsed="false">
      <c r="A26" s="10" t="s">
        <v>26</v>
      </c>
      <c r="B26" s="10" t="s">
        <v>15</v>
      </c>
      <c r="C26" s="11" t="n">
        <v>0</v>
      </c>
      <c r="D26" s="11" t="n">
        <v>0</v>
      </c>
      <c r="E26" s="11" t="n">
        <v>0</v>
      </c>
      <c r="F26" s="11" t="n">
        <v>0</v>
      </c>
      <c r="G26" s="11" t="n">
        <v>0</v>
      </c>
      <c r="H26" s="11" t="n">
        <v>0</v>
      </c>
      <c r="I26" s="11" t="n">
        <v>0</v>
      </c>
      <c r="J26" s="11" t="n">
        <v>0</v>
      </c>
      <c r="K26" s="11" t="n">
        <v>0</v>
      </c>
      <c r="L26" s="11" t="n">
        <v>0</v>
      </c>
      <c r="M26" s="11" t="n">
        <v>0</v>
      </c>
      <c r="N26" s="11" t="n">
        <v>0</v>
      </c>
      <c r="O26" s="11" t="n">
        <v>0</v>
      </c>
    </row>
    <row r="27" customFormat="false" ht="15" hidden="false" customHeight="false" outlineLevel="0" collapsed="false">
      <c r="A27" s="12" t="s">
        <v>27</v>
      </c>
      <c r="B27" s="9"/>
      <c r="C27" s="13" t="n">
        <f aca="false">SUM(C18:C26)</f>
        <v>0</v>
      </c>
      <c r="D27" s="13" t="n">
        <f aca="false">SUM(D18:D26)</f>
        <v>0</v>
      </c>
      <c r="E27" s="13" t="n">
        <f aca="false">SUM(E18:E26)</f>
        <v>0</v>
      </c>
      <c r="F27" s="13" t="n">
        <f aca="false">SUM(F18:F26)</f>
        <v>0</v>
      </c>
      <c r="G27" s="13" t="n">
        <f aca="false">SUM(G18:G26)</f>
        <v>0</v>
      </c>
      <c r="H27" s="13" t="n">
        <f aca="false">SUM(H18:H26)</f>
        <v>0</v>
      </c>
      <c r="I27" s="13" t="n">
        <f aca="false">SUM(I18:I26)</f>
        <v>0</v>
      </c>
      <c r="J27" s="13" t="n">
        <f aca="false">SUM(J18:J26)</f>
        <v>0</v>
      </c>
      <c r="K27" s="13" t="n">
        <f aca="false">SUM(K18:K26)</f>
        <v>0</v>
      </c>
      <c r="L27" s="13" t="n">
        <f aca="false">SUM(L18:L26)</f>
        <v>0</v>
      </c>
      <c r="M27" s="13" t="n">
        <f aca="false">SUM(M18:M26)</f>
        <v>0</v>
      </c>
      <c r="N27" s="13" t="n">
        <f aca="false">SUM(N18:N26)</f>
        <v>0</v>
      </c>
      <c r="O27" s="13" t="n">
        <f aca="false">SUM(O18:O26)</f>
        <v>0</v>
      </c>
    </row>
    <row r="29" customFormat="false" ht="15" hidden="false" customHeight="false" outlineLevel="0" collapsed="false">
      <c r="A29" s="8" t="s">
        <v>28</v>
      </c>
      <c r="B29" s="9"/>
      <c r="C29" s="9"/>
      <c r="D29" s="9"/>
      <c r="E29" s="9"/>
      <c r="F29" s="9"/>
      <c r="G29" s="9"/>
      <c r="H29" s="9"/>
      <c r="I29" s="9"/>
      <c r="J29" s="9"/>
      <c r="K29" s="9"/>
      <c r="L29" s="9"/>
      <c r="M29" s="9"/>
      <c r="N29" s="9"/>
      <c r="O29" s="9"/>
    </row>
    <row r="30" customFormat="false" ht="15" hidden="false" customHeight="false" outlineLevel="0" collapsed="false">
      <c r="A30" s="14" t="s">
        <v>29</v>
      </c>
      <c r="C30" s="15" t="n">
        <f aca="false">$C$5</f>
        <v>45000</v>
      </c>
      <c r="D30" s="15" t="n">
        <f aca="false">C33</f>
        <v>45000</v>
      </c>
      <c r="E30" s="15" t="n">
        <f aca="false">D33</f>
        <v>45000</v>
      </c>
      <c r="F30" s="15" t="n">
        <f aca="false">E33</f>
        <v>45000</v>
      </c>
      <c r="G30" s="15" t="n">
        <f aca="false">F33</f>
        <v>45000</v>
      </c>
      <c r="H30" s="15" t="n">
        <f aca="false">G33</f>
        <v>45000</v>
      </c>
      <c r="I30" s="15" t="n">
        <f aca="false">H33</f>
        <v>45000</v>
      </c>
      <c r="J30" s="15" t="n">
        <f aca="false">I33</f>
        <v>45000</v>
      </c>
      <c r="K30" s="15" t="n">
        <f aca="false">J33</f>
        <v>45000</v>
      </c>
      <c r="L30" s="15" t="n">
        <f aca="false">K33</f>
        <v>45000</v>
      </c>
      <c r="M30" s="15" t="n">
        <f aca="false">L33</f>
        <v>45000</v>
      </c>
      <c r="N30" s="15" t="n">
        <f aca="false">M33</f>
        <v>45000</v>
      </c>
      <c r="O30" s="15" t="n">
        <f aca="false">N33</f>
        <v>45000</v>
      </c>
    </row>
    <row r="31" customFormat="false" ht="15" hidden="false" customHeight="false" outlineLevel="0" collapsed="false">
      <c r="A31" s="14" t="s">
        <v>30</v>
      </c>
      <c r="C31" s="15" t="n">
        <f aca="false">C15-C27</f>
        <v>0</v>
      </c>
      <c r="D31" s="15" t="n">
        <f aca="false">D15-D27</f>
        <v>0</v>
      </c>
      <c r="E31" s="15" t="n">
        <f aca="false">E15-E27</f>
        <v>0</v>
      </c>
      <c r="F31" s="15" t="n">
        <f aca="false">F15-F27</f>
        <v>0</v>
      </c>
      <c r="G31" s="15" t="n">
        <f aca="false">G15-G27</f>
        <v>0</v>
      </c>
      <c r="H31" s="15" t="n">
        <f aca="false">H15-H27</f>
        <v>0</v>
      </c>
      <c r="I31" s="15" t="n">
        <f aca="false">I15-I27</f>
        <v>0</v>
      </c>
      <c r="J31" s="15" t="n">
        <f aca="false">J15-J27</f>
        <v>0</v>
      </c>
      <c r="K31" s="15" t="n">
        <f aca="false">K15-K27</f>
        <v>0</v>
      </c>
      <c r="L31" s="15" t="n">
        <f aca="false">L15-L27</f>
        <v>0</v>
      </c>
      <c r="M31" s="15" t="n">
        <f aca="false">M15-M27</f>
        <v>0</v>
      </c>
      <c r="N31" s="15" t="n">
        <f aca="false">N15-N27</f>
        <v>0</v>
      </c>
      <c r="O31" s="15" t="n">
        <f aca="false">O15-O27</f>
        <v>0</v>
      </c>
    </row>
    <row r="32" customFormat="false" ht="15" hidden="false" customHeight="false" outlineLevel="0" collapsed="false">
      <c r="A32" s="10"/>
    </row>
    <row r="33" customFormat="false" ht="15" hidden="false" customHeight="false" outlineLevel="0" collapsed="false">
      <c r="A33" s="12" t="s">
        <v>31</v>
      </c>
      <c r="B33" s="9"/>
      <c r="C33" s="13" t="n">
        <f aca="false">C30+C31</f>
        <v>45000</v>
      </c>
      <c r="D33" s="13" t="n">
        <f aca="false">D30+D31</f>
        <v>45000</v>
      </c>
      <c r="E33" s="13" t="n">
        <f aca="false">E30+E31</f>
        <v>45000</v>
      </c>
      <c r="F33" s="13" t="n">
        <f aca="false">F30+F31</f>
        <v>45000</v>
      </c>
      <c r="G33" s="13" t="n">
        <f aca="false">G30+G31</f>
        <v>45000</v>
      </c>
      <c r="H33" s="13" t="n">
        <f aca="false">H30+H31</f>
        <v>45000</v>
      </c>
      <c r="I33" s="13" t="n">
        <f aca="false">I30+I31</f>
        <v>45000</v>
      </c>
      <c r="J33" s="13" t="n">
        <f aca="false">J30+J31</f>
        <v>45000</v>
      </c>
      <c r="K33" s="13" t="n">
        <f aca="false">K30+K31</f>
        <v>45000</v>
      </c>
      <c r="L33" s="13" t="n">
        <f aca="false">L30+L31</f>
        <v>45000</v>
      </c>
      <c r="M33" s="13" t="n">
        <f aca="false">M30+M31</f>
        <v>45000</v>
      </c>
      <c r="N33" s="13" t="n">
        <f aca="false">N30+N31</f>
        <v>45000</v>
      </c>
      <c r="O33" s="13" t="n">
        <f aca="false">O30+O31</f>
        <v>45000</v>
      </c>
    </row>
    <row r="34" customFormat="false" ht="15" hidden="false" customHeight="false" outlineLevel="0" collapsed="false">
      <c r="A34" s="14" t="s">
        <v>32</v>
      </c>
      <c r="C34" s="15" t="n">
        <f aca="false">C33-$C$6</f>
        <v>25000</v>
      </c>
      <c r="D34" s="15" t="n">
        <f aca="false">D33-$C$6</f>
        <v>25000</v>
      </c>
      <c r="E34" s="15" t="n">
        <f aca="false">E33-$C$6</f>
        <v>25000</v>
      </c>
      <c r="F34" s="15" t="n">
        <f aca="false">F33-$C$6</f>
        <v>25000</v>
      </c>
      <c r="G34" s="15" t="n">
        <f aca="false">G33-$C$6</f>
        <v>25000</v>
      </c>
      <c r="H34" s="15" t="n">
        <f aca="false">H33-$C$6</f>
        <v>25000</v>
      </c>
      <c r="I34" s="15" t="n">
        <f aca="false">I33-$C$6</f>
        <v>25000</v>
      </c>
      <c r="J34" s="15" t="n">
        <f aca="false">J33-$C$6</f>
        <v>25000</v>
      </c>
      <c r="K34" s="15" t="n">
        <f aca="false">K33-$C$6</f>
        <v>25000</v>
      </c>
      <c r="L34" s="15" t="n">
        <f aca="false">L33-$C$6</f>
        <v>25000</v>
      </c>
      <c r="M34" s="15" t="n">
        <f aca="false">M33-$C$6</f>
        <v>25000</v>
      </c>
      <c r="N34" s="15" t="n">
        <f aca="false">N33-$C$6</f>
        <v>25000</v>
      </c>
      <c r="O34" s="15" t="n">
        <f aca="false">O33-$C$6</f>
        <v>25000</v>
      </c>
    </row>
    <row r="36" customFormat="false" ht="15" hidden="false" customHeight="false" outlineLevel="0" collapsed="false">
      <c r="A36" s="14" t="s">
        <v>33</v>
      </c>
      <c r="C36" s="16" t="str">
        <f aca="false">IF(C33&lt;$C$6,"CHECK","")</f>
        <v/>
      </c>
      <c r="D36" s="16" t="str">
        <f aca="false">IF(D33&lt;$C$6,"CHECK","")</f>
        <v/>
      </c>
      <c r="E36" s="16" t="str">
        <f aca="false">IF(E33&lt;$C$6,"CHECK","")</f>
        <v/>
      </c>
      <c r="F36" s="16" t="str">
        <f aca="false">IF(F33&lt;$C$6,"CHECK","")</f>
        <v/>
      </c>
      <c r="G36" s="16" t="str">
        <f aca="false">IF(G33&lt;$C$6,"CHECK","")</f>
        <v/>
      </c>
      <c r="H36" s="16" t="str">
        <f aca="false">IF(H33&lt;$C$6,"CHECK","")</f>
        <v/>
      </c>
      <c r="I36" s="16" t="str">
        <f aca="false">IF(I33&lt;$C$6,"CHECK","")</f>
        <v/>
      </c>
      <c r="J36" s="16" t="str">
        <f aca="false">IF(J33&lt;$C$6,"CHECK","")</f>
        <v/>
      </c>
      <c r="K36" s="16" t="str">
        <f aca="false">IF(K33&lt;$C$6,"CHECK","")</f>
        <v/>
      </c>
      <c r="L36" s="16" t="str">
        <f aca="false">IF(L33&lt;$C$6,"CHECK","")</f>
        <v/>
      </c>
      <c r="M36" s="16" t="str">
        <f aca="false">IF(M33&lt;$C$6,"CHECK","")</f>
        <v/>
      </c>
      <c r="N36" s="16" t="str">
        <f aca="false">IF(N33&lt;$C$6,"CHECK","")</f>
        <v/>
      </c>
      <c r="O36" s="16" t="str">
        <f aca="false">IF(O33&lt;$C$6,"CHECK","")</f>
        <v/>
      </c>
    </row>
    <row r="38" customFormat="false" ht="15" hidden="false" customHeight="false" outlineLevel="0" collapsed="false">
      <c r="A38" s="3" t="s">
        <v>34</v>
      </c>
    </row>
    <row r="39" customFormat="false" ht="15" hidden="false" customHeight="false" outlineLevel="0" collapsed="false">
      <c r="A39" s="17" t="s">
        <v>35</v>
      </c>
      <c r="B39" s="18" t="s">
        <v>36</v>
      </c>
    </row>
    <row r="40" customFormat="false" ht="15" hidden="false" customHeight="false" outlineLevel="0" collapsed="false">
      <c r="A40" s="18" t="s">
        <v>37</v>
      </c>
      <c r="B40" s="18" t="s">
        <v>38</v>
      </c>
    </row>
    <row r="41" customFormat="false" ht="15" hidden="false" customHeight="false" outlineLevel="0" collapsed="false">
      <c r="A41" s="18" t="s">
        <v>39</v>
      </c>
      <c r="B41" s="18" t="s">
        <v>40</v>
      </c>
    </row>
    <row r="43" customFormat="false" ht="15" hidden="false" customHeight="false" outlineLevel="0" collapsed="false">
      <c r="A43" s="19" t="s">
        <v>41</v>
      </c>
    </row>
  </sheetData>
  <mergeCells count="2">
    <mergeCell ref="A1:O1"/>
    <mergeCell ref="A2:O2"/>
  </mergeCells>
  <conditionalFormatting sqref="C33:O33">
    <cfRule type="cellIs" priority="2" operator="lessThan" aboveAverage="0" equalAverage="0" bottom="0" percent="0" rank="0" text="" dxfId="0">
      <formula>0</formula>
    </cfRule>
  </conditionalFormatting>
  <conditionalFormatting sqref="C34:O3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62"/>
  </cols>
  <sheetData>
    <row r="1" customFormat="false" ht="25.5" hidden="false" customHeight="true" outlineLevel="0" collapsed="false">
      <c r="A1" s="1" t="s">
        <v>42</v>
      </c>
      <c r="B1" s="1"/>
      <c r="C1" s="1"/>
      <c r="D1" s="1"/>
    </row>
    <row r="2" customFormat="false" ht="15" hidden="false" customHeight="true" outlineLevel="0" collapsed="false">
      <c r="A2" s="2" t="s">
        <v>43</v>
      </c>
      <c r="B2" s="2"/>
      <c r="C2" s="2"/>
      <c r="D2" s="2"/>
    </row>
    <row r="4" customFormat="false" ht="15" hidden="false" customHeight="false" outlineLevel="0" collapsed="false">
      <c r="A4" s="14" t="s">
        <v>2</v>
      </c>
      <c r="B4" s="20" t="s">
        <v>44</v>
      </c>
      <c r="C4" s="19" t="s">
        <v>45</v>
      </c>
    </row>
    <row r="5" customFormat="false" ht="15" hidden="false" customHeight="false" outlineLevel="0" collapsed="false">
      <c r="A5" s="14" t="s">
        <v>3</v>
      </c>
      <c r="B5" s="21" t="n">
        <v>45000</v>
      </c>
      <c r="C5" s="19" t="s">
        <v>46</v>
      </c>
    </row>
    <row r="6" customFormat="false" ht="15" hidden="false" customHeight="false" outlineLevel="0" collapsed="false">
      <c r="A6" s="14" t="s">
        <v>4</v>
      </c>
      <c r="B6" s="21" t="n">
        <v>20000</v>
      </c>
      <c r="C6" s="19" t="s">
        <v>47</v>
      </c>
    </row>
    <row r="8" customFormat="false" ht="15" hidden="false" customHeight="false" outlineLevel="0" collapsed="false">
      <c r="A8" s="3" t="s">
        <v>48</v>
      </c>
    </row>
    <row r="9" customFormat="false" ht="15" hidden="false" customHeight="false" outlineLevel="0" collapsed="false">
      <c r="A9" s="10" t="s">
        <v>49</v>
      </c>
      <c r="B9" s="22" t="n">
        <v>0.6</v>
      </c>
      <c r="C9" s="19" t="s">
        <v>50</v>
      </c>
    </row>
    <row r="10" customFormat="false" ht="15" hidden="false" customHeight="false" outlineLevel="0" collapsed="false">
      <c r="A10" s="10" t="s">
        <v>51</v>
      </c>
      <c r="B10" s="22" t="n">
        <v>0.3</v>
      </c>
      <c r="C10" s="19" t="s">
        <v>52</v>
      </c>
    </row>
    <row r="11" customFormat="false" ht="15" hidden="false" customHeight="false" outlineLevel="0" collapsed="false">
      <c r="A11" s="10" t="s">
        <v>53</v>
      </c>
      <c r="B11" s="22" t="n">
        <v>0.08</v>
      </c>
      <c r="C11" s="19" t="s">
        <v>54</v>
      </c>
    </row>
    <row r="12" customFormat="false" ht="15" hidden="false" customHeight="false" outlineLevel="0" collapsed="false">
      <c r="A12" s="10" t="s">
        <v>55</v>
      </c>
      <c r="B12" s="22" t="n">
        <v>0.02</v>
      </c>
      <c r="C12" s="19" t="s">
        <v>56</v>
      </c>
    </row>
    <row r="13" customFormat="false" ht="15" hidden="false" customHeight="false" outlineLevel="0" collapsed="false">
      <c r="A13" s="23" t="s">
        <v>57</v>
      </c>
      <c r="B13" s="24" t="n">
        <f aca="false">SUM(B9:B12)</f>
        <v>1</v>
      </c>
      <c r="C13" s="19" t="s">
        <v>58</v>
      </c>
    </row>
  </sheetData>
  <mergeCells count="2">
    <mergeCell ref="A1:D1"/>
    <mergeCell ref="A2:D2"/>
  </mergeCells>
  <conditionalFormatting sqref="B13">
    <cfRule type="cellIs" priority="2" operator="notEqual"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7"/>
    <col collapsed="false" customWidth="true" hidden="false" outlineLevel="0" max="4" min="4" style="0" width="14"/>
    <col collapsed="false" customWidth="true" hidden="false" outlineLevel="0" max="5" min="5" style="0" width="12"/>
    <col collapsed="false" customWidth="true" hidden="false" outlineLevel="0" max="6" min="6" style="0" width="44"/>
  </cols>
  <sheetData>
    <row r="1" customFormat="false" ht="25.5" hidden="false" customHeight="true" outlineLevel="0" collapsed="false">
      <c r="A1" s="1" t="s">
        <v>59</v>
      </c>
      <c r="B1" s="1"/>
      <c r="C1" s="1"/>
      <c r="D1" s="1"/>
      <c r="E1" s="1"/>
      <c r="F1" s="1"/>
    </row>
    <row r="2" customFormat="false" ht="15" hidden="false" customHeight="true" outlineLevel="0" collapsed="false">
      <c r="A2" s="2" t="s">
        <v>60</v>
      </c>
      <c r="B2" s="2"/>
      <c r="C2" s="2"/>
      <c r="D2" s="2"/>
      <c r="E2" s="2"/>
      <c r="F2" s="2"/>
    </row>
    <row r="4" customFormat="false" ht="24" hidden="false" customHeight="true" outlineLevel="0" collapsed="false">
      <c r="A4" s="25" t="s">
        <v>61</v>
      </c>
      <c r="B4" s="25" t="s">
        <v>62</v>
      </c>
      <c r="C4" s="25" t="s">
        <v>63</v>
      </c>
      <c r="D4" s="25" t="s">
        <v>64</v>
      </c>
      <c r="E4" s="25" t="s">
        <v>65</v>
      </c>
      <c r="F4" s="25" t="s">
        <v>66</v>
      </c>
    </row>
    <row r="5" customFormat="false" ht="15" hidden="false" customHeight="false" outlineLevel="0" collapsed="false">
      <c r="A5" s="26" t="n">
        <f aca="false">Forecast!C$8</f>
        <v>46027</v>
      </c>
      <c r="B5" s="15" t="n">
        <f aca="false">Forecast!C$33</f>
        <v>45000</v>
      </c>
      <c r="C5" s="21"/>
      <c r="D5" s="15" t="str">
        <f aca="false">IF(C5="","",C5-B5)</f>
        <v/>
      </c>
      <c r="E5" s="27" t="str">
        <f aca="false">IF(OR(C5="",B5=0),"",D5/ABS(B5))</f>
        <v/>
      </c>
      <c r="F5" s="28"/>
    </row>
    <row r="6" customFormat="false" ht="15" hidden="false" customHeight="false" outlineLevel="0" collapsed="false">
      <c r="A6" s="26" t="n">
        <f aca="false">Forecast!D$8</f>
        <v>46034</v>
      </c>
      <c r="B6" s="15" t="n">
        <f aca="false">Forecast!D$33</f>
        <v>45000</v>
      </c>
      <c r="C6" s="21"/>
      <c r="D6" s="15" t="str">
        <f aca="false">IF(C6="","",C6-B6)</f>
        <v/>
      </c>
      <c r="E6" s="27" t="str">
        <f aca="false">IF(OR(C6="",B6=0),"",D6/ABS(B6))</f>
        <v/>
      </c>
      <c r="F6" s="28"/>
    </row>
    <row r="7" customFormat="false" ht="15" hidden="false" customHeight="false" outlineLevel="0" collapsed="false">
      <c r="A7" s="26" t="n">
        <f aca="false">Forecast!E$8</f>
        <v>46041</v>
      </c>
      <c r="B7" s="15" t="n">
        <f aca="false">Forecast!E$33</f>
        <v>45000</v>
      </c>
      <c r="C7" s="21"/>
      <c r="D7" s="15" t="str">
        <f aca="false">IF(C7="","",C7-B7)</f>
        <v/>
      </c>
      <c r="E7" s="27" t="str">
        <f aca="false">IF(OR(C7="",B7=0),"",D7/ABS(B7))</f>
        <v/>
      </c>
      <c r="F7" s="28"/>
    </row>
    <row r="8" customFormat="false" ht="15" hidden="false" customHeight="false" outlineLevel="0" collapsed="false">
      <c r="A8" s="26" t="n">
        <f aca="false">Forecast!F$8</f>
        <v>46048</v>
      </c>
      <c r="B8" s="15" t="n">
        <f aca="false">Forecast!F$33</f>
        <v>45000</v>
      </c>
      <c r="C8" s="21"/>
      <c r="D8" s="15" t="str">
        <f aca="false">IF(C8="","",C8-B8)</f>
        <v/>
      </c>
      <c r="E8" s="27" t="str">
        <f aca="false">IF(OR(C8="",B8=0),"",D8/ABS(B8))</f>
        <v/>
      </c>
      <c r="F8" s="28"/>
    </row>
    <row r="9" customFormat="false" ht="15" hidden="false" customHeight="false" outlineLevel="0" collapsed="false">
      <c r="A9" s="26" t="n">
        <f aca="false">Forecast!G$8</f>
        <v>46055</v>
      </c>
      <c r="B9" s="15" t="n">
        <f aca="false">Forecast!G$33</f>
        <v>45000</v>
      </c>
      <c r="C9" s="21"/>
      <c r="D9" s="15" t="str">
        <f aca="false">IF(C9="","",C9-B9)</f>
        <v/>
      </c>
      <c r="E9" s="27" t="str">
        <f aca="false">IF(OR(C9="",B9=0),"",D9/ABS(B9))</f>
        <v/>
      </c>
      <c r="F9" s="28"/>
    </row>
    <row r="10" customFormat="false" ht="15" hidden="false" customHeight="false" outlineLevel="0" collapsed="false">
      <c r="A10" s="26" t="n">
        <f aca="false">Forecast!H$8</f>
        <v>46062</v>
      </c>
      <c r="B10" s="15" t="n">
        <f aca="false">Forecast!H$33</f>
        <v>45000</v>
      </c>
      <c r="C10" s="21"/>
      <c r="D10" s="15" t="str">
        <f aca="false">IF(C10="","",C10-B10)</f>
        <v/>
      </c>
      <c r="E10" s="27" t="str">
        <f aca="false">IF(OR(C10="",B10=0),"",D10/ABS(B10))</f>
        <v/>
      </c>
      <c r="F10" s="28"/>
    </row>
    <row r="11" customFormat="false" ht="15" hidden="false" customHeight="false" outlineLevel="0" collapsed="false">
      <c r="A11" s="26" t="n">
        <f aca="false">Forecast!I$8</f>
        <v>46069</v>
      </c>
      <c r="B11" s="15" t="n">
        <f aca="false">Forecast!I$33</f>
        <v>45000</v>
      </c>
      <c r="C11" s="21"/>
      <c r="D11" s="15" t="str">
        <f aca="false">IF(C11="","",C11-B11)</f>
        <v/>
      </c>
      <c r="E11" s="27" t="str">
        <f aca="false">IF(OR(C11="",B11=0),"",D11/ABS(B11))</f>
        <v/>
      </c>
      <c r="F11" s="28"/>
    </row>
    <row r="12" customFormat="false" ht="15" hidden="false" customHeight="false" outlineLevel="0" collapsed="false">
      <c r="A12" s="26" t="n">
        <f aca="false">Forecast!J$8</f>
        <v>46076</v>
      </c>
      <c r="B12" s="15" t="n">
        <f aca="false">Forecast!J$33</f>
        <v>45000</v>
      </c>
      <c r="C12" s="21"/>
      <c r="D12" s="15" t="str">
        <f aca="false">IF(C12="","",C12-B12)</f>
        <v/>
      </c>
      <c r="E12" s="27" t="str">
        <f aca="false">IF(OR(C12="",B12=0),"",D12/ABS(B12))</f>
        <v/>
      </c>
      <c r="F12" s="28"/>
    </row>
    <row r="13" customFormat="false" ht="15" hidden="false" customHeight="false" outlineLevel="0" collapsed="false">
      <c r="A13" s="26" t="n">
        <f aca="false">Forecast!K$8</f>
        <v>46083</v>
      </c>
      <c r="B13" s="15" t="n">
        <f aca="false">Forecast!K$33</f>
        <v>45000</v>
      </c>
      <c r="C13" s="21"/>
      <c r="D13" s="15" t="str">
        <f aca="false">IF(C13="","",C13-B13)</f>
        <v/>
      </c>
      <c r="E13" s="27" t="str">
        <f aca="false">IF(OR(C13="",B13=0),"",D13/ABS(B13))</f>
        <v/>
      </c>
      <c r="F13" s="28"/>
    </row>
    <row r="14" customFormat="false" ht="15" hidden="false" customHeight="false" outlineLevel="0" collapsed="false">
      <c r="A14" s="26" t="n">
        <f aca="false">Forecast!L$8</f>
        <v>46090</v>
      </c>
      <c r="B14" s="15" t="n">
        <f aca="false">Forecast!L$33</f>
        <v>45000</v>
      </c>
      <c r="C14" s="21"/>
      <c r="D14" s="15" t="str">
        <f aca="false">IF(C14="","",C14-B14)</f>
        <v/>
      </c>
      <c r="E14" s="27" t="str">
        <f aca="false">IF(OR(C14="",B14=0),"",D14/ABS(B14))</f>
        <v/>
      </c>
      <c r="F14" s="28"/>
    </row>
    <row r="15" customFormat="false" ht="15" hidden="false" customHeight="false" outlineLevel="0" collapsed="false">
      <c r="A15" s="26" t="n">
        <f aca="false">Forecast!M$8</f>
        <v>46097</v>
      </c>
      <c r="B15" s="15" t="n">
        <f aca="false">Forecast!M$33</f>
        <v>45000</v>
      </c>
      <c r="C15" s="21"/>
      <c r="D15" s="15" t="str">
        <f aca="false">IF(C15="","",C15-B15)</f>
        <v/>
      </c>
      <c r="E15" s="27" t="str">
        <f aca="false">IF(OR(C15="",B15=0),"",D15/ABS(B15))</f>
        <v/>
      </c>
      <c r="F15" s="28"/>
    </row>
    <row r="16" customFormat="false" ht="15" hidden="false" customHeight="false" outlineLevel="0" collapsed="false">
      <c r="A16" s="26" t="n">
        <f aca="false">Forecast!N$8</f>
        <v>46104</v>
      </c>
      <c r="B16" s="15" t="n">
        <f aca="false">Forecast!N$33</f>
        <v>45000</v>
      </c>
      <c r="C16" s="21"/>
      <c r="D16" s="15" t="str">
        <f aca="false">IF(C16="","",C16-B16)</f>
        <v/>
      </c>
      <c r="E16" s="27" t="str">
        <f aca="false">IF(OR(C16="",B16=0),"",D16/ABS(B16))</f>
        <v/>
      </c>
      <c r="F16" s="28"/>
    </row>
    <row r="17" customFormat="false" ht="15" hidden="false" customHeight="false" outlineLevel="0" collapsed="false">
      <c r="A17" s="26" t="n">
        <f aca="false">Forecast!O$8</f>
        <v>46111</v>
      </c>
      <c r="B17" s="15" t="n">
        <f aca="false">Forecast!O$33</f>
        <v>45000</v>
      </c>
      <c r="C17" s="21"/>
      <c r="D17" s="15" t="str">
        <f aca="false">IF(C17="","",C17-B17)</f>
        <v/>
      </c>
      <c r="E17" s="27" t="str">
        <f aca="false">IF(OR(C17="",B17=0),"",D17/ABS(B17))</f>
        <v/>
      </c>
      <c r="F17" s="28"/>
    </row>
    <row r="20" customFormat="false" ht="15" hidden="false" customHeight="false" outlineLevel="0" collapsed="false">
      <c r="A20" s="19" t="s">
        <v>67</v>
      </c>
    </row>
  </sheetData>
  <mergeCells count="2">
    <mergeCell ref="A1:F1"/>
    <mergeCell ref="A2:F2"/>
  </mergeCells>
  <conditionalFormatting sqref="D5:D17">
    <cfRule type="cellIs" priority="2"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30"/>
  </cols>
  <sheetData>
    <row r="1" customFormat="false" ht="25.5" hidden="false" customHeight="true" outlineLevel="0" collapsed="false">
      <c r="A1" s="1" t="s">
        <v>68</v>
      </c>
      <c r="B1" s="1"/>
      <c r="C1" s="1"/>
    </row>
    <row r="2" customFormat="false" ht="15" hidden="false" customHeight="true" outlineLevel="0" collapsed="false">
      <c r="A2" s="2" t="s">
        <v>69</v>
      </c>
      <c r="B2" s="2"/>
      <c r="C2" s="2"/>
    </row>
    <row r="4" customFormat="false" ht="15" hidden="false" customHeight="true" outlineLevel="0" collapsed="false">
      <c r="A4" s="29" t="s">
        <v>70</v>
      </c>
      <c r="B4" s="29"/>
      <c r="C4" s="29"/>
    </row>
    <row r="5" customFormat="false" ht="30" hidden="false" customHeight="true" outlineLevel="0" collapsed="false">
      <c r="A5" s="30" t="s">
        <v>71</v>
      </c>
      <c r="B5" s="30"/>
      <c r="C5" s="30"/>
    </row>
    <row r="7" customFormat="false" ht="15" hidden="false" customHeight="true" outlineLevel="0" collapsed="false">
      <c r="A7" s="29" t="s">
        <v>72</v>
      </c>
      <c r="B7" s="29"/>
      <c r="C7" s="29"/>
    </row>
    <row r="8" customFormat="false" ht="30" hidden="false" customHeight="true" outlineLevel="0" collapsed="false">
      <c r="A8" s="30" t="s">
        <v>73</v>
      </c>
      <c r="B8" s="30"/>
      <c r="C8" s="30"/>
    </row>
    <row r="9" customFormat="false" ht="30" hidden="false" customHeight="true" outlineLevel="0" collapsed="false">
      <c r="A9" s="30" t="s">
        <v>74</v>
      </c>
      <c r="B9" s="30"/>
      <c r="C9" s="30"/>
    </row>
    <row r="10" customFormat="false" ht="30" hidden="false" customHeight="true" outlineLevel="0" collapsed="false">
      <c r="A10" s="30" t="s">
        <v>75</v>
      </c>
      <c r="B10" s="30"/>
      <c r="C10" s="30"/>
    </row>
    <row r="12" customFormat="false" ht="15" hidden="false" customHeight="true" outlineLevel="0" collapsed="false">
      <c r="A12" s="29" t="s">
        <v>76</v>
      </c>
      <c r="B12" s="29"/>
      <c r="C12" s="29"/>
    </row>
    <row r="13" customFormat="false" ht="30" hidden="false" customHeight="true" outlineLevel="0" collapsed="false">
      <c r="A13" s="30" t="s">
        <v>77</v>
      </c>
      <c r="B13" s="30"/>
      <c r="C13" s="30"/>
    </row>
    <row r="15" customFormat="false" ht="15" hidden="false" customHeight="true" outlineLevel="0" collapsed="false">
      <c r="A15" s="29" t="s">
        <v>78</v>
      </c>
      <c r="B15" s="29"/>
      <c r="C15" s="29"/>
    </row>
    <row r="16" customFormat="false" ht="30" hidden="false" customHeight="true" outlineLevel="0" collapsed="false">
      <c r="A16" s="30" t="s">
        <v>79</v>
      </c>
      <c r="B16" s="30"/>
      <c r="C16" s="30"/>
    </row>
    <row r="18" customFormat="false" ht="15" hidden="false" customHeight="true" outlineLevel="0" collapsed="false">
      <c r="A18" s="29" t="s">
        <v>80</v>
      </c>
      <c r="B18" s="29"/>
      <c r="C18" s="29"/>
    </row>
    <row r="19" customFormat="false" ht="30" hidden="false" customHeight="true" outlineLevel="0" collapsed="false">
      <c r="A19" s="30" t="s">
        <v>81</v>
      </c>
      <c r="B19" s="30"/>
      <c r="C19" s="30"/>
    </row>
    <row r="21" customFormat="false" ht="15" hidden="false" customHeight="true" outlineLevel="0" collapsed="false">
      <c r="A21" s="29" t="s">
        <v>82</v>
      </c>
      <c r="B21" s="29"/>
      <c r="C21" s="29"/>
    </row>
    <row r="22" customFormat="false" ht="30" hidden="false" customHeight="true" outlineLevel="0" collapsed="false">
      <c r="A22" s="30" t="s">
        <v>83</v>
      </c>
      <c r="B22" s="30"/>
      <c r="C22" s="30"/>
    </row>
  </sheetData>
  <mergeCells count="16">
    <mergeCell ref="A1:C1"/>
    <mergeCell ref="A2:C2"/>
    <mergeCell ref="A4:C4"/>
    <mergeCell ref="A5:C5"/>
    <mergeCell ref="A7:C7"/>
    <mergeCell ref="A8:C8"/>
    <mergeCell ref="A9:C9"/>
    <mergeCell ref="A10:C10"/>
    <mergeCell ref="A12:C12"/>
    <mergeCell ref="A13:C13"/>
    <mergeCell ref="A15:C15"/>
    <mergeCell ref="A16:C16"/>
    <mergeCell ref="A18:C18"/>
    <mergeCell ref="A19:C19"/>
    <mergeCell ref="A21:C21"/>
    <mergeCell ref="A22:C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2026-07-23T18:15:12Z</dcterms:created>
  <dc:creator>openpyxl</dc:creator>
  <dc:description/>
  <dc:language>en-US</dc:language>
  <cp:lastModifiedBy/>
  <dcterms:modified xsi:type="dcterms:W3CDTF">2026-07-23T18:15:12Z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