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Explore Excel\Explore Excel Updated\explore-excel-complete\explore-excel\public\downloads\"/>
    </mc:Choice>
  </mc:AlternateContent>
  <xr:revisionPtr revIDLastSave="0" documentId="13_ncr:1_{ADBCECBE-406B-4419-8F9C-EE6035B6C244}" xr6:coauthVersionLast="36" xr6:coauthVersionMax="36" xr10:uidLastSave="{00000000-0000-0000-0000-000000000000}"/>
  <bookViews>
    <workbookView xWindow="0" yWindow="0" windowWidth="16380" windowHeight="8196" tabRatio="500" xr2:uid="{00000000-000D-0000-FFFF-FFFF00000000}"/>
  </bookViews>
  <sheets>
    <sheet name="Forecast" sheetId="1" r:id="rId1"/>
    <sheet name="Assumptions" sheetId="2" r:id="rId2"/>
    <sheet name="Actuals" sheetId="3" r:id="rId3"/>
    <sheet name="Read me" sheetId="4" r:id="rId4"/>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17" i="3" l="1"/>
  <c r="D16" i="3"/>
  <c r="D15" i="3"/>
  <c r="D14" i="3"/>
  <c r="D13" i="3"/>
  <c r="D12" i="3"/>
  <c r="D11" i="3"/>
  <c r="D10" i="3"/>
  <c r="D9" i="3"/>
  <c r="D8" i="3"/>
  <c r="D7" i="3"/>
  <c r="D6" i="3"/>
  <c r="D5" i="3"/>
  <c r="B13" i="2"/>
  <c r="O27" i="1"/>
  <c r="N27" i="1"/>
  <c r="M27" i="1"/>
  <c r="L27" i="1"/>
  <c r="K27" i="1"/>
  <c r="J27" i="1"/>
  <c r="I27" i="1"/>
  <c r="H27" i="1"/>
  <c r="G27" i="1"/>
  <c r="F27" i="1"/>
  <c r="E27" i="1"/>
  <c r="D27" i="1"/>
  <c r="C27" i="1"/>
  <c r="O15" i="1"/>
  <c r="O31" i="1" s="1"/>
  <c r="N15" i="1"/>
  <c r="N31" i="1" s="1"/>
  <c r="M15" i="1"/>
  <c r="M31" i="1" s="1"/>
  <c r="L15" i="1"/>
  <c r="L31" i="1" s="1"/>
  <c r="K15" i="1"/>
  <c r="K31" i="1" s="1"/>
  <c r="J15" i="1"/>
  <c r="J31" i="1" s="1"/>
  <c r="I15" i="1"/>
  <c r="I31" i="1" s="1"/>
  <c r="H15" i="1"/>
  <c r="H31" i="1" s="1"/>
  <c r="G15" i="1"/>
  <c r="G31" i="1" s="1"/>
  <c r="F15" i="1"/>
  <c r="F31" i="1" s="1"/>
  <c r="E15" i="1"/>
  <c r="E31" i="1" s="1"/>
  <c r="D15" i="1"/>
  <c r="D31" i="1" s="1"/>
  <c r="C15" i="1"/>
  <c r="C31" i="1" s="1"/>
  <c r="O8" i="1"/>
  <c r="A17" i="3" s="1"/>
  <c r="C6" i="1"/>
  <c r="C5" i="1"/>
  <c r="C30" i="1" s="1"/>
  <c r="C33" i="1" s="1"/>
  <c r="C4" i="1"/>
  <c r="N8" i="1" s="1"/>
  <c r="A16" i="3" s="1"/>
  <c r="C34" i="1" l="1"/>
  <c r="B5" i="3"/>
  <c r="E5" i="3" s="1"/>
  <c r="D30" i="1"/>
  <c r="D33" i="1" s="1"/>
  <c r="C36" i="1"/>
  <c r="C8" i="1"/>
  <c r="A5" i="3" s="1"/>
  <c r="F8" i="1"/>
  <c r="A8" i="3" s="1"/>
  <c r="G8" i="1"/>
  <c r="A9" i="3" s="1"/>
  <c r="H8" i="1"/>
  <c r="A10" i="3" s="1"/>
  <c r="I8" i="1"/>
  <c r="A11" i="3" s="1"/>
  <c r="D8" i="1"/>
  <c r="A6" i="3" s="1"/>
  <c r="E8" i="1"/>
  <c r="A7" i="3" s="1"/>
  <c r="J8" i="1"/>
  <c r="A12" i="3" s="1"/>
  <c r="K8" i="1"/>
  <c r="A13" i="3" s="1"/>
  <c r="L8" i="1"/>
  <c r="A14" i="3" s="1"/>
  <c r="M8" i="1"/>
  <c r="A15" i="3" s="1"/>
  <c r="D34" i="1" l="1"/>
  <c r="E30" i="1"/>
  <c r="E33" i="1" s="1"/>
  <c r="D36" i="1"/>
  <c r="B6" i="3"/>
  <c r="E6" i="3" s="1"/>
  <c r="E34" i="1" l="1"/>
  <c r="B7" i="3"/>
  <c r="E7" i="3" s="1"/>
  <c r="F30" i="1"/>
  <c r="F33" i="1" s="1"/>
  <c r="E36" i="1"/>
  <c r="B8" i="3" l="1"/>
  <c r="E8" i="3" s="1"/>
  <c r="F34" i="1"/>
  <c r="G30" i="1"/>
  <c r="G33" i="1" s="1"/>
  <c r="F36" i="1"/>
  <c r="G34" i="1" l="1"/>
  <c r="H30" i="1"/>
  <c r="H33" i="1" s="1"/>
  <c r="G36" i="1"/>
  <c r="B9" i="3"/>
  <c r="E9" i="3" s="1"/>
  <c r="H34" i="1" l="1"/>
  <c r="I30" i="1"/>
  <c r="I33" i="1" s="1"/>
  <c r="H36" i="1"/>
  <c r="B10" i="3"/>
  <c r="E10" i="3" s="1"/>
  <c r="J30" i="1" l="1"/>
  <c r="J33" i="1" s="1"/>
  <c r="I36" i="1"/>
  <c r="B11" i="3"/>
  <c r="E11" i="3" s="1"/>
  <c r="I34" i="1"/>
  <c r="K30" i="1" l="1"/>
  <c r="K33" i="1" s="1"/>
  <c r="J36" i="1"/>
  <c r="J34" i="1"/>
  <c r="B12" i="3"/>
  <c r="E12" i="3" s="1"/>
  <c r="K36" i="1" l="1"/>
  <c r="K34" i="1"/>
  <c r="L30" i="1"/>
  <c r="L33" i="1" s="1"/>
  <c r="B13" i="3"/>
  <c r="E13" i="3" s="1"/>
  <c r="L36" i="1" l="1"/>
  <c r="M30" i="1"/>
  <c r="M33" i="1" s="1"/>
  <c r="B14" i="3"/>
  <c r="E14" i="3" s="1"/>
  <c r="L34" i="1"/>
  <c r="M36" i="1" l="1"/>
  <c r="N30" i="1"/>
  <c r="N33" i="1" s="1"/>
  <c r="B15" i="3"/>
  <c r="E15" i="3" s="1"/>
  <c r="M34" i="1"/>
  <c r="B16" i="3" l="1"/>
  <c r="E16" i="3" s="1"/>
  <c r="N36" i="1"/>
  <c r="N34" i="1"/>
  <c r="O30" i="1"/>
  <c r="O33" i="1" s="1"/>
  <c r="B17" i="3" l="1"/>
  <c r="E17" i="3" s="1"/>
  <c r="O36" i="1"/>
  <c r="O34" i="1"/>
</calcChain>
</file>

<file path=xl/sharedStrings.xml><?xml version="1.0" encoding="utf-8"?>
<sst xmlns="http://schemas.openxmlformats.org/spreadsheetml/2006/main" count="98" uniqueCount="84">
  <si>
    <t>13-Week Cash Flow Forecast</t>
  </si>
  <si>
    <t>Explore Excel  ·  exploreexcel.com  ·  Enter values in blue, everything else calculates</t>
  </si>
  <si>
    <t>Forecast start date</t>
  </si>
  <si>
    <t>Opening cash balance</t>
  </si>
  <si>
    <t>Minimum cash buffer</t>
  </si>
  <si>
    <t>Line item</t>
  </si>
  <si>
    <t>Category</t>
  </si>
  <si>
    <t>RECEIPTS</t>
  </si>
  <si>
    <t>Cash sales</t>
  </si>
  <si>
    <t>Trading</t>
  </si>
  <si>
    <t>Receipts from debtors</t>
  </si>
  <si>
    <t>Other income</t>
  </si>
  <si>
    <t>Loan drawdown</t>
  </si>
  <si>
    <t>Financing</t>
  </si>
  <si>
    <t>Asset disposals</t>
  </si>
  <si>
    <t>Investing</t>
  </si>
  <si>
    <t>Total receipts</t>
  </si>
  <si>
    <t>PAYMENTS</t>
  </si>
  <si>
    <t>Payments to suppliers</t>
  </si>
  <si>
    <t>Payroll and wages</t>
  </si>
  <si>
    <t>Rent and utilities</t>
  </si>
  <si>
    <t>Marketing</t>
  </si>
  <si>
    <t>Professional fees</t>
  </si>
  <si>
    <t>Tax payments</t>
  </si>
  <si>
    <t>Loan repayments</t>
  </si>
  <si>
    <t>Interest paid</t>
  </si>
  <si>
    <t>Capital expenditure</t>
  </si>
  <si>
    <t>Total payments</t>
  </si>
  <si>
    <t>CASH POSITION</t>
  </si>
  <si>
    <t>Opening balance</t>
  </si>
  <si>
    <t>Net movement</t>
  </si>
  <si>
    <t>Closing balance</t>
  </si>
  <si>
    <t>Headroom over buffer</t>
  </si>
  <si>
    <t>Below buffer?</t>
  </si>
  <si>
    <t>How to use this file</t>
  </si>
  <si>
    <t>Blue text</t>
  </si>
  <si>
    <t>You fill these in. Everything else calculates itself.</t>
  </si>
  <si>
    <t>Black text</t>
  </si>
  <si>
    <t>Formulas. Do not overwrite these.</t>
  </si>
  <si>
    <t>Shaded green</t>
  </si>
  <si>
    <t>Totals and calculated results.</t>
  </si>
  <si>
    <t>Note: every week header is calculated from the start date on Assumptions. Change that one date and the whole forecast shifts.</t>
  </si>
  <si>
    <t>Assumptions</t>
  </si>
  <si>
    <t>Change these. The forecast follows.</t>
  </si>
  <si>
    <t>2026-01-05</t>
  </si>
  <si>
    <t>Monday of week 1. Every column header on Forecast counts forward from here.</t>
  </si>
  <si>
    <t>Bank balance on the start date, per the statement, not the ledger.</t>
  </si>
  <si>
    <t>The level you do not want to drop below. Drives the headroom row and the red flags.</t>
  </si>
  <si>
    <t>Debtor collection assumptions</t>
  </si>
  <si>
    <t>Collected within 30 days</t>
  </si>
  <si>
    <t>Proportion of invoices settled in the first month.</t>
  </si>
  <si>
    <t>Collected in 31-60 days</t>
  </si>
  <si>
    <t>The next tranche.</t>
  </si>
  <si>
    <t>Collected in 61-90 days</t>
  </si>
  <si>
    <t>Slow payers.</t>
  </si>
  <si>
    <t>Written off</t>
  </si>
  <si>
    <t>Bad debt provision.</t>
  </si>
  <si>
    <t>Total</t>
  </si>
  <si>
    <t>Must equal 100%. If it does not, your collection profile is wrong.</t>
  </si>
  <si>
    <t>Actual vs Forecast</t>
  </si>
  <si>
    <t>Enter what really happened. Variance calculates against the forecast.</t>
  </si>
  <si>
    <t>Week ending</t>
  </si>
  <si>
    <t>Forecast closing</t>
  </si>
  <si>
    <t>Actual closing</t>
  </si>
  <si>
    <t>Variance</t>
  </si>
  <si>
    <t>Variance %</t>
  </si>
  <si>
    <t>Comment</t>
  </si>
  <si>
    <t>A variance you cannot explain is worth more attention than a large one you can.</t>
  </si>
  <si>
    <t>How this workbook works</t>
  </si>
  <si>
    <t>Explore Excel  ·  exploreexcel.com</t>
  </si>
  <si>
    <t>What this is</t>
  </si>
  <si>
    <t>A rolling thirteen-week cash forecast. Thirteen weeks because it is one quarter — far enough ahead to act on a shortfall, close enough that the numbers mean something.</t>
  </si>
  <si>
    <t>Where to start</t>
  </si>
  <si>
    <t>1. Open Assumptions and set the start date, opening balance and buffer.</t>
  </si>
  <si>
    <t>2. Go to Forecast and fill in the blue cells, week by week.</t>
  </si>
  <si>
    <t>3. Each Friday, enter the real closing balance on Actuals.</t>
  </si>
  <si>
    <t>The colour convention</t>
  </si>
  <si>
    <t>Blue text is an input. Black text is a formula. Green shading is a total. This is the standard used in financial models, so anyone in finance will read it without being told.</t>
  </si>
  <si>
    <t>What the flags mean</t>
  </si>
  <si>
    <t>A closing balance below zero turns red. Headroom below your buffer turns amber. The CHECK row flags any week where you drop under the buffer.</t>
  </si>
  <si>
    <t>Rolling it forward</t>
  </si>
  <si>
    <t>Each week, change the start date on Assumptions by seven days and update the opening balance to last week's actual closing. The whole grid shifts. That is the entire maintenance routine.</t>
  </si>
  <si>
    <t>One honest caveat</t>
  </si>
  <si>
    <t>A forecast is a set of assumptions, not a prediction. The value is in noticing early that reality has diverged from what you assumed — which is why the Actuals sheet matters more than the Forecast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</si>
</sst>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
    <numFmt numFmtId="165" formatCode="#,##0.00;\(#,##0.00\);\-"/>
    <numFmt numFmtId="166" formatCode="dd\-mmm"/>
    <numFmt numFmtId="167" formatCode="0.0%;\(0.0%\);\-"/>
  </numFmts>
  <fonts count="11" x14ac:knownFonts="1">
    <font>
      <sz val="11"/>
      <color theme="1"/>
      <name val="Calibri"/>
      <family val="2"/>
      <charset val="1"/>
    </font>
    <font>
      <b/>
      <sz val="16"/>
      <color rgb="FFFFFFFF"/>
      <name val="Arial"/>
      <charset val="1"/>
    </font>
    <font>
      <sz val="9"/>
      <color rgb="FFC6E4D9"/>
      <name val="Arial"/>
      <charset val="1"/>
    </font>
    <font>
      <b/>
      <sz val="11"/>
      <color rgb="FF0A4A3A"/>
      <name val="Arial"/>
      <charset val="1"/>
    </font>
    <font>
      <sz val="10"/>
      <color rgb="FF141414"/>
      <name val="Arial"/>
      <charset val="1"/>
    </font>
    <font>
      <b/>
      <sz val="10"/>
      <color rgb="FFFFFFFF"/>
      <name val="Arial"/>
      <charset val="1"/>
    </font>
    <font>
      <sz val="10"/>
      <color rgb="FF0000FF"/>
      <name val="Arial"/>
      <charset val="1"/>
    </font>
    <font>
      <b/>
      <sz val="10"/>
      <color rgb="FF0A4A3A"/>
      <name val="Arial"/>
      <charset val="1"/>
    </font>
    <font>
      <b/>
      <sz val="10"/>
      <color rgb="FF141414"/>
      <name val="Arial"/>
      <charset val="1"/>
    </font>
    <font>
      <sz val="9"/>
      <color rgb="FF4A4A48"/>
      <name val="Arial"/>
      <charset val="1"/>
    </font>
    <font>
      <i/>
      <sz val="9"/>
      <color rgb="FF4A4A48"/>
      <name val="Arial"/>
      <charset val="1"/>
    </font>
  </fonts>
  <fills count="5">
    <fill>
      <patternFill patternType="none"/>
    </fill>
    <fill>
      <patternFill patternType="gray125"/>
    </fill>
    <fill>
      <patternFill patternType="solid">
        <fgColor rgb="FF0F6E56"/>
        <bgColor rgb="FF008080"/>
      </patternFill>
    </fill>
    <fill>
      <patternFill patternType="solid">
        <fgColor rgb="FFE1F5EE"/>
        <bgColor rgb="FFE4E4E0"/>
      </patternFill>
    </fill>
    <fill>
      <patternFill patternType="solid">
        <fgColor rgb="FFFFFDF0"/>
        <bgColor rgb="FFFFFFFF"/>
      </patternFill>
    </fill>
  </fills>
  <borders count="2">
    <border>
      <left/>
      <right/>
      <top/>
      <bottom/>
      <diagonal/>
    </border>
    <border>
      <left style="thin">
        <color rgb="FFE4E4E0"/>
      </left>
      <right style="thin">
        <color rgb="FFE4E4E0"/>
      </right>
      <top style="thin">
        <color rgb="FFE4E4E0"/>
      </top>
      <bottom style="thin">
        <color rgb="FFE4E4E0"/>
      </bottom>
      <diagonal/>
    </border>
  </borders>
  <cellStyleXfs count="1">
    <xf numFmtId="0" fontId="0" fillId="0" borderId="0"/>
  </cellStyleXfs>
  <cellXfs count="31">
    <xf numFmtId="0" fontId="0" fillId="0" borderId="0" xfId="0"/>
    <xf numFmtId="0" fontId="3" fillId="0" borderId="0" xfId="0" applyFont="1"/>
    <xf numFmtId="164" fontId="4" fillId="0" borderId="0" xfId="0" applyNumberFormat="1" applyFont="1"/>
    <xf numFmtId="165" fontId="4" fillId="0" borderId="0" xfId="0" applyNumberFormat="1" applyFont="1"/>
    <xf numFmtId="0" fontId="5" fillId="2" borderId="1" xfId="0" applyFont="1" applyFill="1" applyBorder="1"/>
    <xf numFmtId="166" fontId="5" fillId="2" borderId="1" xfId="0" applyNumberFormat="1" applyFont="1" applyFill="1" applyBorder="1" applyAlignment="1">
      <alignment horizontal="center" vertical="center"/>
    </xf>
    <xf numFmtId="0" fontId="3" fillId="3" borderId="0" xfId="0" applyFont="1" applyFill="1"/>
    <xf numFmtId="0" fontId="0" fillId="3" borderId="0" xfId="0" applyFill="1"/>
    <xf numFmtId="0" fontId="4" fillId="0" borderId="0" xfId="0" applyFont="1"/>
    <xf numFmtId="165" fontId="6" fillId="0" borderId="1" xfId="0" applyNumberFormat="1" applyFont="1" applyBorder="1"/>
    <xf numFmtId="0" fontId="7" fillId="3" borderId="0" xfId="0" applyFont="1" applyFill="1"/>
    <xf numFmtId="165" fontId="7" fillId="3" borderId="1" xfId="0" applyNumberFormat="1" applyFont="1" applyFill="1" applyBorder="1"/>
    <xf numFmtId="0" fontId="8" fillId="0" borderId="0" xfId="0" applyFont="1"/>
    <xf numFmtId="165" fontId="4" fillId="0" borderId="1" xfId="0" applyNumberFormat="1" applyFont="1" applyBorder="1"/>
    <xf numFmtId="0" fontId="4" fillId="0" borderId="1" xfId="0" applyFont="1" applyBorder="1" applyAlignment="1">
      <alignment horizontal="center"/>
    </xf>
    <xf numFmtId="0" fontId="6" fillId="0" borderId="0" xfId="0" applyFont="1"/>
    <xf numFmtId="0" fontId="9" fillId="0" borderId="0" xfId="0" applyFont="1"/>
    <xf numFmtId="0" fontId="10" fillId="0" borderId="0" xfId="0" applyFont="1"/>
    <xf numFmtId="164" fontId="6" fillId="4" borderId="1" xfId="0" applyNumberFormat="1" applyFont="1" applyFill="1" applyBorder="1"/>
    <xf numFmtId="165" fontId="6" fillId="4" borderId="1" xfId="0" applyNumberFormat="1" applyFont="1" applyFill="1" applyBorder="1"/>
    <xf numFmtId="167" fontId="6" fillId="4" borderId="1" xfId="0" applyNumberFormat="1" applyFont="1" applyFill="1" applyBorder="1"/>
    <xf numFmtId="0" fontId="7" fillId="0" borderId="0" xfId="0" applyFont="1"/>
    <xf numFmtId="167" fontId="7" fillId="3" borderId="1" xfId="0" applyNumberFormat="1" applyFont="1" applyFill="1" applyBorder="1"/>
    <xf numFmtId="0" fontId="5" fillId="2" borderId="1" xfId="0" applyFont="1" applyFill="1" applyBorder="1" applyAlignment="1">
      <alignment horizontal="center" vertical="center" wrapText="1"/>
    </xf>
    <xf numFmtId="164" fontId="4" fillId="0" borderId="1" xfId="0" applyNumberFormat="1" applyFont="1" applyBorder="1"/>
    <xf numFmtId="167" fontId="4" fillId="0" borderId="1" xfId="0" applyNumberFormat="1" applyFont="1" applyBorder="1"/>
    <xf numFmtId="0" fontId="6" fillId="4" borderId="1" xfId="0" applyFont="1" applyFill="1" applyBorder="1"/>
    <xf numFmtId="0" fontId="1" fillId="2" borderId="0" xfId="0" applyFont="1" applyFill="1" applyBorder="1" applyAlignment="1">
      <alignment vertical="center" indent="1"/>
    </xf>
    <xf numFmtId="0" fontId="2" fillId="2" borderId="0" xfId="0" applyFont="1" applyFill="1" applyBorder="1" applyAlignment="1">
      <alignment vertical="center" indent="1"/>
    </xf>
    <xf numFmtId="0" fontId="4" fillId="0" borderId="0" xfId="0" applyFont="1" applyBorder="1" applyAlignment="1">
      <alignment vertical="top" wrapText="1"/>
    </xf>
    <xf numFmtId="0" fontId="3" fillId="0" borderId="0" xfId="0" applyFont="1" applyBorder="1" applyAlignment="1">
      <alignment vertical="top" wrapText="1"/>
    </xf>
  </cellXfs>
  <cellStyles count="1">
    <cellStyle name="Normal" xfId="0" builtinId="0"/>
  </cellStyles>
  <dxfs count="4">
    <dxf>
      <font>
        <sz val="10"/>
        <color rgb="FF7A2020"/>
        <name val="Arial"/>
        <charset val="1"/>
      </font>
      <fill>
        <patternFill>
          <bgColor rgb="FFFCECEC"/>
        </patternFill>
      </fill>
    </dxf>
    <dxf>
      <font>
        <b/>
        <sz val="10"/>
        <color rgb="FF7A2020"/>
        <name val="Arial"/>
        <charset val="1"/>
      </font>
      <fill>
        <patternFill>
          <bgColor rgb="FFFCECEC"/>
        </patternFill>
      </fill>
    </dxf>
    <dxf>
      <font>
        <sz val="10"/>
        <color rgb="FF7A5410"/>
        <name val="Arial"/>
        <charset val="1"/>
      </font>
      <fill>
        <patternFill>
          <bgColor rgb="FFFDF4E3"/>
        </patternFill>
      </fill>
    </dxf>
    <dxf>
      <font>
        <b/>
        <sz val="10"/>
        <color rgb="FF7A2020"/>
        <name val="Arial"/>
        <charset val="1"/>
      </font>
      <fill>
        <patternFill>
          <bgColor rgb="FFFCECE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A5410"/>
      <rgbColor rgb="FF800080"/>
      <rgbColor rgb="FF0F6E56"/>
      <rgbColor rgb="FFC0C0C0"/>
      <rgbColor rgb="FF808080"/>
      <rgbColor rgb="FF9999FF"/>
      <rgbColor rgb="FF993366"/>
      <rgbColor rgb="FFFDF4E3"/>
      <rgbColor rgb="FFE1F5EE"/>
      <rgbColor rgb="FF660066"/>
      <rgbColor rgb="FFFF8080"/>
      <rgbColor rgb="FF0066CC"/>
      <rgbColor rgb="FFE4E4E0"/>
      <rgbColor rgb="FF000080"/>
      <rgbColor rgb="FFFF00FF"/>
      <rgbColor rgb="FFFFFF00"/>
      <rgbColor rgb="FF00FFFF"/>
      <rgbColor rgb="FF800080"/>
      <rgbColor rgb="FF800000"/>
      <rgbColor rgb="FF008080"/>
      <rgbColor rgb="FF0000FF"/>
      <rgbColor rgb="FF00CCFF"/>
      <rgbColor rgb="FFFFFDF0"/>
      <rgbColor rgb="FFC6E4D9"/>
      <rgbColor rgb="FFFCECEC"/>
      <rgbColor rgb="FF99CCFF"/>
      <rgbColor rgb="FFFF99CC"/>
      <rgbColor rgb="FFCC99FF"/>
      <rgbColor rgb="FFFFCC99"/>
      <rgbColor rgb="FF3366FF"/>
      <rgbColor rgb="FF33CCCC"/>
      <rgbColor rgb="FF99CC00"/>
      <rgbColor rgb="FFFFCC00"/>
      <rgbColor rgb="FFFF9900"/>
      <rgbColor rgb="FFFF6600"/>
      <rgbColor rgb="FF666699"/>
      <rgbColor rgb="FF969696"/>
      <rgbColor rgb="FF0A4A3A"/>
      <rgbColor rgb="FF339966"/>
      <rgbColor rgb="FF141414"/>
      <rgbColor rgb="FF333300"/>
      <rgbColor rgb="FF7A2020"/>
      <rgbColor rgb="FF993366"/>
      <rgbColor rgb="FF333399"/>
      <rgbColor rgb="FF4A4A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3"/>
  <sheetViews>
    <sheetView showGridLines="0" tabSelected="1" zoomScaleNormal="100" workbookViewId="0">
      <pane xSplit="2" ySplit="8" topLeftCell="C9" activePane="bottomRight" state="frozen"/>
      <selection pane="topRight" activeCell="C1" sqref="C1"/>
      <selection pane="bottomLeft" activeCell="A9" sqref="A9"/>
      <selection pane="bottomRight" sqref="A1:O1"/>
    </sheetView>
  </sheetViews>
  <sheetFormatPr defaultColWidth="8.6640625" defaultRowHeight="14.4" x14ac:dyDescent="0.3"/>
  <cols>
    <col min="1" max="1" width="26" customWidth="1"/>
    <col min="2" max="2" width="13" customWidth="1"/>
    <col min="3" max="15" width="12" customWidth="1"/>
  </cols>
  <sheetData>
    <row r="1" spans="1:15" ht="25.5" customHeight="1" x14ac:dyDescent="0.3">
      <c r="A1" s="27" t="s">
        <v>0</v>
      </c>
      <c r="B1" s="27"/>
      <c r="C1" s="27"/>
      <c r="D1" s="27"/>
      <c r="E1" s="27"/>
      <c r="F1" s="27"/>
      <c r="G1" s="27"/>
      <c r="H1" s="27"/>
      <c r="I1" s="27"/>
      <c r="J1" s="27"/>
      <c r="K1" s="27"/>
      <c r="L1" s="27"/>
      <c r="M1" s="27"/>
      <c r="N1" s="27"/>
      <c r="O1" s="27"/>
    </row>
    <row r="2" spans="1:15" ht="15" customHeight="1" x14ac:dyDescent="0.3">
      <c r="A2" s="28" t="s">
        <v>1</v>
      </c>
      <c r="B2" s="28"/>
      <c r="C2" s="28"/>
      <c r="D2" s="28"/>
      <c r="E2" s="28"/>
      <c r="F2" s="28"/>
      <c r="G2" s="28"/>
      <c r="H2" s="28"/>
      <c r="I2" s="28"/>
      <c r="J2" s="28"/>
      <c r="K2" s="28"/>
      <c r="L2" s="28"/>
      <c r="M2" s="28"/>
      <c r="N2" s="28"/>
      <c r="O2" s="28"/>
    </row>
    <row r="4" spans="1:15" x14ac:dyDescent="0.3">
      <c r="A4" s="1" t="s">
        <v>2</v>
      </c>
      <c r="C4" s="2" t="str">
        <f>Assumptions!B4</f>
        <v>2026-01-05</v>
      </c>
    </row>
    <row r="5" spans="1:15" x14ac:dyDescent="0.3">
      <c r="A5" s="1" t="s">
        <v>3</v>
      </c>
      <c r="C5" s="3">
        <f>Assumptions!B5</f>
        <v>45000</v>
      </c>
    </row>
    <row r="6" spans="1:15" x14ac:dyDescent="0.3">
      <c r="A6" s="1" t="s">
        <v>4</v>
      </c>
      <c r="C6" s="3">
        <f>Assumptions!B6</f>
        <v>20000</v>
      </c>
    </row>
    <row r="8" spans="1:15" ht="21.75" customHeight="1" x14ac:dyDescent="0.3">
      <c r="A8" s="4" t="s">
        <v>5</v>
      </c>
      <c r="B8" s="4" t="s">
        <v>6</v>
      </c>
      <c r="C8" s="5">
        <f>$C$4+0</f>
        <v>46027</v>
      </c>
      <c r="D8" s="5">
        <f>$C$4+7</f>
        <v>46034</v>
      </c>
      <c r="E8" s="5">
        <f>$C$4+14</f>
        <v>46041</v>
      </c>
      <c r="F8" s="5">
        <f>$C$4+21</f>
        <v>46048</v>
      </c>
      <c r="G8" s="5">
        <f>$C$4+28</f>
        <v>46055</v>
      </c>
      <c r="H8" s="5">
        <f>$C$4+35</f>
        <v>46062</v>
      </c>
      <c r="I8" s="5">
        <f>$C$4+42</f>
        <v>46069</v>
      </c>
      <c r="J8" s="5">
        <f>$C$4+49</f>
        <v>46076</v>
      </c>
      <c r="K8" s="5">
        <f>$C$4+56</f>
        <v>46083</v>
      </c>
      <c r="L8" s="5">
        <f>$C$4+63</f>
        <v>46090</v>
      </c>
      <c r="M8" s="5">
        <f>$C$4+70</f>
        <v>46097</v>
      </c>
      <c r="N8" s="5">
        <f>$C$4+77</f>
        <v>46104</v>
      </c>
      <c r="O8" s="5">
        <f>$C$4+84</f>
        <v>46111</v>
      </c>
    </row>
    <row r="9" spans="1:15" x14ac:dyDescent="0.3">
      <c r="A9" s="6" t="s">
        <v>7</v>
      </c>
      <c r="B9" s="7"/>
      <c r="C9" s="7"/>
      <c r="D9" s="7"/>
      <c r="E9" s="7"/>
      <c r="F9" s="7"/>
      <c r="G9" s="7"/>
      <c r="H9" s="7"/>
      <c r="I9" s="7"/>
      <c r="J9" s="7"/>
      <c r="K9" s="7"/>
      <c r="L9" s="7"/>
      <c r="M9" s="7"/>
      <c r="N9" s="7"/>
      <c r="O9" s="7"/>
    </row>
    <row r="10" spans="1:15" x14ac:dyDescent="0.3">
      <c r="A10" s="8" t="s">
        <v>8</v>
      </c>
      <c r="B10" s="8" t="s">
        <v>9</v>
      </c>
      <c r="C10" s="9">
        <v>0</v>
      </c>
      <c r="D10" s="9">
        <v>0</v>
      </c>
      <c r="E10" s="9">
        <v>0</v>
      </c>
      <c r="F10" s="9">
        <v>0</v>
      </c>
      <c r="G10" s="9">
        <v>0</v>
      </c>
      <c r="H10" s="9">
        <v>0</v>
      </c>
      <c r="I10" s="9">
        <v>0</v>
      </c>
      <c r="J10" s="9">
        <v>0</v>
      </c>
      <c r="K10" s="9">
        <v>0</v>
      </c>
      <c r="L10" s="9">
        <v>0</v>
      </c>
      <c r="M10" s="9">
        <v>0</v>
      </c>
      <c r="N10" s="9">
        <v>0</v>
      </c>
      <c r="O10" s="9">
        <v>0</v>
      </c>
    </row>
    <row r="11" spans="1:15" x14ac:dyDescent="0.3">
      <c r="A11" s="8" t="s">
        <v>10</v>
      </c>
      <c r="B11" s="8" t="s">
        <v>9</v>
      </c>
      <c r="C11" s="9">
        <v>0</v>
      </c>
      <c r="D11" s="9">
        <v>0</v>
      </c>
      <c r="E11" s="9">
        <v>0</v>
      </c>
      <c r="F11" s="9">
        <v>0</v>
      </c>
      <c r="G11" s="9">
        <v>0</v>
      </c>
      <c r="H11" s="9">
        <v>0</v>
      </c>
      <c r="I11" s="9">
        <v>0</v>
      </c>
      <c r="J11" s="9">
        <v>0</v>
      </c>
      <c r="K11" s="9">
        <v>0</v>
      </c>
      <c r="L11" s="9">
        <v>0</v>
      </c>
      <c r="M11" s="9">
        <v>0</v>
      </c>
      <c r="N11" s="9">
        <v>0</v>
      </c>
      <c r="O11" s="9">
        <v>0</v>
      </c>
    </row>
    <row r="12" spans="1:15" x14ac:dyDescent="0.3">
      <c r="A12" s="8" t="s">
        <v>11</v>
      </c>
      <c r="B12" s="8" t="s">
        <v>9</v>
      </c>
      <c r="C12" s="9">
        <v>0</v>
      </c>
      <c r="D12" s="9">
        <v>0</v>
      </c>
      <c r="E12" s="9">
        <v>0</v>
      </c>
      <c r="F12" s="9">
        <v>0</v>
      </c>
      <c r="G12" s="9">
        <v>0</v>
      </c>
      <c r="H12" s="9">
        <v>0</v>
      </c>
      <c r="I12" s="9">
        <v>0</v>
      </c>
      <c r="J12" s="9">
        <v>0</v>
      </c>
      <c r="K12" s="9">
        <v>0</v>
      </c>
      <c r="L12" s="9">
        <v>0</v>
      </c>
      <c r="M12" s="9">
        <v>0</v>
      </c>
      <c r="N12" s="9">
        <v>0</v>
      </c>
      <c r="O12" s="9">
        <v>0</v>
      </c>
    </row>
    <row r="13" spans="1:15" x14ac:dyDescent="0.3">
      <c r="A13" s="8" t="s">
        <v>12</v>
      </c>
      <c r="B13" s="8" t="s">
        <v>13</v>
      </c>
      <c r="C13" s="9">
        <v>0</v>
      </c>
      <c r="D13" s="9">
        <v>0</v>
      </c>
      <c r="E13" s="9">
        <v>0</v>
      </c>
      <c r="F13" s="9">
        <v>0</v>
      </c>
      <c r="G13" s="9">
        <v>0</v>
      </c>
      <c r="H13" s="9">
        <v>0</v>
      </c>
      <c r="I13" s="9">
        <v>0</v>
      </c>
      <c r="J13" s="9">
        <v>0</v>
      </c>
      <c r="K13" s="9">
        <v>0</v>
      </c>
      <c r="L13" s="9">
        <v>0</v>
      </c>
      <c r="M13" s="9">
        <v>0</v>
      </c>
      <c r="N13" s="9">
        <v>0</v>
      </c>
      <c r="O13" s="9">
        <v>0</v>
      </c>
    </row>
    <row r="14" spans="1:15" x14ac:dyDescent="0.3">
      <c r="A14" s="8" t="s">
        <v>14</v>
      </c>
      <c r="B14" s="8" t="s">
        <v>15</v>
      </c>
      <c r="C14" s="9">
        <v>0</v>
      </c>
      <c r="D14" s="9">
        <v>0</v>
      </c>
      <c r="E14" s="9">
        <v>0</v>
      </c>
      <c r="F14" s="9">
        <v>0</v>
      </c>
      <c r="G14" s="9">
        <v>0</v>
      </c>
      <c r="H14" s="9">
        <v>0</v>
      </c>
      <c r="I14" s="9">
        <v>0</v>
      </c>
      <c r="J14" s="9">
        <v>0</v>
      </c>
      <c r="K14" s="9">
        <v>0</v>
      </c>
      <c r="L14" s="9">
        <v>0</v>
      </c>
      <c r="M14" s="9">
        <v>0</v>
      </c>
      <c r="N14" s="9">
        <v>0</v>
      </c>
      <c r="O14" s="9">
        <v>0</v>
      </c>
    </row>
    <row r="15" spans="1:15" x14ac:dyDescent="0.3">
      <c r="A15" s="10" t="s">
        <v>16</v>
      </c>
      <c r="B15" s="7"/>
      <c r="C15" s="11">
        <f t="shared" ref="C15:O15" si="0">SUM(C10:C14)</f>
        <v>0</v>
      </c>
      <c r="D15" s="11">
        <f t="shared" si="0"/>
        <v>0</v>
      </c>
      <c r="E15" s="11">
        <f t="shared" si="0"/>
        <v>0</v>
      </c>
      <c r="F15" s="11">
        <f t="shared" si="0"/>
        <v>0</v>
      </c>
      <c r="G15" s="11">
        <f t="shared" si="0"/>
        <v>0</v>
      </c>
      <c r="H15" s="11">
        <f t="shared" si="0"/>
        <v>0</v>
      </c>
      <c r="I15" s="11">
        <f t="shared" si="0"/>
        <v>0</v>
      </c>
      <c r="J15" s="11">
        <f t="shared" si="0"/>
        <v>0</v>
      </c>
      <c r="K15" s="11">
        <f t="shared" si="0"/>
        <v>0</v>
      </c>
      <c r="L15" s="11">
        <f t="shared" si="0"/>
        <v>0</v>
      </c>
      <c r="M15" s="11">
        <f t="shared" si="0"/>
        <v>0</v>
      </c>
      <c r="N15" s="11">
        <f t="shared" si="0"/>
        <v>0</v>
      </c>
      <c r="O15" s="11">
        <f t="shared" si="0"/>
        <v>0</v>
      </c>
    </row>
    <row r="17" spans="1:15" x14ac:dyDescent="0.3">
      <c r="A17" s="6" t="s">
        <v>17</v>
      </c>
      <c r="B17" s="7"/>
      <c r="C17" s="7"/>
      <c r="D17" s="7"/>
      <c r="E17" s="7"/>
      <c r="F17" s="7"/>
      <c r="G17" s="7"/>
      <c r="H17" s="7"/>
      <c r="I17" s="7"/>
      <c r="J17" s="7"/>
      <c r="K17" s="7"/>
      <c r="L17" s="7"/>
      <c r="M17" s="7"/>
      <c r="N17" s="7"/>
      <c r="O17" s="7"/>
    </row>
    <row r="18" spans="1:15" x14ac:dyDescent="0.3">
      <c r="A18" s="8" t="s">
        <v>18</v>
      </c>
      <c r="B18" s="8" t="s">
        <v>9</v>
      </c>
      <c r="C18" s="9">
        <v>0</v>
      </c>
      <c r="D18" s="9">
        <v>0</v>
      </c>
      <c r="E18" s="9">
        <v>0</v>
      </c>
      <c r="F18" s="9">
        <v>0</v>
      </c>
      <c r="G18" s="9">
        <v>0</v>
      </c>
      <c r="H18" s="9">
        <v>0</v>
      </c>
      <c r="I18" s="9">
        <v>0</v>
      </c>
      <c r="J18" s="9">
        <v>0</v>
      </c>
      <c r="K18" s="9">
        <v>0</v>
      </c>
      <c r="L18" s="9">
        <v>0</v>
      </c>
      <c r="M18" s="9">
        <v>0</v>
      </c>
      <c r="N18" s="9">
        <v>0</v>
      </c>
      <c r="O18" s="9">
        <v>0</v>
      </c>
    </row>
    <row r="19" spans="1:15" x14ac:dyDescent="0.3">
      <c r="A19" s="8" t="s">
        <v>19</v>
      </c>
      <c r="B19" s="8" t="s">
        <v>9</v>
      </c>
      <c r="C19" s="9">
        <v>0</v>
      </c>
      <c r="D19" s="9">
        <v>0</v>
      </c>
      <c r="E19" s="9">
        <v>0</v>
      </c>
      <c r="F19" s="9">
        <v>0</v>
      </c>
      <c r="G19" s="9">
        <v>0</v>
      </c>
      <c r="H19" s="9">
        <v>0</v>
      </c>
      <c r="I19" s="9">
        <v>0</v>
      </c>
      <c r="J19" s="9">
        <v>0</v>
      </c>
      <c r="K19" s="9">
        <v>0</v>
      </c>
      <c r="L19" s="9">
        <v>0</v>
      </c>
      <c r="M19" s="9">
        <v>0</v>
      </c>
      <c r="N19" s="9">
        <v>0</v>
      </c>
      <c r="O19" s="9">
        <v>0</v>
      </c>
    </row>
    <row r="20" spans="1:15" x14ac:dyDescent="0.3">
      <c r="A20" s="8" t="s">
        <v>20</v>
      </c>
      <c r="B20" s="8" t="s">
        <v>9</v>
      </c>
      <c r="C20" s="9">
        <v>0</v>
      </c>
      <c r="D20" s="9">
        <v>0</v>
      </c>
      <c r="E20" s="9">
        <v>0</v>
      </c>
      <c r="F20" s="9">
        <v>0</v>
      </c>
      <c r="G20" s="9">
        <v>0</v>
      </c>
      <c r="H20" s="9">
        <v>0</v>
      </c>
      <c r="I20" s="9">
        <v>0</v>
      </c>
      <c r="J20" s="9">
        <v>0</v>
      </c>
      <c r="K20" s="9">
        <v>0</v>
      </c>
      <c r="L20" s="9">
        <v>0</v>
      </c>
      <c r="M20" s="9">
        <v>0</v>
      </c>
      <c r="N20" s="9">
        <v>0</v>
      </c>
      <c r="O20" s="9">
        <v>0</v>
      </c>
    </row>
    <row r="21" spans="1:15" x14ac:dyDescent="0.3">
      <c r="A21" s="8" t="s">
        <v>21</v>
      </c>
      <c r="B21" s="8" t="s">
        <v>9</v>
      </c>
      <c r="C21" s="9">
        <v>0</v>
      </c>
      <c r="D21" s="9">
        <v>0</v>
      </c>
      <c r="E21" s="9">
        <v>0</v>
      </c>
      <c r="F21" s="9">
        <v>0</v>
      </c>
      <c r="G21" s="9">
        <v>0</v>
      </c>
      <c r="H21" s="9">
        <v>0</v>
      </c>
      <c r="I21" s="9">
        <v>0</v>
      </c>
      <c r="J21" s="9">
        <v>0</v>
      </c>
      <c r="K21" s="9">
        <v>0</v>
      </c>
      <c r="L21" s="9">
        <v>0</v>
      </c>
      <c r="M21" s="9">
        <v>0</v>
      </c>
      <c r="N21" s="9">
        <v>0</v>
      </c>
      <c r="O21" s="9">
        <v>0</v>
      </c>
    </row>
    <row r="22" spans="1:15" x14ac:dyDescent="0.3">
      <c r="A22" s="8" t="s">
        <v>22</v>
      </c>
      <c r="B22" s="8" t="s">
        <v>9</v>
      </c>
      <c r="C22" s="9">
        <v>0</v>
      </c>
      <c r="D22" s="9">
        <v>0</v>
      </c>
      <c r="E22" s="9">
        <v>0</v>
      </c>
      <c r="F22" s="9">
        <v>0</v>
      </c>
      <c r="G22" s="9">
        <v>0</v>
      </c>
      <c r="H22" s="9">
        <v>0</v>
      </c>
      <c r="I22" s="9">
        <v>0</v>
      </c>
      <c r="J22" s="9">
        <v>0</v>
      </c>
      <c r="K22" s="9">
        <v>0</v>
      </c>
      <c r="L22" s="9">
        <v>0</v>
      </c>
      <c r="M22" s="9">
        <v>0</v>
      </c>
      <c r="N22" s="9">
        <v>0</v>
      </c>
      <c r="O22" s="9">
        <v>0</v>
      </c>
    </row>
    <row r="23" spans="1:15" x14ac:dyDescent="0.3">
      <c r="A23" s="8" t="s">
        <v>23</v>
      </c>
      <c r="B23" s="8" t="s">
        <v>9</v>
      </c>
      <c r="C23" s="9">
        <v>0</v>
      </c>
      <c r="D23" s="9">
        <v>0</v>
      </c>
      <c r="E23" s="9">
        <v>0</v>
      </c>
      <c r="F23" s="9">
        <v>0</v>
      </c>
      <c r="G23" s="9">
        <v>0</v>
      </c>
      <c r="H23" s="9">
        <v>0</v>
      </c>
      <c r="I23" s="9">
        <v>0</v>
      </c>
      <c r="J23" s="9">
        <v>0</v>
      </c>
      <c r="K23" s="9">
        <v>0</v>
      </c>
      <c r="L23" s="9">
        <v>0</v>
      </c>
      <c r="M23" s="9">
        <v>0</v>
      </c>
      <c r="N23" s="9">
        <v>0</v>
      </c>
      <c r="O23" s="9">
        <v>0</v>
      </c>
    </row>
    <row r="24" spans="1:15" x14ac:dyDescent="0.3">
      <c r="A24" s="8" t="s">
        <v>24</v>
      </c>
      <c r="B24" s="8" t="s">
        <v>13</v>
      </c>
      <c r="C24" s="9">
        <v>0</v>
      </c>
      <c r="D24" s="9">
        <v>0</v>
      </c>
      <c r="E24" s="9">
        <v>0</v>
      </c>
      <c r="F24" s="9">
        <v>0</v>
      </c>
      <c r="G24" s="9">
        <v>0</v>
      </c>
      <c r="H24" s="9">
        <v>0</v>
      </c>
      <c r="I24" s="9">
        <v>0</v>
      </c>
      <c r="J24" s="9">
        <v>0</v>
      </c>
      <c r="K24" s="9">
        <v>0</v>
      </c>
      <c r="L24" s="9">
        <v>0</v>
      </c>
      <c r="M24" s="9">
        <v>0</v>
      </c>
      <c r="N24" s="9">
        <v>0</v>
      </c>
      <c r="O24" s="9">
        <v>0</v>
      </c>
    </row>
    <row r="25" spans="1:15" x14ac:dyDescent="0.3">
      <c r="A25" s="8" t="s">
        <v>25</v>
      </c>
      <c r="B25" s="8" t="s">
        <v>13</v>
      </c>
      <c r="C25" s="9">
        <v>0</v>
      </c>
      <c r="D25" s="9">
        <v>0</v>
      </c>
      <c r="E25" s="9">
        <v>0</v>
      </c>
      <c r="F25" s="9">
        <v>0</v>
      </c>
      <c r="G25" s="9">
        <v>0</v>
      </c>
      <c r="H25" s="9">
        <v>0</v>
      </c>
      <c r="I25" s="9">
        <v>0</v>
      </c>
      <c r="J25" s="9">
        <v>0</v>
      </c>
      <c r="K25" s="9">
        <v>0</v>
      </c>
      <c r="L25" s="9">
        <v>0</v>
      </c>
      <c r="M25" s="9">
        <v>0</v>
      </c>
      <c r="N25" s="9">
        <v>0</v>
      </c>
      <c r="O25" s="9">
        <v>0</v>
      </c>
    </row>
    <row r="26" spans="1:15" x14ac:dyDescent="0.3">
      <c r="A26" s="8" t="s">
        <v>26</v>
      </c>
      <c r="B26" s="8" t="s">
        <v>15</v>
      </c>
      <c r="C26" s="9">
        <v>0</v>
      </c>
      <c r="D26" s="9">
        <v>0</v>
      </c>
      <c r="E26" s="9">
        <v>0</v>
      </c>
      <c r="F26" s="9">
        <v>0</v>
      </c>
      <c r="G26" s="9">
        <v>0</v>
      </c>
      <c r="H26" s="9">
        <v>0</v>
      </c>
      <c r="I26" s="9">
        <v>0</v>
      </c>
      <c r="J26" s="9">
        <v>0</v>
      </c>
      <c r="K26" s="9">
        <v>0</v>
      </c>
      <c r="L26" s="9">
        <v>0</v>
      </c>
      <c r="M26" s="9">
        <v>0</v>
      </c>
      <c r="N26" s="9">
        <v>0</v>
      </c>
      <c r="O26" s="9">
        <v>0</v>
      </c>
    </row>
    <row r="27" spans="1:15" x14ac:dyDescent="0.3">
      <c r="A27" s="10" t="s">
        <v>27</v>
      </c>
      <c r="B27" s="7"/>
      <c r="C27" s="11">
        <f t="shared" ref="C27:O27" si="1">SUM(C18:C26)</f>
        <v>0</v>
      </c>
      <c r="D27" s="11">
        <f t="shared" si="1"/>
        <v>0</v>
      </c>
      <c r="E27" s="11">
        <f t="shared" si="1"/>
        <v>0</v>
      </c>
      <c r="F27" s="11">
        <f t="shared" si="1"/>
        <v>0</v>
      </c>
      <c r="G27" s="11">
        <f t="shared" si="1"/>
        <v>0</v>
      </c>
      <c r="H27" s="11">
        <f t="shared" si="1"/>
        <v>0</v>
      </c>
      <c r="I27" s="11">
        <f t="shared" si="1"/>
        <v>0</v>
      </c>
      <c r="J27" s="11">
        <f t="shared" si="1"/>
        <v>0</v>
      </c>
      <c r="K27" s="11">
        <f t="shared" si="1"/>
        <v>0</v>
      </c>
      <c r="L27" s="11">
        <f t="shared" si="1"/>
        <v>0</v>
      </c>
      <c r="M27" s="11">
        <f t="shared" si="1"/>
        <v>0</v>
      </c>
      <c r="N27" s="11">
        <f t="shared" si="1"/>
        <v>0</v>
      </c>
      <c r="O27" s="11">
        <f t="shared" si="1"/>
        <v>0</v>
      </c>
    </row>
    <row r="29" spans="1:15" x14ac:dyDescent="0.3">
      <c r="A29" s="6" t="s">
        <v>28</v>
      </c>
      <c r="B29" s="7"/>
      <c r="C29" s="7"/>
      <c r="D29" s="7"/>
      <c r="E29" s="7"/>
      <c r="F29" s="7"/>
      <c r="G29" s="7"/>
      <c r="H29" s="7"/>
      <c r="I29" s="7"/>
      <c r="J29" s="7"/>
      <c r="K29" s="7"/>
      <c r="L29" s="7"/>
      <c r="M29" s="7"/>
      <c r="N29" s="7"/>
      <c r="O29" s="7"/>
    </row>
    <row r="30" spans="1:15" x14ac:dyDescent="0.3">
      <c r="A30" s="12" t="s">
        <v>29</v>
      </c>
      <c r="C30" s="13">
        <f>$C$5</f>
        <v>45000</v>
      </c>
      <c r="D30" s="13">
        <f t="shared" ref="D30:O30" si="2">C33</f>
        <v>45000</v>
      </c>
      <c r="E30" s="13">
        <f t="shared" si="2"/>
        <v>45000</v>
      </c>
      <c r="F30" s="13">
        <f t="shared" si="2"/>
        <v>45000</v>
      </c>
      <c r="G30" s="13">
        <f t="shared" si="2"/>
        <v>45000</v>
      </c>
      <c r="H30" s="13">
        <f t="shared" si="2"/>
        <v>45000</v>
      </c>
      <c r="I30" s="13">
        <f t="shared" si="2"/>
        <v>45000</v>
      </c>
      <c r="J30" s="13">
        <f t="shared" si="2"/>
        <v>45000</v>
      </c>
      <c r="K30" s="13">
        <f t="shared" si="2"/>
        <v>45000</v>
      </c>
      <c r="L30" s="13">
        <f t="shared" si="2"/>
        <v>45000</v>
      </c>
      <c r="M30" s="13">
        <f t="shared" si="2"/>
        <v>45000</v>
      </c>
      <c r="N30" s="13">
        <f t="shared" si="2"/>
        <v>45000</v>
      </c>
      <c r="O30" s="13">
        <f t="shared" si="2"/>
        <v>45000</v>
      </c>
    </row>
    <row r="31" spans="1:15" x14ac:dyDescent="0.3">
      <c r="A31" s="12" t="s">
        <v>30</v>
      </c>
      <c r="C31" s="13">
        <f t="shared" ref="C31:O31" si="3">C15-C27</f>
        <v>0</v>
      </c>
      <c r="D31" s="13">
        <f t="shared" si="3"/>
        <v>0</v>
      </c>
      <c r="E31" s="13">
        <f t="shared" si="3"/>
        <v>0</v>
      </c>
      <c r="F31" s="13">
        <f t="shared" si="3"/>
        <v>0</v>
      </c>
      <c r="G31" s="13">
        <f t="shared" si="3"/>
        <v>0</v>
      </c>
      <c r="H31" s="13">
        <f t="shared" si="3"/>
        <v>0</v>
      </c>
      <c r="I31" s="13">
        <f t="shared" si="3"/>
        <v>0</v>
      </c>
      <c r="J31" s="13">
        <f t="shared" si="3"/>
        <v>0</v>
      </c>
      <c r="K31" s="13">
        <f t="shared" si="3"/>
        <v>0</v>
      </c>
      <c r="L31" s="13">
        <f t="shared" si="3"/>
        <v>0</v>
      </c>
      <c r="M31" s="13">
        <f t="shared" si="3"/>
        <v>0</v>
      </c>
      <c r="N31" s="13">
        <f t="shared" si="3"/>
        <v>0</v>
      </c>
      <c r="O31" s="13">
        <f t="shared" si="3"/>
        <v>0</v>
      </c>
    </row>
    <row r="32" spans="1:15" x14ac:dyDescent="0.3">
      <c r="A32" s="8"/>
    </row>
    <row r="33" spans="1:15" x14ac:dyDescent="0.3">
      <c r="A33" s="10" t="s">
        <v>31</v>
      </c>
      <c r="B33" s="7"/>
      <c r="C33" s="11">
        <f t="shared" ref="C33:O33" si="4">C30+C31</f>
        <v>45000</v>
      </c>
      <c r="D33" s="11">
        <f t="shared" si="4"/>
        <v>45000</v>
      </c>
      <c r="E33" s="11">
        <f t="shared" si="4"/>
        <v>45000</v>
      </c>
      <c r="F33" s="11">
        <f t="shared" si="4"/>
        <v>45000</v>
      </c>
      <c r="G33" s="11">
        <f t="shared" si="4"/>
        <v>45000</v>
      </c>
      <c r="H33" s="11">
        <f t="shared" si="4"/>
        <v>45000</v>
      </c>
      <c r="I33" s="11">
        <f t="shared" si="4"/>
        <v>45000</v>
      </c>
      <c r="J33" s="11">
        <f t="shared" si="4"/>
        <v>45000</v>
      </c>
      <c r="K33" s="11">
        <f t="shared" si="4"/>
        <v>45000</v>
      </c>
      <c r="L33" s="11">
        <f t="shared" si="4"/>
        <v>45000</v>
      </c>
      <c r="M33" s="11">
        <f t="shared" si="4"/>
        <v>45000</v>
      </c>
      <c r="N33" s="11">
        <f t="shared" si="4"/>
        <v>45000</v>
      </c>
      <c r="O33" s="11">
        <f t="shared" si="4"/>
        <v>45000</v>
      </c>
    </row>
    <row r="34" spans="1:15" x14ac:dyDescent="0.3">
      <c r="A34" s="12" t="s">
        <v>32</v>
      </c>
      <c r="C34" s="13">
        <f t="shared" ref="C34:O34" si="5">C33-$C$6</f>
        <v>25000</v>
      </c>
      <c r="D34" s="13">
        <f t="shared" si="5"/>
        <v>25000</v>
      </c>
      <c r="E34" s="13">
        <f t="shared" si="5"/>
        <v>25000</v>
      </c>
      <c r="F34" s="13">
        <f t="shared" si="5"/>
        <v>25000</v>
      </c>
      <c r="G34" s="13">
        <f t="shared" si="5"/>
        <v>25000</v>
      </c>
      <c r="H34" s="13">
        <f t="shared" si="5"/>
        <v>25000</v>
      </c>
      <c r="I34" s="13">
        <f t="shared" si="5"/>
        <v>25000</v>
      </c>
      <c r="J34" s="13">
        <f t="shared" si="5"/>
        <v>25000</v>
      </c>
      <c r="K34" s="13">
        <f t="shared" si="5"/>
        <v>25000</v>
      </c>
      <c r="L34" s="13">
        <f t="shared" si="5"/>
        <v>25000</v>
      </c>
      <c r="M34" s="13">
        <f t="shared" si="5"/>
        <v>25000</v>
      </c>
      <c r="N34" s="13">
        <f t="shared" si="5"/>
        <v>25000</v>
      </c>
      <c r="O34" s="13">
        <f t="shared" si="5"/>
        <v>25000</v>
      </c>
    </row>
    <row r="36" spans="1:15" x14ac:dyDescent="0.3">
      <c r="A36" s="12" t="s">
        <v>33</v>
      </c>
      <c r="C36" s="14" t="str">
        <f t="shared" ref="C36:O36" si="6">IF(C33&lt;$C$6,"CHECK","")</f>
        <v/>
      </c>
      <c r="D36" s="14" t="str">
        <f t="shared" si="6"/>
        <v/>
      </c>
      <c r="E36" s="14" t="str">
        <f t="shared" si="6"/>
        <v/>
      </c>
      <c r="F36" s="14" t="str">
        <f t="shared" si="6"/>
        <v/>
      </c>
      <c r="G36" s="14" t="str">
        <f t="shared" si="6"/>
        <v/>
      </c>
      <c r="H36" s="14" t="str">
        <f t="shared" si="6"/>
        <v/>
      </c>
      <c r="I36" s="14" t="str">
        <f t="shared" si="6"/>
        <v/>
      </c>
      <c r="J36" s="14" t="str">
        <f t="shared" si="6"/>
        <v/>
      </c>
      <c r="K36" s="14" t="str">
        <f t="shared" si="6"/>
        <v/>
      </c>
      <c r="L36" s="14" t="str">
        <f t="shared" si="6"/>
        <v/>
      </c>
      <c r="M36" s="14" t="str">
        <f t="shared" si="6"/>
        <v/>
      </c>
      <c r="N36" s="14" t="str">
        <f t="shared" si="6"/>
        <v/>
      </c>
      <c r="O36" s="14" t="str">
        <f t="shared" si="6"/>
        <v/>
      </c>
    </row>
    <row r="38" spans="1:15" x14ac:dyDescent="0.3">
      <c r="A38" s="1" t="s">
        <v>34</v>
      </c>
    </row>
    <row r="39" spans="1:15" x14ac:dyDescent="0.3">
      <c r="A39" s="15" t="s">
        <v>35</v>
      </c>
      <c r="B39" s="16" t="s">
        <v>36</v>
      </c>
    </row>
    <row r="40" spans="1:15" x14ac:dyDescent="0.3">
      <c r="A40" s="16" t="s">
        <v>37</v>
      </c>
      <c r="B40" s="16" t="s">
        <v>38</v>
      </c>
    </row>
    <row r="41" spans="1:15" x14ac:dyDescent="0.3">
      <c r="A41" s="16" t="s">
        <v>39</v>
      </c>
      <c r="B41" s="16" t="s">
        <v>40</v>
      </c>
    </row>
    <row r="43" spans="1:15" x14ac:dyDescent="0.3">
      <c r="A43" s="17" t="s">
        <v>41</v>
      </c>
    </row>
  </sheetData>
  <mergeCells count="2">
    <mergeCell ref="A1:O1"/>
    <mergeCell ref="A2:O2"/>
  </mergeCells>
  <conditionalFormatting sqref="C33:O33">
    <cfRule type="cellIs" dxfId="3" priority="2" operator="lessThan">
      <formula>0</formula>
    </cfRule>
  </conditionalFormatting>
  <conditionalFormatting sqref="C34:O34">
    <cfRule type="cellIs" dxfId="2" priority="3" operator="lessThan">
      <formula>0</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showGridLines="0" zoomScaleNormal="100" workbookViewId="0">
      <selection sqref="A1:D1"/>
    </sheetView>
  </sheetViews>
  <sheetFormatPr defaultColWidth="8.6640625" defaultRowHeight="14.4" x14ac:dyDescent="0.3"/>
  <cols>
    <col min="1" max="1" width="30" customWidth="1"/>
    <col min="2" max="2" width="14" customWidth="1"/>
    <col min="3" max="3" width="62" customWidth="1"/>
  </cols>
  <sheetData>
    <row r="1" spans="1:4" ht="25.5" customHeight="1" x14ac:dyDescent="0.3">
      <c r="A1" s="27" t="s">
        <v>42</v>
      </c>
      <c r="B1" s="27"/>
      <c r="C1" s="27"/>
      <c r="D1" s="27"/>
    </row>
    <row r="2" spans="1:4" ht="15" customHeight="1" x14ac:dyDescent="0.3">
      <c r="A2" s="28" t="s">
        <v>43</v>
      </c>
      <c r="B2" s="28"/>
      <c r="C2" s="28"/>
      <c r="D2" s="28"/>
    </row>
    <row r="4" spans="1:4" x14ac:dyDescent="0.3">
      <c r="A4" s="12" t="s">
        <v>2</v>
      </c>
      <c r="B4" s="18" t="s">
        <v>44</v>
      </c>
      <c r="C4" s="17" t="s">
        <v>45</v>
      </c>
    </row>
    <row r="5" spans="1:4" x14ac:dyDescent="0.3">
      <c r="A5" s="12" t="s">
        <v>3</v>
      </c>
      <c r="B5" s="19">
        <v>45000</v>
      </c>
      <c r="C5" s="17" t="s">
        <v>46</v>
      </c>
    </row>
    <row r="6" spans="1:4" x14ac:dyDescent="0.3">
      <c r="A6" s="12" t="s">
        <v>4</v>
      </c>
      <c r="B6" s="19">
        <v>20000</v>
      </c>
      <c r="C6" s="17" t="s">
        <v>47</v>
      </c>
    </row>
    <row r="8" spans="1:4" x14ac:dyDescent="0.3">
      <c r="A8" s="1" t="s">
        <v>48</v>
      </c>
    </row>
    <row r="9" spans="1:4" x14ac:dyDescent="0.3">
      <c r="A9" s="8" t="s">
        <v>49</v>
      </c>
      <c r="B9" s="20">
        <v>0.6</v>
      </c>
      <c r="C9" s="17" t="s">
        <v>50</v>
      </c>
    </row>
    <row r="10" spans="1:4" x14ac:dyDescent="0.3">
      <c r="A10" s="8" t="s">
        <v>51</v>
      </c>
      <c r="B10" s="20">
        <v>0.3</v>
      </c>
      <c r="C10" s="17" t="s">
        <v>52</v>
      </c>
    </row>
    <row r="11" spans="1:4" x14ac:dyDescent="0.3">
      <c r="A11" s="8" t="s">
        <v>53</v>
      </c>
      <c r="B11" s="20">
        <v>0.08</v>
      </c>
      <c r="C11" s="17" t="s">
        <v>54</v>
      </c>
    </row>
    <row r="12" spans="1:4" x14ac:dyDescent="0.3">
      <c r="A12" s="8" t="s">
        <v>55</v>
      </c>
      <c r="B12" s="20">
        <v>0.02</v>
      </c>
      <c r="C12" s="17" t="s">
        <v>56</v>
      </c>
    </row>
    <row r="13" spans="1:4" x14ac:dyDescent="0.3">
      <c r="A13" s="21" t="s">
        <v>57</v>
      </c>
      <c r="B13" s="22">
        <f>SUM(B9:B12)</f>
        <v>0.99999999999999989</v>
      </c>
      <c r="C13" s="17" t="s">
        <v>58</v>
      </c>
    </row>
  </sheetData>
  <mergeCells count="2">
    <mergeCell ref="A1:D1"/>
    <mergeCell ref="A2:D2"/>
  </mergeCells>
  <conditionalFormatting sqref="B13">
    <cfRule type="cellIs" dxfId="1" priority="2" operator="notEqual">
      <formula>1</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showGridLines="0" zoomScaleNormal="100" workbookViewId="0">
      <selection sqref="A1:F1"/>
    </sheetView>
  </sheetViews>
  <sheetFormatPr defaultColWidth="8.6640625" defaultRowHeight="14.4" x14ac:dyDescent="0.3"/>
  <cols>
    <col min="1" max="1" width="14" customWidth="1"/>
    <col min="2" max="3" width="17" customWidth="1"/>
    <col min="4" max="4" width="14" customWidth="1"/>
    <col min="5" max="5" width="12" customWidth="1"/>
    <col min="6" max="6" width="44" customWidth="1"/>
  </cols>
  <sheetData>
    <row r="1" spans="1:6" ht="25.5" customHeight="1" x14ac:dyDescent="0.3">
      <c r="A1" s="27" t="s">
        <v>59</v>
      </c>
      <c r="B1" s="27"/>
      <c r="C1" s="27"/>
      <c r="D1" s="27"/>
      <c r="E1" s="27"/>
      <c r="F1" s="27"/>
    </row>
    <row r="2" spans="1:6" ht="15" customHeight="1" x14ac:dyDescent="0.3">
      <c r="A2" s="28" t="s">
        <v>60</v>
      </c>
      <c r="B2" s="28"/>
      <c r="C2" s="28"/>
      <c r="D2" s="28"/>
      <c r="E2" s="28"/>
      <c r="F2" s="28"/>
    </row>
    <row r="4" spans="1:6" ht="24" customHeight="1" x14ac:dyDescent="0.3">
      <c r="A4" s="23" t="s">
        <v>61</v>
      </c>
      <c r="B4" s="23" t="s">
        <v>62</v>
      </c>
      <c r="C4" s="23" t="s">
        <v>63</v>
      </c>
      <c r="D4" s="23" t="s">
        <v>64</v>
      </c>
      <c r="E4" s="23" t="s">
        <v>65</v>
      </c>
      <c r="F4" s="23" t="s">
        <v>66</v>
      </c>
    </row>
    <row r="5" spans="1:6" x14ac:dyDescent="0.3">
      <c r="A5" s="24">
        <f>Forecast!C$8</f>
        <v>46027</v>
      </c>
      <c r="B5" s="13">
        <f>Forecast!C$33</f>
        <v>45000</v>
      </c>
      <c r="C5" s="19"/>
      <c r="D5" s="13" t="str">
        <f t="shared" ref="D5:D17" si="0">IF(C5="","",C5-B5)</f>
        <v/>
      </c>
      <c r="E5" s="25" t="str">
        <f t="shared" ref="E5:E17" si="1">IF(OR(C5="",B5=0),"",D5/ABS(B5))</f>
        <v/>
      </c>
      <c r="F5" s="26"/>
    </row>
    <row r="6" spans="1:6" x14ac:dyDescent="0.3">
      <c r="A6" s="24">
        <f>Forecast!D$8</f>
        <v>46034</v>
      </c>
      <c r="B6" s="13">
        <f>Forecast!D$33</f>
        <v>45000</v>
      </c>
      <c r="C6" s="19"/>
      <c r="D6" s="13" t="str">
        <f t="shared" si="0"/>
        <v/>
      </c>
      <c r="E6" s="25" t="str">
        <f t="shared" si="1"/>
        <v/>
      </c>
      <c r="F6" s="26"/>
    </row>
    <row r="7" spans="1:6" x14ac:dyDescent="0.3">
      <c r="A7" s="24">
        <f>Forecast!E$8</f>
        <v>46041</v>
      </c>
      <c r="B7" s="13">
        <f>Forecast!E$33</f>
        <v>45000</v>
      </c>
      <c r="C7" s="19"/>
      <c r="D7" s="13" t="str">
        <f t="shared" si="0"/>
        <v/>
      </c>
      <c r="E7" s="25" t="str">
        <f t="shared" si="1"/>
        <v/>
      </c>
      <c r="F7" s="26"/>
    </row>
    <row r="8" spans="1:6" x14ac:dyDescent="0.3">
      <c r="A8" s="24">
        <f>Forecast!F$8</f>
        <v>46048</v>
      </c>
      <c r="B8" s="13">
        <f>Forecast!F$33</f>
        <v>45000</v>
      </c>
      <c r="C8" s="19"/>
      <c r="D8" s="13" t="str">
        <f t="shared" si="0"/>
        <v/>
      </c>
      <c r="E8" s="25" t="str">
        <f t="shared" si="1"/>
        <v/>
      </c>
      <c r="F8" s="26"/>
    </row>
    <row r="9" spans="1:6" x14ac:dyDescent="0.3">
      <c r="A9" s="24">
        <f>Forecast!G$8</f>
        <v>46055</v>
      </c>
      <c r="B9" s="13">
        <f>Forecast!G$33</f>
        <v>45000</v>
      </c>
      <c r="C9" s="19"/>
      <c r="D9" s="13" t="str">
        <f t="shared" si="0"/>
        <v/>
      </c>
      <c r="E9" s="25" t="str">
        <f t="shared" si="1"/>
        <v/>
      </c>
      <c r="F9" s="26"/>
    </row>
    <row r="10" spans="1:6" x14ac:dyDescent="0.3">
      <c r="A10" s="24">
        <f>Forecast!H$8</f>
        <v>46062</v>
      </c>
      <c r="B10" s="13">
        <f>Forecast!H$33</f>
        <v>45000</v>
      </c>
      <c r="C10" s="19"/>
      <c r="D10" s="13" t="str">
        <f t="shared" si="0"/>
        <v/>
      </c>
      <c r="E10" s="25" t="str">
        <f t="shared" si="1"/>
        <v/>
      </c>
      <c r="F10" s="26"/>
    </row>
    <row r="11" spans="1:6" x14ac:dyDescent="0.3">
      <c r="A11" s="24">
        <f>Forecast!I$8</f>
        <v>46069</v>
      </c>
      <c r="B11" s="13">
        <f>Forecast!I$33</f>
        <v>45000</v>
      </c>
      <c r="C11" s="19"/>
      <c r="D11" s="13" t="str">
        <f t="shared" si="0"/>
        <v/>
      </c>
      <c r="E11" s="25" t="str">
        <f t="shared" si="1"/>
        <v/>
      </c>
      <c r="F11" s="26"/>
    </row>
    <row r="12" spans="1:6" x14ac:dyDescent="0.3">
      <c r="A12" s="24">
        <f>Forecast!J$8</f>
        <v>46076</v>
      </c>
      <c r="B12" s="13">
        <f>Forecast!J$33</f>
        <v>45000</v>
      </c>
      <c r="C12" s="19"/>
      <c r="D12" s="13" t="str">
        <f t="shared" si="0"/>
        <v/>
      </c>
      <c r="E12" s="25" t="str">
        <f t="shared" si="1"/>
        <v/>
      </c>
      <c r="F12" s="26"/>
    </row>
    <row r="13" spans="1:6" x14ac:dyDescent="0.3">
      <c r="A13" s="24">
        <f>Forecast!K$8</f>
        <v>46083</v>
      </c>
      <c r="B13" s="13">
        <f>Forecast!K$33</f>
        <v>45000</v>
      </c>
      <c r="C13" s="19"/>
      <c r="D13" s="13" t="str">
        <f t="shared" si="0"/>
        <v/>
      </c>
      <c r="E13" s="25" t="str">
        <f t="shared" si="1"/>
        <v/>
      </c>
      <c r="F13" s="26"/>
    </row>
    <row r="14" spans="1:6" x14ac:dyDescent="0.3">
      <c r="A14" s="24">
        <f>Forecast!L$8</f>
        <v>46090</v>
      </c>
      <c r="B14" s="13">
        <f>Forecast!L$33</f>
        <v>45000</v>
      </c>
      <c r="C14" s="19"/>
      <c r="D14" s="13" t="str">
        <f t="shared" si="0"/>
        <v/>
      </c>
      <c r="E14" s="25" t="str">
        <f t="shared" si="1"/>
        <v/>
      </c>
      <c r="F14" s="26"/>
    </row>
    <row r="15" spans="1:6" x14ac:dyDescent="0.3">
      <c r="A15" s="24">
        <f>Forecast!M$8</f>
        <v>46097</v>
      </c>
      <c r="B15" s="13">
        <f>Forecast!M$33</f>
        <v>45000</v>
      </c>
      <c r="C15" s="19"/>
      <c r="D15" s="13" t="str">
        <f t="shared" si="0"/>
        <v/>
      </c>
      <c r="E15" s="25" t="str">
        <f t="shared" si="1"/>
        <v/>
      </c>
      <c r="F15" s="26"/>
    </row>
    <row r="16" spans="1:6" x14ac:dyDescent="0.3">
      <c r="A16" s="24">
        <f>Forecast!N$8</f>
        <v>46104</v>
      </c>
      <c r="B16" s="13">
        <f>Forecast!N$33</f>
        <v>45000</v>
      </c>
      <c r="C16" s="19"/>
      <c r="D16" s="13" t="str">
        <f t="shared" si="0"/>
        <v/>
      </c>
      <c r="E16" s="25" t="str">
        <f t="shared" si="1"/>
        <v/>
      </c>
      <c r="F16" s="26"/>
    </row>
    <row r="17" spans="1:6" x14ac:dyDescent="0.3">
      <c r="A17" s="24">
        <f>Forecast!O$8</f>
        <v>46111</v>
      </c>
      <c r="B17" s="13">
        <f>Forecast!O$33</f>
        <v>45000</v>
      </c>
      <c r="C17" s="19"/>
      <c r="D17" s="13" t="str">
        <f t="shared" si="0"/>
        <v/>
      </c>
      <c r="E17" s="25" t="str">
        <f t="shared" si="1"/>
        <v/>
      </c>
      <c r="F17" s="26"/>
    </row>
    <row r="20" spans="1:6" x14ac:dyDescent="0.3">
      <c r="A20" s="17" t="s">
        <v>67</v>
      </c>
    </row>
  </sheetData>
  <mergeCells count="2">
    <mergeCell ref="A1:F1"/>
    <mergeCell ref="A2:F2"/>
  </mergeCells>
  <conditionalFormatting sqref="D5:D17">
    <cfRule type="cellIs" dxfId="0" priority="2" operator="lessThan">
      <formula>0</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
  <sheetViews>
    <sheetView showGridLines="0" zoomScaleNormal="100" workbookViewId="0">
      <selection sqref="A1:C1"/>
    </sheetView>
  </sheetViews>
  <sheetFormatPr defaultColWidth="8.6640625" defaultRowHeight="14.4" x14ac:dyDescent="0.3"/>
  <cols>
    <col min="1" max="1" width="40" customWidth="1"/>
    <col min="2" max="3" width="30" customWidth="1"/>
  </cols>
  <sheetData>
    <row r="1" spans="1:3" ht="25.5" customHeight="1" x14ac:dyDescent="0.3">
      <c r="A1" s="27" t="s">
        <v>68</v>
      </c>
      <c r="B1" s="27"/>
      <c r="C1" s="27"/>
    </row>
    <row r="2" spans="1:3" ht="15" customHeight="1" x14ac:dyDescent="0.3">
      <c r="A2" s="28" t="s">
        <v>69</v>
      </c>
      <c r="B2" s="28"/>
      <c r="C2" s="28"/>
    </row>
    <row r="4" spans="1:3" ht="15" customHeight="1" x14ac:dyDescent="0.3">
      <c r="A4" s="30" t="s">
        <v>70</v>
      </c>
      <c r="B4" s="30"/>
      <c r="C4" s="30"/>
    </row>
    <row r="5" spans="1:3" ht="30" customHeight="1" x14ac:dyDescent="0.3">
      <c r="A5" s="29" t="s">
        <v>71</v>
      </c>
      <c r="B5" s="29"/>
      <c r="C5" s="29"/>
    </row>
    <row r="7" spans="1:3" ht="15" customHeight="1" x14ac:dyDescent="0.3">
      <c r="A7" s="30" t="s">
        <v>72</v>
      </c>
      <c r="B7" s="30"/>
      <c r="C7" s="30"/>
    </row>
    <row r="8" spans="1:3" ht="30" customHeight="1" x14ac:dyDescent="0.3">
      <c r="A8" s="29" t="s">
        <v>73</v>
      </c>
      <c r="B8" s="29"/>
      <c r="C8" s="29"/>
    </row>
    <row r="9" spans="1:3" ht="30" customHeight="1" x14ac:dyDescent="0.3">
      <c r="A9" s="29" t="s">
        <v>74</v>
      </c>
      <c r="B9" s="29"/>
      <c r="C9" s="29"/>
    </row>
    <row r="10" spans="1:3" ht="30" customHeight="1" x14ac:dyDescent="0.3">
      <c r="A10" s="29" t="s">
        <v>75</v>
      </c>
      <c r="B10" s="29"/>
      <c r="C10" s="29"/>
    </row>
    <row r="12" spans="1:3" ht="15" customHeight="1" x14ac:dyDescent="0.3">
      <c r="A12" s="30" t="s">
        <v>76</v>
      </c>
      <c r="B12" s="30"/>
      <c r="C12" s="30"/>
    </row>
    <row r="13" spans="1:3" ht="30" customHeight="1" x14ac:dyDescent="0.3">
      <c r="A13" s="29" t="s">
        <v>77</v>
      </c>
      <c r="B13" s="29"/>
      <c r="C13" s="29"/>
    </row>
    <row r="15" spans="1:3" ht="15" customHeight="1" x14ac:dyDescent="0.3">
      <c r="A15" s="30" t="s">
        <v>78</v>
      </c>
      <c r="B15" s="30"/>
      <c r="C15" s="30"/>
    </row>
    <row r="16" spans="1:3" ht="30" customHeight="1" x14ac:dyDescent="0.3">
      <c r="A16" s="29" t="s">
        <v>79</v>
      </c>
      <c r="B16" s="29"/>
      <c r="C16" s="29"/>
    </row>
    <row r="18" spans="1:3" ht="15" customHeight="1" x14ac:dyDescent="0.3">
      <c r="A18" s="30" t="s">
        <v>80</v>
      </c>
      <c r="B18" s="30"/>
      <c r="C18" s="30"/>
    </row>
    <row r="19" spans="1:3" ht="42.3" customHeight="1" x14ac:dyDescent="0.3">
      <c r="A19" s="29" t="s">
        <v>81</v>
      </c>
      <c r="B19" s="29"/>
      <c r="C19" s="29"/>
    </row>
    <row r="21" spans="1:3" ht="15" customHeight="1" x14ac:dyDescent="0.3">
      <c r="A21" s="30" t="s">
        <v>82</v>
      </c>
      <c r="B21" s="30"/>
      <c r="C21" s="30"/>
    </row>
    <row r="22" spans="1:3" ht="42.3" customHeight="1" x14ac:dyDescent="0.3">
      <c r="A22" s="29" t="s">
        <v>83</v>
      </c>
      <c r="B22" s="29"/>
      <c r="C22" s="29"/>
    </row>
  </sheetData>
  <mergeCells count="16">
    <mergeCell ref="A1:C1"/>
    <mergeCell ref="A2:C2"/>
    <mergeCell ref="A4:C4"/>
    <mergeCell ref="A5:C5"/>
    <mergeCell ref="A7:C7"/>
    <mergeCell ref="A8:C8"/>
    <mergeCell ref="A9:C9"/>
    <mergeCell ref="A10:C10"/>
    <mergeCell ref="A12:C12"/>
    <mergeCell ref="A13:C13"/>
    <mergeCell ref="A22:C22"/>
    <mergeCell ref="A15:C15"/>
    <mergeCell ref="A16:C16"/>
    <mergeCell ref="A18:C18"/>
    <mergeCell ref="A19:C19"/>
    <mergeCell ref="A21:C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Forecast</vt:lpstr>
      <vt:lpstr>Assumptions</vt:lpstr>
      <vt:lpstr>Actuals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Waseem Ahmad Khan</cp:lastModifiedBy>
  <cp:revision>0</cp:revision>
  <dcterms:created xsi:type="dcterms:W3CDTF">2026-07-23T18:15:12Z</dcterms:created>
  <dcterms:modified xsi:type="dcterms:W3CDTF">2026-08-19T06:16:53Z</dcterms:modified>
  <dc:language>en-US</dc:language>
</cp:coreProperties>
</file>