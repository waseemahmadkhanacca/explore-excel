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E:\Explore Excel\Explore Excel Updated\explore-excel-complete\explore-excel\public\downloads\"/>
    </mc:Choice>
  </mc:AlternateContent>
  <xr:revisionPtr revIDLastSave="0" documentId="13_ncr:1_{C1CEDBF6-71B6-4AC7-8066-6A0071A1774F}" xr6:coauthVersionLast="36" xr6:coauthVersionMax="36" xr10:uidLastSave="{00000000-0000-0000-0000-000000000000}"/>
  <bookViews>
    <workbookView xWindow="0" yWindow="0" windowWidth="16380" windowHeight="8196" tabRatio="500" xr2:uid="{00000000-000D-0000-FFFF-FFFF00000000}"/>
  </bookViews>
  <sheets>
    <sheet name="Statement" sheetId="1" r:id="rId1"/>
    <sheet name="Ledger" sheetId="2" r:id="rId2"/>
    <sheet name="Reconciliation" sheetId="3" r:id="rId3"/>
    <sheet name="Read me" sheetId="4" r:id="rId4"/>
  </sheets>
  <definedNames>
    <definedName name="_xlnm._FilterDatabase" localSheetId="1" hidden="1">Ledger!$A$4:$F$154</definedName>
    <definedName name="_xlnm._FilterDatabase" localSheetId="0" hidden="1">Statement!$A$4:$F$154</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13" i="3" l="1"/>
  <c r="C5" i="3"/>
  <c r="E154" i="2"/>
  <c r="F154" i="2" s="1"/>
  <c r="E153" i="2"/>
  <c r="F153" i="2" s="1"/>
  <c r="E152" i="2"/>
  <c r="F152" i="2" s="1"/>
  <c r="F151" i="2"/>
  <c r="E151" i="2"/>
  <c r="E150" i="2"/>
  <c r="F150" i="2" s="1"/>
  <c r="E149" i="2"/>
  <c r="F149" i="2" s="1"/>
  <c r="F148" i="2"/>
  <c r="E148" i="2"/>
  <c r="E147" i="2"/>
  <c r="F147" i="2" s="1"/>
  <c r="E146" i="2"/>
  <c r="F146" i="2" s="1"/>
  <c r="E145" i="2"/>
  <c r="F145" i="2" s="1"/>
  <c r="E144" i="2"/>
  <c r="F144" i="2" s="1"/>
  <c r="E143" i="2"/>
  <c r="F143" i="2" s="1"/>
  <c r="F142" i="2"/>
  <c r="E142" i="2"/>
  <c r="E141" i="2"/>
  <c r="F141" i="2" s="1"/>
  <c r="E140" i="2"/>
  <c r="F140" i="2" s="1"/>
  <c r="F139" i="2"/>
  <c r="E139" i="2"/>
  <c r="E138" i="2"/>
  <c r="F138" i="2" s="1"/>
  <c r="E137" i="2"/>
  <c r="F137" i="2" s="1"/>
  <c r="E136" i="2"/>
  <c r="F136" i="2" s="1"/>
  <c r="E135" i="2"/>
  <c r="F135" i="2" s="1"/>
  <c r="E134" i="2"/>
  <c r="F134" i="2" s="1"/>
  <c r="F133" i="2"/>
  <c r="E133" i="2"/>
  <c r="E132" i="2"/>
  <c r="F132" i="2" s="1"/>
  <c r="E131" i="2"/>
  <c r="F131" i="2" s="1"/>
  <c r="F130" i="2"/>
  <c r="E130" i="2"/>
  <c r="E129" i="2"/>
  <c r="F129" i="2" s="1"/>
  <c r="E128" i="2"/>
  <c r="F128" i="2" s="1"/>
  <c r="E127" i="2"/>
  <c r="F127" i="2" s="1"/>
  <c r="E126" i="2"/>
  <c r="F126" i="2" s="1"/>
  <c r="E125" i="2"/>
  <c r="F125" i="2" s="1"/>
  <c r="F124" i="2"/>
  <c r="E124" i="2"/>
  <c r="E123" i="2"/>
  <c r="F123" i="2" s="1"/>
  <c r="E122" i="2"/>
  <c r="F122" i="2" s="1"/>
  <c r="F121" i="2"/>
  <c r="E121" i="2"/>
  <c r="E120" i="2"/>
  <c r="F120" i="2" s="1"/>
  <c r="E119" i="2"/>
  <c r="F119" i="2" s="1"/>
  <c r="E118" i="2"/>
  <c r="F118" i="2" s="1"/>
  <c r="E117" i="2"/>
  <c r="F117" i="2" s="1"/>
  <c r="E116" i="2"/>
  <c r="F116" i="2" s="1"/>
  <c r="F115" i="2"/>
  <c r="E115" i="2"/>
  <c r="E114" i="2"/>
  <c r="F114" i="2" s="1"/>
  <c r="E113" i="2"/>
  <c r="F113" i="2" s="1"/>
  <c r="F112" i="2"/>
  <c r="E112" i="2"/>
  <c r="E111" i="2"/>
  <c r="F111" i="2" s="1"/>
  <c r="E110" i="2"/>
  <c r="F110" i="2" s="1"/>
  <c r="E109" i="2"/>
  <c r="F109" i="2" s="1"/>
  <c r="E108" i="2"/>
  <c r="F108" i="2" s="1"/>
  <c r="E107" i="2"/>
  <c r="F107" i="2" s="1"/>
  <c r="F106" i="2"/>
  <c r="E106" i="2"/>
  <c r="E105" i="2"/>
  <c r="F105" i="2" s="1"/>
  <c r="E104" i="2"/>
  <c r="F104" i="2" s="1"/>
  <c r="F103" i="2"/>
  <c r="E103" i="2"/>
  <c r="E102" i="2"/>
  <c r="F102" i="2" s="1"/>
  <c r="E101" i="2"/>
  <c r="F101" i="2" s="1"/>
  <c r="E100" i="2"/>
  <c r="F100" i="2" s="1"/>
  <c r="E99" i="2"/>
  <c r="F99" i="2" s="1"/>
  <c r="E98" i="2"/>
  <c r="F98" i="2" s="1"/>
  <c r="F97" i="2"/>
  <c r="E97" i="2"/>
  <c r="E96" i="2"/>
  <c r="F96" i="2" s="1"/>
  <c r="E95" i="2"/>
  <c r="F95" i="2" s="1"/>
  <c r="F94" i="2"/>
  <c r="E94" i="2"/>
  <c r="E93" i="2"/>
  <c r="F93" i="2" s="1"/>
  <c r="E92" i="2"/>
  <c r="F92" i="2" s="1"/>
  <c r="E91" i="2"/>
  <c r="F91" i="2" s="1"/>
  <c r="E90" i="2"/>
  <c r="F90" i="2" s="1"/>
  <c r="E89" i="2"/>
  <c r="F89" i="2" s="1"/>
  <c r="F88" i="2"/>
  <c r="E88" i="2"/>
  <c r="E87" i="2"/>
  <c r="F87" i="2" s="1"/>
  <c r="E86" i="2"/>
  <c r="F86" i="2" s="1"/>
  <c r="F85" i="2"/>
  <c r="E85" i="2"/>
  <c r="E84" i="2"/>
  <c r="F84" i="2" s="1"/>
  <c r="E83" i="2"/>
  <c r="F83" i="2" s="1"/>
  <c r="E82" i="2"/>
  <c r="F82" i="2" s="1"/>
  <c r="E81" i="2"/>
  <c r="F81" i="2" s="1"/>
  <c r="E80" i="2"/>
  <c r="F80" i="2" s="1"/>
  <c r="F79" i="2"/>
  <c r="E79" i="2"/>
  <c r="E78" i="2"/>
  <c r="F78" i="2" s="1"/>
  <c r="E77" i="2"/>
  <c r="F77" i="2" s="1"/>
  <c r="F76" i="2"/>
  <c r="E76" i="2"/>
  <c r="E75" i="2"/>
  <c r="F75" i="2" s="1"/>
  <c r="E74" i="2"/>
  <c r="F74" i="2" s="1"/>
  <c r="E73" i="2"/>
  <c r="F73" i="2" s="1"/>
  <c r="E72" i="2"/>
  <c r="F72" i="2" s="1"/>
  <c r="E71" i="2"/>
  <c r="F71" i="2" s="1"/>
  <c r="F70" i="2"/>
  <c r="E70" i="2"/>
  <c r="E69" i="2"/>
  <c r="F69" i="2" s="1"/>
  <c r="E68" i="2"/>
  <c r="F68" i="2" s="1"/>
  <c r="F67" i="2"/>
  <c r="E67" i="2"/>
  <c r="E66" i="2"/>
  <c r="F66" i="2" s="1"/>
  <c r="E65" i="2"/>
  <c r="F65" i="2" s="1"/>
  <c r="E64" i="2"/>
  <c r="F64" i="2" s="1"/>
  <c r="E63" i="2"/>
  <c r="F63" i="2" s="1"/>
  <c r="E62" i="2"/>
  <c r="F62" i="2" s="1"/>
  <c r="F61" i="2"/>
  <c r="E61" i="2"/>
  <c r="E60" i="2"/>
  <c r="F60" i="2" s="1"/>
  <c r="E59" i="2"/>
  <c r="F59" i="2" s="1"/>
  <c r="F58" i="2"/>
  <c r="E58" i="2"/>
  <c r="E57" i="2"/>
  <c r="F57" i="2" s="1"/>
  <c r="E56" i="2"/>
  <c r="F56" i="2" s="1"/>
  <c r="E55" i="2"/>
  <c r="F55" i="2" s="1"/>
  <c r="E54" i="2"/>
  <c r="F54" i="2" s="1"/>
  <c r="E53" i="2"/>
  <c r="F53" i="2" s="1"/>
  <c r="F52" i="2"/>
  <c r="E52" i="2"/>
  <c r="E51" i="2"/>
  <c r="F51" i="2" s="1"/>
  <c r="E50" i="2"/>
  <c r="F50" i="2" s="1"/>
  <c r="F49" i="2"/>
  <c r="E49" i="2"/>
  <c r="E48" i="2"/>
  <c r="F48" i="2" s="1"/>
  <c r="E47" i="2"/>
  <c r="F47" i="2" s="1"/>
  <c r="E46" i="2"/>
  <c r="F46" i="2" s="1"/>
  <c r="E45" i="2"/>
  <c r="F45" i="2" s="1"/>
  <c r="E44" i="2"/>
  <c r="F44" i="2" s="1"/>
  <c r="F43" i="2"/>
  <c r="E43" i="2"/>
  <c r="E42" i="2"/>
  <c r="F42" i="2" s="1"/>
  <c r="E41" i="2"/>
  <c r="F41" i="2" s="1"/>
  <c r="F40" i="2"/>
  <c r="E40" i="2"/>
  <c r="E39" i="2"/>
  <c r="F39" i="2" s="1"/>
  <c r="E38" i="2"/>
  <c r="F38" i="2" s="1"/>
  <c r="E37" i="2"/>
  <c r="F37" i="2" s="1"/>
  <c r="E36" i="2"/>
  <c r="F36" i="2" s="1"/>
  <c r="E35" i="2"/>
  <c r="F35" i="2" s="1"/>
  <c r="F34" i="2"/>
  <c r="E34" i="2"/>
  <c r="E33" i="2"/>
  <c r="F33" i="2" s="1"/>
  <c r="E32" i="2"/>
  <c r="F32" i="2" s="1"/>
  <c r="F31" i="2"/>
  <c r="E31" i="2"/>
  <c r="E30" i="2"/>
  <c r="F30" i="2" s="1"/>
  <c r="E29" i="2"/>
  <c r="F29" i="2" s="1"/>
  <c r="E28" i="2"/>
  <c r="F28" i="2" s="1"/>
  <c r="E27" i="2"/>
  <c r="F27" i="2" s="1"/>
  <c r="E26" i="2"/>
  <c r="F26" i="2" s="1"/>
  <c r="F25" i="2"/>
  <c r="E25" i="2"/>
  <c r="E24" i="2"/>
  <c r="F24" i="2" s="1"/>
  <c r="E23" i="2"/>
  <c r="F23" i="2" s="1"/>
  <c r="F22" i="2"/>
  <c r="E22" i="2"/>
  <c r="E21" i="2"/>
  <c r="F21" i="2" s="1"/>
  <c r="E20" i="2"/>
  <c r="F20" i="2" s="1"/>
  <c r="E19" i="2"/>
  <c r="F19" i="2" s="1"/>
  <c r="E18" i="2"/>
  <c r="F18" i="2" s="1"/>
  <c r="E17" i="2"/>
  <c r="F17" i="2" s="1"/>
  <c r="F16" i="2"/>
  <c r="E16" i="2"/>
  <c r="E15" i="2"/>
  <c r="F15" i="2" s="1"/>
  <c r="E14" i="2"/>
  <c r="F14" i="2" s="1"/>
  <c r="F13" i="2"/>
  <c r="E13" i="2"/>
  <c r="E12" i="2"/>
  <c r="F12" i="2" s="1"/>
  <c r="E11" i="2"/>
  <c r="F11" i="2" s="1"/>
  <c r="E10" i="2"/>
  <c r="F10" i="2" s="1"/>
  <c r="E9" i="2"/>
  <c r="F9" i="2" s="1"/>
  <c r="E8" i="2"/>
  <c r="F8" i="2" s="1"/>
  <c r="F7" i="2"/>
  <c r="E7" i="2"/>
  <c r="E6" i="2"/>
  <c r="F6" i="2" s="1"/>
  <c r="E5" i="2"/>
  <c r="F154" i="1"/>
  <c r="E154" i="1"/>
  <c r="E153" i="1"/>
  <c r="F153" i="1" s="1"/>
  <c r="E152" i="1"/>
  <c r="F152" i="1" s="1"/>
  <c r="E151" i="1"/>
  <c r="F151" i="1" s="1"/>
  <c r="E150" i="1"/>
  <c r="F150" i="1" s="1"/>
  <c r="E149" i="1"/>
  <c r="F149" i="1" s="1"/>
  <c r="F148" i="1"/>
  <c r="E148" i="1"/>
  <c r="E147" i="1"/>
  <c r="F147" i="1" s="1"/>
  <c r="E146" i="1"/>
  <c r="F146" i="1" s="1"/>
  <c r="F145" i="1"/>
  <c r="E145" i="1"/>
  <c r="E144" i="1"/>
  <c r="F144" i="1" s="1"/>
  <c r="E143" i="1"/>
  <c r="F143" i="1" s="1"/>
  <c r="E142" i="1"/>
  <c r="F142" i="1" s="1"/>
  <c r="E141" i="1"/>
  <c r="F141" i="1" s="1"/>
  <c r="E140" i="1"/>
  <c r="F140" i="1" s="1"/>
  <c r="F139" i="1"/>
  <c r="E139" i="1"/>
  <c r="E138" i="1"/>
  <c r="F138" i="1" s="1"/>
  <c r="E137" i="1"/>
  <c r="F137" i="1" s="1"/>
  <c r="F136" i="1"/>
  <c r="E136" i="1"/>
  <c r="E135" i="1"/>
  <c r="F135" i="1" s="1"/>
  <c r="E134" i="1"/>
  <c r="F134" i="1" s="1"/>
  <c r="E133" i="1"/>
  <c r="F133" i="1" s="1"/>
  <c r="E132" i="1"/>
  <c r="F132" i="1" s="1"/>
  <c r="E131" i="1"/>
  <c r="F131" i="1" s="1"/>
  <c r="F130" i="1"/>
  <c r="E130" i="1"/>
  <c r="E129" i="1"/>
  <c r="F129" i="1" s="1"/>
  <c r="E128" i="1"/>
  <c r="F128" i="1" s="1"/>
  <c r="F127" i="1"/>
  <c r="E127" i="1"/>
  <c r="E126" i="1"/>
  <c r="F126" i="1" s="1"/>
  <c r="E125" i="1"/>
  <c r="F125" i="1" s="1"/>
  <c r="E124" i="1"/>
  <c r="F124" i="1" s="1"/>
  <c r="E123" i="1"/>
  <c r="F123" i="1" s="1"/>
  <c r="E122" i="1"/>
  <c r="F122" i="1" s="1"/>
  <c r="F121" i="1"/>
  <c r="E121" i="1"/>
  <c r="E120" i="1"/>
  <c r="F120" i="1" s="1"/>
  <c r="E119" i="1"/>
  <c r="F119" i="1" s="1"/>
  <c r="F118" i="1"/>
  <c r="E118" i="1"/>
  <c r="E117" i="1"/>
  <c r="F117" i="1" s="1"/>
  <c r="E116" i="1"/>
  <c r="F116" i="1" s="1"/>
  <c r="E115" i="1"/>
  <c r="F115" i="1" s="1"/>
  <c r="E114" i="1"/>
  <c r="F114" i="1" s="1"/>
  <c r="E113" i="1"/>
  <c r="F113" i="1" s="1"/>
  <c r="F112" i="1"/>
  <c r="E112" i="1"/>
  <c r="E111" i="1"/>
  <c r="F111" i="1" s="1"/>
  <c r="E110" i="1"/>
  <c r="F110" i="1" s="1"/>
  <c r="F109" i="1"/>
  <c r="E109" i="1"/>
  <c r="E108" i="1"/>
  <c r="F108" i="1" s="1"/>
  <c r="E107" i="1"/>
  <c r="F107" i="1" s="1"/>
  <c r="E106" i="1"/>
  <c r="F106" i="1" s="1"/>
  <c r="E105" i="1"/>
  <c r="F105" i="1" s="1"/>
  <c r="E104" i="1"/>
  <c r="F104" i="1" s="1"/>
  <c r="F103" i="1"/>
  <c r="E103" i="1"/>
  <c r="E102" i="1"/>
  <c r="F102" i="1" s="1"/>
  <c r="E101" i="1"/>
  <c r="F101" i="1" s="1"/>
  <c r="F100" i="1"/>
  <c r="E100" i="1"/>
  <c r="E99" i="1"/>
  <c r="F99" i="1" s="1"/>
  <c r="E98" i="1"/>
  <c r="F98" i="1" s="1"/>
  <c r="E97" i="1"/>
  <c r="F97" i="1" s="1"/>
  <c r="E96" i="1"/>
  <c r="F96" i="1" s="1"/>
  <c r="E95" i="1"/>
  <c r="F95" i="1" s="1"/>
  <c r="F94" i="1"/>
  <c r="E94" i="1"/>
  <c r="E93" i="1"/>
  <c r="F93" i="1" s="1"/>
  <c r="E92" i="1"/>
  <c r="F92" i="1" s="1"/>
  <c r="F91" i="1"/>
  <c r="E91" i="1"/>
  <c r="E90" i="1"/>
  <c r="F90" i="1" s="1"/>
  <c r="E89" i="1"/>
  <c r="F89" i="1" s="1"/>
  <c r="E88" i="1"/>
  <c r="F88" i="1" s="1"/>
  <c r="E87" i="1"/>
  <c r="F87" i="1" s="1"/>
  <c r="E86" i="1"/>
  <c r="F86" i="1" s="1"/>
  <c r="F85" i="1"/>
  <c r="E85" i="1"/>
  <c r="E84" i="1"/>
  <c r="F84" i="1" s="1"/>
  <c r="E83" i="1"/>
  <c r="F83" i="1" s="1"/>
  <c r="F82" i="1"/>
  <c r="E82" i="1"/>
  <c r="E81" i="1"/>
  <c r="F81" i="1" s="1"/>
  <c r="E80" i="1"/>
  <c r="F80" i="1" s="1"/>
  <c r="E79" i="1"/>
  <c r="F79" i="1" s="1"/>
  <c r="E78" i="1"/>
  <c r="F78" i="1" s="1"/>
  <c r="E77" i="1"/>
  <c r="F77" i="1" s="1"/>
  <c r="F76" i="1"/>
  <c r="E76" i="1"/>
  <c r="E75" i="1"/>
  <c r="F75" i="1" s="1"/>
  <c r="E74" i="1"/>
  <c r="F74" i="1" s="1"/>
  <c r="F73" i="1"/>
  <c r="E73" i="1"/>
  <c r="E72" i="1"/>
  <c r="F72" i="1" s="1"/>
  <c r="E71" i="1"/>
  <c r="F71" i="1" s="1"/>
  <c r="E70" i="1"/>
  <c r="F70" i="1" s="1"/>
  <c r="E69" i="1"/>
  <c r="F69" i="1" s="1"/>
  <c r="E68" i="1"/>
  <c r="F68" i="1" s="1"/>
  <c r="F67" i="1"/>
  <c r="E67" i="1"/>
  <c r="E66" i="1"/>
  <c r="F66" i="1" s="1"/>
  <c r="E65" i="1"/>
  <c r="F65" i="1" s="1"/>
  <c r="F64" i="1"/>
  <c r="E64" i="1"/>
  <c r="E63" i="1"/>
  <c r="F63" i="1" s="1"/>
  <c r="E62" i="1"/>
  <c r="F62" i="1" s="1"/>
  <c r="E61" i="1"/>
  <c r="F61" i="1" s="1"/>
  <c r="E60" i="1"/>
  <c r="F60" i="1" s="1"/>
  <c r="E59" i="1"/>
  <c r="F59" i="1" s="1"/>
  <c r="F58" i="1"/>
  <c r="E58" i="1"/>
  <c r="E57" i="1"/>
  <c r="F57" i="1" s="1"/>
  <c r="E56" i="1"/>
  <c r="F56" i="1" s="1"/>
  <c r="F55" i="1"/>
  <c r="E55" i="1"/>
  <c r="E54" i="1"/>
  <c r="F54" i="1" s="1"/>
  <c r="E53" i="1"/>
  <c r="F53" i="1" s="1"/>
  <c r="E52" i="1"/>
  <c r="F52" i="1" s="1"/>
  <c r="E51" i="1"/>
  <c r="F51" i="1" s="1"/>
  <c r="E50" i="1"/>
  <c r="F50" i="1" s="1"/>
  <c r="F49" i="1"/>
  <c r="E49" i="1"/>
  <c r="E48" i="1"/>
  <c r="F48" i="1" s="1"/>
  <c r="E47" i="1"/>
  <c r="F47" i="1" s="1"/>
  <c r="F46" i="1"/>
  <c r="E46" i="1"/>
  <c r="E45" i="1"/>
  <c r="F45" i="1" s="1"/>
  <c r="E44" i="1"/>
  <c r="F44" i="1" s="1"/>
  <c r="E43" i="1"/>
  <c r="F43" i="1" s="1"/>
  <c r="E42" i="1"/>
  <c r="F42" i="1" s="1"/>
  <c r="E41" i="1"/>
  <c r="F41" i="1" s="1"/>
  <c r="F40" i="1"/>
  <c r="E40" i="1"/>
  <c r="E39" i="1"/>
  <c r="F39" i="1" s="1"/>
  <c r="E38" i="1"/>
  <c r="F38" i="1" s="1"/>
  <c r="F37" i="1"/>
  <c r="E37" i="1"/>
  <c r="E36" i="1"/>
  <c r="F36" i="1" s="1"/>
  <c r="E35" i="1"/>
  <c r="F35" i="1" s="1"/>
  <c r="E34" i="1"/>
  <c r="F34" i="1" s="1"/>
  <c r="E33" i="1"/>
  <c r="F33" i="1" s="1"/>
  <c r="E32" i="1"/>
  <c r="F32" i="1" s="1"/>
  <c r="F31" i="1"/>
  <c r="E31" i="1"/>
  <c r="E30" i="1"/>
  <c r="F30" i="1" s="1"/>
  <c r="E29" i="1"/>
  <c r="F29" i="1" s="1"/>
  <c r="F28" i="1"/>
  <c r="E28" i="1"/>
  <c r="E27" i="1"/>
  <c r="F27" i="1" s="1"/>
  <c r="E26" i="1"/>
  <c r="F26" i="1" s="1"/>
  <c r="E25" i="1"/>
  <c r="F25" i="1" s="1"/>
  <c r="E24" i="1"/>
  <c r="F24" i="1" s="1"/>
  <c r="E23" i="1"/>
  <c r="F23" i="1" s="1"/>
  <c r="F22" i="1"/>
  <c r="E22" i="1"/>
  <c r="E21" i="1"/>
  <c r="F21" i="1" s="1"/>
  <c r="E20" i="1"/>
  <c r="F20" i="1" s="1"/>
  <c r="F19" i="1"/>
  <c r="E19" i="1"/>
  <c r="E18" i="1"/>
  <c r="F18" i="1" s="1"/>
  <c r="E17" i="1"/>
  <c r="F17" i="1" s="1"/>
  <c r="E16" i="1"/>
  <c r="F16" i="1" s="1"/>
  <c r="E15" i="1"/>
  <c r="F15" i="1" s="1"/>
  <c r="E14" i="1"/>
  <c r="F14" i="1" s="1"/>
  <c r="F13" i="1"/>
  <c r="E13" i="1"/>
  <c r="E12" i="1"/>
  <c r="F12" i="1" s="1"/>
  <c r="E11" i="1"/>
  <c r="F11" i="1" s="1"/>
  <c r="F10" i="1"/>
  <c r="E10" i="1"/>
  <c r="E9" i="1"/>
  <c r="F9" i="1" s="1"/>
  <c r="E8" i="1"/>
  <c r="F8" i="1" s="1"/>
  <c r="E7" i="1"/>
  <c r="F7" i="1" s="1"/>
  <c r="E6" i="1"/>
  <c r="F6" i="1" s="1"/>
  <c r="E5" i="1"/>
  <c r="F5" i="1" s="1"/>
  <c r="C20" i="3" l="1"/>
  <c r="C19" i="3"/>
  <c r="B19" i="3"/>
  <c r="C9" i="3"/>
  <c r="C7" i="3"/>
  <c r="C11" i="3" s="1"/>
  <c r="C15" i="3" s="1"/>
  <c r="C8" i="3"/>
  <c r="B20" i="3"/>
  <c r="F5" i="2"/>
</calcChain>
</file>

<file path=xl/sharedStrings.xml><?xml version="1.0" encoding="utf-8"?>
<sst xmlns="http://schemas.openxmlformats.org/spreadsheetml/2006/main" count="49" uniqueCount="43">
  <si>
    <t>Bank Statement</t>
  </si>
  <si>
    <t>Paste the bank statement here. Matching is automatic.</t>
  </si>
  <si>
    <t>Date</t>
  </si>
  <si>
    <t>Description</t>
  </si>
  <si>
    <t>Reference</t>
  </si>
  <si>
    <t>Amount</t>
  </si>
  <si>
    <t>Matched?</t>
  </si>
  <si>
    <t>Matched to</t>
  </si>
  <si>
    <t>Cash Book / Ledger</t>
  </si>
  <si>
    <t>Your own record of the same period.</t>
  </si>
  <si>
    <t>Reconciliation Statement</t>
  </si>
  <si>
    <t>The formal reconciliation. All figures calculate.</t>
  </si>
  <si>
    <t>Balance per bank statement</t>
  </si>
  <si>
    <t>Sum of every statement line.</t>
  </si>
  <si>
    <t>Add: outstanding lodgements</t>
  </si>
  <si>
    <t>Receipts in your books, not yet on the statement.</t>
  </si>
  <si>
    <t>Less: unpresented cheques</t>
  </si>
  <si>
    <t>Payments made but not yet cleared. Shown negative.</t>
  </si>
  <si>
    <t>Less: items on the statement only</t>
  </si>
  <si>
    <t>Bank charges and interest you have not yet posted.</t>
  </si>
  <si>
    <t>Adjusted bank balance</t>
  </si>
  <si>
    <t>What the statement would say once everything clears.</t>
  </si>
  <si>
    <t>Balance per cash book</t>
  </si>
  <si>
    <t>Sum of every ledger line.</t>
  </si>
  <si>
    <t>Difference</t>
  </si>
  <si>
    <t>Must be zero. If it is not, something is unmatched or entered twice.</t>
  </si>
  <si>
    <t>Unmatched items</t>
  </si>
  <si>
    <t>Count</t>
  </si>
  <si>
    <t>Value</t>
  </si>
  <si>
    <t>Statement lines unmatched</t>
  </si>
  <si>
    <t>Ledger lines unmatched</t>
  </si>
  <si>
    <t>How this workbook works</t>
  </si>
  <si>
    <t>Explore Excel  ·  exploreexcel.com</t>
  </si>
  <si>
    <t>What this is</t>
  </si>
  <si>
    <t>A bank reconciliation that matches statement lines to ledger lines automatically and produces the formal reconciliation statement.</t>
  </si>
  <si>
    <t>How the matching works</t>
  </si>
  <si>
    <t>Each line looks for its exact amount on the other sheet. If it finds one, the line is marked Yes and the matching description is pulled across. If not, it is marked No and turns red.</t>
  </si>
  <si>
    <t>The honest limitation</t>
  </si>
  <si>
    <t>Matching is on amount alone. Two different transactions for the same amount will match each other. That is a real weakness and you should know about it rather than discover it. Use the reference column and your own eyes on anything that looks suspicious — automation narrows the search, it does not replace the judgement.</t>
  </si>
  <si>
    <t>Reading the reconciliation</t>
  </si>
  <si>
    <t>The Difference cell must be zero. If it is not, work through the unmatched items at the bottom. In practice the cause is almost always a timing difference, a transposition, or something posted twice.</t>
  </si>
  <si>
    <t>Sign convention</t>
  </si>
  <si>
    <t>Money in is positive, money out is negative, on both sheets. Outstanding lodgements pick up unmatched positives; unpresented cheques pick up unmatched negatives. If you enter payments as positive numbers the reconciliation will not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</si>
</sst>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
    <numFmt numFmtId="165" formatCode="#,##0.00;\(#,##0.00\);\-"/>
    <numFmt numFmtId="166" formatCode="#,##0;\(#,##0\);\-"/>
  </numFmts>
  <fonts count="9" x14ac:knownFonts="1">
    <font>
      <sz val="11"/>
      <color theme="1"/>
      <name val="Calibri"/>
      <family val="2"/>
      <charset val="1"/>
    </font>
    <font>
      <b/>
      <sz val="16"/>
      <color rgb="FFFFFFFF"/>
      <name val="Arial"/>
      <charset val="1"/>
    </font>
    <font>
      <sz val="9"/>
      <color rgb="FFC6E4D9"/>
      <name val="Arial"/>
      <charset val="1"/>
    </font>
    <font>
      <b/>
      <sz val="10"/>
      <color rgb="FFFFFFFF"/>
      <name val="Arial"/>
      <charset val="1"/>
    </font>
    <font>
      <sz val="10"/>
      <color rgb="FF0000FF"/>
      <name val="Arial"/>
      <charset val="1"/>
    </font>
    <font>
      <sz val="10"/>
      <color rgb="FF141414"/>
      <name val="Arial"/>
      <charset val="1"/>
    </font>
    <font>
      <b/>
      <sz val="10"/>
      <color rgb="FF0A4A3A"/>
      <name val="Arial"/>
      <charset val="1"/>
    </font>
    <font>
      <i/>
      <sz val="9"/>
      <color rgb="FF4A4A48"/>
      <name val="Arial"/>
      <charset val="1"/>
    </font>
    <font>
      <b/>
      <sz val="11"/>
      <color rgb="FF0A4A3A"/>
      <name val="Arial"/>
      <charset val="1"/>
    </font>
  </fonts>
  <fills count="5">
    <fill>
      <patternFill patternType="none"/>
    </fill>
    <fill>
      <patternFill patternType="gray125"/>
    </fill>
    <fill>
      <patternFill patternType="solid">
        <fgColor rgb="FF0F6E56"/>
        <bgColor rgb="FF008080"/>
      </patternFill>
    </fill>
    <fill>
      <patternFill patternType="solid">
        <fgColor rgb="FFFAFAF8"/>
        <bgColor rgb="FFFFFFFF"/>
      </patternFill>
    </fill>
    <fill>
      <patternFill patternType="solid">
        <fgColor rgb="FFE1F5EE"/>
        <bgColor rgb="FFE4E4E0"/>
      </patternFill>
    </fill>
  </fills>
  <borders count="2">
    <border>
      <left/>
      <right/>
      <top/>
      <bottom/>
      <diagonal/>
    </border>
    <border>
      <left style="thin">
        <color rgb="FFE4E4E0"/>
      </left>
      <right style="thin">
        <color rgb="FFE4E4E0"/>
      </right>
      <top style="thin">
        <color rgb="FFE4E4E0"/>
      </top>
      <bottom style="thin">
        <color rgb="FFE4E4E0"/>
      </bottom>
      <diagonal/>
    </border>
  </borders>
  <cellStyleXfs count="1">
    <xf numFmtId="0" fontId="0" fillId="0" borderId="0"/>
  </cellStyleXfs>
  <cellXfs count="23">
    <xf numFmtId="0" fontId="0" fillId="0" borderId="0" xfId="0"/>
    <xf numFmtId="0" fontId="5" fillId="0" borderId="0" xfId="0" applyFont="1" applyBorder="1" applyAlignment="1">
      <alignment vertical="top" wrapText="1"/>
    </xf>
    <xf numFmtId="0" fontId="8" fillId="0" borderId="0" xfId="0" applyFont="1" applyBorder="1" applyAlignment="1">
      <alignment vertical="top" wrapText="1"/>
    </xf>
    <xf numFmtId="0" fontId="2" fillId="2" borderId="0" xfId="0" applyFont="1" applyFill="1" applyBorder="1" applyAlignment="1">
      <alignment vertical="center" indent="1"/>
    </xf>
    <xf numFmtId="0" fontId="1" fillId="2" borderId="0" xfId="0" applyFont="1" applyFill="1" applyBorder="1" applyAlignment="1">
      <alignment vertical="center" indent="1"/>
    </xf>
    <xf numFmtId="0" fontId="3" fillId="2" borderId="1" xfId="0" applyFont="1" applyFill="1" applyBorder="1" applyAlignment="1">
      <alignment horizontal="center" vertical="center" wrapText="1"/>
    </xf>
    <xf numFmtId="164" fontId="4" fillId="0" borderId="1" xfId="0" applyNumberFormat="1" applyFont="1" applyBorder="1"/>
    <xf numFmtId="0" fontId="4" fillId="0" borderId="1" xfId="0" applyFont="1" applyBorder="1"/>
    <xf numFmtId="165" fontId="4" fillId="0" borderId="1" xfId="0" applyNumberFormat="1" applyFont="1" applyBorder="1"/>
    <xf numFmtId="0" fontId="5" fillId="0" borderId="1" xfId="0" applyFont="1" applyBorder="1" applyAlignment="1">
      <alignment horizontal="center"/>
    </xf>
    <xf numFmtId="0" fontId="5" fillId="0" borderId="1" xfId="0" applyFont="1" applyBorder="1"/>
    <xf numFmtId="164" fontId="4" fillId="3" borderId="1" xfId="0" applyNumberFormat="1" applyFont="1" applyFill="1" applyBorder="1"/>
    <xf numFmtId="0" fontId="4" fillId="3" borderId="1" xfId="0" applyFont="1" applyFill="1" applyBorder="1"/>
    <xf numFmtId="165" fontId="4" fillId="3" borderId="1" xfId="0" applyNumberFormat="1" applyFont="1" applyFill="1" applyBorder="1"/>
    <xf numFmtId="0" fontId="5" fillId="3" borderId="1" xfId="0" applyFont="1" applyFill="1" applyBorder="1" applyAlignment="1">
      <alignment horizontal="center"/>
    </xf>
    <xf numFmtId="0" fontId="5" fillId="3" borderId="1" xfId="0" applyFont="1" applyFill="1" applyBorder="1"/>
    <xf numFmtId="0" fontId="6" fillId="0" borderId="0" xfId="0" applyFont="1"/>
    <xf numFmtId="165" fontId="6" fillId="4" borderId="1" xfId="0" applyNumberFormat="1" applyFont="1" applyFill="1" applyBorder="1"/>
    <xf numFmtId="0" fontId="7" fillId="0" borderId="0" xfId="0" applyFont="1"/>
    <xf numFmtId="0" fontId="5" fillId="0" borderId="0" xfId="0" applyFont="1"/>
    <xf numFmtId="165" fontId="5" fillId="0" borderId="1" xfId="0" applyNumberFormat="1" applyFont="1" applyBorder="1"/>
    <xf numFmtId="0" fontId="8" fillId="0" borderId="0" xfId="0" applyFont="1"/>
    <xf numFmtId="166" fontId="5" fillId="0" borderId="1" xfId="0" applyNumberFormat="1" applyFont="1" applyBorder="1"/>
  </cellXfs>
  <cellStyles count="1">
    <cellStyle name="Normal" xfId="0" builtinId="0"/>
  </cellStyles>
  <dxfs count="4">
    <dxf>
      <font>
        <b/>
        <sz val="10"/>
        <color rgb="FF7A2020"/>
        <name val="Arial"/>
        <charset val="1"/>
      </font>
      <fill>
        <patternFill>
          <bgColor rgb="FFFCECEC"/>
        </patternFill>
      </fill>
    </dxf>
    <dxf>
      <font>
        <b/>
        <sz val="10"/>
        <color rgb="FF7A2020"/>
        <name val="Arial"/>
        <charset val="1"/>
      </font>
      <fill>
        <patternFill>
          <bgColor rgb="FFFCECEC"/>
        </patternFill>
      </fill>
    </dxf>
    <dxf>
      <font>
        <sz val="10"/>
        <color rgb="FF0A4A3A"/>
        <name val="Arial"/>
        <charset val="1"/>
      </font>
      <fill>
        <patternFill>
          <bgColor rgb="FFE1F5EE"/>
        </patternFill>
      </fill>
    </dxf>
    <dxf>
      <font>
        <b/>
        <sz val="10"/>
        <color rgb="FF7A2020"/>
        <name val="Arial"/>
        <charset val="1"/>
      </font>
      <fill>
        <patternFill>
          <bgColor rgb="FFFCECE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E56"/>
      <rgbColor rgb="FFC0C0C0"/>
      <rgbColor rgb="FF808080"/>
      <rgbColor rgb="FF9999FF"/>
      <rgbColor rgb="FF993366"/>
      <rgbColor rgb="FFFAFAF8"/>
      <rgbColor rgb="FFE1F5EE"/>
      <rgbColor rgb="FF660066"/>
      <rgbColor rgb="FFFF8080"/>
      <rgbColor rgb="FF0066CC"/>
      <rgbColor rgb="FFE4E4E0"/>
      <rgbColor rgb="FF000080"/>
      <rgbColor rgb="FFFF00FF"/>
      <rgbColor rgb="FFFFFF00"/>
      <rgbColor rgb="FF00FFFF"/>
      <rgbColor rgb="FF800080"/>
      <rgbColor rgb="FF800000"/>
      <rgbColor rgb="FF008080"/>
      <rgbColor rgb="FF0000FF"/>
      <rgbColor rgb="FF00CCFF"/>
      <rgbColor rgb="FFFCECEC"/>
      <rgbColor rgb="FFC6E4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A4A3A"/>
      <rgbColor rgb="FF339966"/>
      <rgbColor rgb="FF141414"/>
      <rgbColor rgb="FF333300"/>
      <rgbColor rgb="FF7A2020"/>
      <rgbColor rgb="FF993366"/>
      <rgbColor rgb="FF333399"/>
      <rgbColor rgb="FF4A4A4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4"/>
  <sheetViews>
    <sheetView showGridLines="0" tabSelected="1" zoomScaleNormal="100" workbookViewId="0">
      <pane ySplit="4" topLeftCell="A5" activePane="bottomLeft" state="frozen"/>
      <selection pane="bottomLeft" sqref="A1:F1"/>
    </sheetView>
  </sheetViews>
  <sheetFormatPr defaultColWidth="8.6640625" defaultRowHeight="14.4" x14ac:dyDescent="0.3"/>
  <cols>
    <col min="1" max="1" width="12" customWidth="1"/>
    <col min="2" max="2" width="34" customWidth="1"/>
    <col min="3" max="3" width="16" customWidth="1"/>
    <col min="4" max="4" width="14" customWidth="1"/>
    <col min="5" max="5" width="11" customWidth="1"/>
    <col min="6" max="6" width="20" customWidth="1"/>
  </cols>
  <sheetData>
    <row r="1" spans="1:6" ht="25.5" customHeight="1" x14ac:dyDescent="0.3">
      <c r="A1" s="4" t="s">
        <v>0</v>
      </c>
      <c r="B1" s="4"/>
      <c r="C1" s="4"/>
      <c r="D1" s="4"/>
      <c r="E1" s="4"/>
      <c r="F1" s="4"/>
    </row>
    <row r="2" spans="1:6" ht="15" customHeight="1" x14ac:dyDescent="0.3">
      <c r="A2" s="3" t="s">
        <v>1</v>
      </c>
      <c r="B2" s="3"/>
      <c r="C2" s="3"/>
      <c r="D2" s="3"/>
      <c r="E2" s="3"/>
      <c r="F2" s="3"/>
    </row>
    <row r="4" spans="1:6" ht="24" customHeight="1" x14ac:dyDescent="0.3">
      <c r="A4" s="5" t="s">
        <v>2</v>
      </c>
      <c r="B4" s="5" t="s">
        <v>3</v>
      </c>
      <c r="C4" s="5" t="s">
        <v>4</v>
      </c>
      <c r="D4" s="5" t="s">
        <v>5</v>
      </c>
      <c r="E4" s="5" t="s">
        <v>6</v>
      </c>
      <c r="F4" s="5" t="s">
        <v>7</v>
      </c>
    </row>
    <row r="5" spans="1:6" x14ac:dyDescent="0.3">
      <c r="A5" s="6"/>
      <c r="B5" s="7"/>
      <c r="C5" s="7"/>
      <c r="D5" s="8"/>
      <c r="E5" s="9" t="str">
        <f>IF(D5="","",IF(COUNTIFS(Ledger!$D$5:$D$154,D5)&gt;0,"Yes","No"))</f>
        <v/>
      </c>
      <c r="F5" s="10" t="str">
        <f>IF(E5="","",IF(E5="No","",IFERROR(INDEX(Ledger!$C$5:$C$154,MATCH(D5,Ledger!$D$5:$D$154,0)),"")))</f>
        <v/>
      </c>
    </row>
    <row r="6" spans="1:6" x14ac:dyDescent="0.3">
      <c r="A6" s="11"/>
      <c r="B6" s="12"/>
      <c r="C6" s="12"/>
      <c r="D6" s="13"/>
      <c r="E6" s="14" t="str">
        <f>IF(D6="","",IF(COUNTIFS(Ledger!$D$5:$D$154,D6)&gt;0,"Yes","No"))</f>
        <v/>
      </c>
      <c r="F6" s="15" t="str">
        <f>IF(E6="","",IF(E6="No","",IFERROR(INDEX(Ledger!$C$5:$C$154,MATCH(D6,Ledger!$D$5:$D$154,0)),"")))</f>
        <v/>
      </c>
    </row>
    <row r="7" spans="1:6" x14ac:dyDescent="0.3">
      <c r="A7" s="6"/>
      <c r="B7" s="7"/>
      <c r="C7" s="7"/>
      <c r="D7" s="8"/>
      <c r="E7" s="9" t="str">
        <f>IF(D7="","",IF(COUNTIFS(Ledger!$D$5:$D$154,D7)&gt;0,"Yes","No"))</f>
        <v/>
      </c>
      <c r="F7" s="10" t="str">
        <f>IF(E7="","",IF(E7="No","",IFERROR(INDEX(Ledger!$C$5:$C$154,MATCH(D7,Ledger!$D$5:$D$154,0)),"")))</f>
        <v/>
      </c>
    </row>
    <row r="8" spans="1:6" x14ac:dyDescent="0.3">
      <c r="A8" s="11"/>
      <c r="B8" s="12"/>
      <c r="C8" s="12"/>
      <c r="D8" s="13"/>
      <c r="E8" s="14" t="str">
        <f>IF(D8="","",IF(COUNTIFS(Ledger!$D$5:$D$154,D8)&gt;0,"Yes","No"))</f>
        <v/>
      </c>
      <c r="F8" s="15" t="str">
        <f>IF(E8="","",IF(E8="No","",IFERROR(INDEX(Ledger!$C$5:$C$154,MATCH(D8,Ledger!$D$5:$D$154,0)),"")))</f>
        <v/>
      </c>
    </row>
    <row r="9" spans="1:6" x14ac:dyDescent="0.3">
      <c r="A9" s="6"/>
      <c r="B9" s="7"/>
      <c r="C9" s="7"/>
      <c r="D9" s="8"/>
      <c r="E9" s="9" t="str">
        <f>IF(D9="","",IF(COUNTIFS(Ledger!$D$5:$D$154,D9)&gt;0,"Yes","No"))</f>
        <v/>
      </c>
      <c r="F9" s="10" t="str">
        <f>IF(E9="","",IF(E9="No","",IFERROR(INDEX(Ledger!$C$5:$C$154,MATCH(D9,Ledger!$D$5:$D$154,0)),"")))</f>
        <v/>
      </c>
    </row>
    <row r="10" spans="1:6" x14ac:dyDescent="0.3">
      <c r="A10" s="11"/>
      <c r="B10" s="12"/>
      <c r="C10" s="12"/>
      <c r="D10" s="13"/>
      <c r="E10" s="14" t="str">
        <f>IF(D10="","",IF(COUNTIFS(Ledger!$D$5:$D$154,D10)&gt;0,"Yes","No"))</f>
        <v/>
      </c>
      <c r="F10" s="15" t="str">
        <f>IF(E10="","",IF(E10="No","",IFERROR(INDEX(Ledger!$C$5:$C$154,MATCH(D10,Ledger!$D$5:$D$154,0)),"")))</f>
        <v/>
      </c>
    </row>
    <row r="11" spans="1:6" x14ac:dyDescent="0.3">
      <c r="A11" s="6"/>
      <c r="B11" s="7"/>
      <c r="C11" s="7"/>
      <c r="D11" s="8"/>
      <c r="E11" s="9" t="str">
        <f>IF(D11="","",IF(COUNTIFS(Ledger!$D$5:$D$154,D11)&gt;0,"Yes","No"))</f>
        <v/>
      </c>
      <c r="F11" s="10" t="str">
        <f>IF(E11="","",IF(E11="No","",IFERROR(INDEX(Ledger!$C$5:$C$154,MATCH(D11,Ledger!$D$5:$D$154,0)),"")))</f>
        <v/>
      </c>
    </row>
    <row r="12" spans="1:6" x14ac:dyDescent="0.3">
      <c r="A12" s="11"/>
      <c r="B12" s="12"/>
      <c r="C12" s="12"/>
      <c r="D12" s="13"/>
      <c r="E12" s="14" t="str">
        <f>IF(D12="","",IF(COUNTIFS(Ledger!$D$5:$D$154,D12)&gt;0,"Yes","No"))</f>
        <v/>
      </c>
      <c r="F12" s="15" t="str">
        <f>IF(E12="","",IF(E12="No","",IFERROR(INDEX(Ledger!$C$5:$C$154,MATCH(D12,Ledger!$D$5:$D$154,0)),"")))</f>
        <v/>
      </c>
    </row>
    <row r="13" spans="1:6" x14ac:dyDescent="0.3">
      <c r="A13" s="6"/>
      <c r="B13" s="7"/>
      <c r="C13" s="7"/>
      <c r="D13" s="8"/>
      <c r="E13" s="9" t="str">
        <f>IF(D13="","",IF(COUNTIFS(Ledger!$D$5:$D$154,D13)&gt;0,"Yes","No"))</f>
        <v/>
      </c>
      <c r="F13" s="10" t="str">
        <f>IF(E13="","",IF(E13="No","",IFERROR(INDEX(Ledger!$C$5:$C$154,MATCH(D13,Ledger!$D$5:$D$154,0)),"")))</f>
        <v/>
      </c>
    </row>
    <row r="14" spans="1:6" x14ac:dyDescent="0.3">
      <c r="A14" s="11"/>
      <c r="B14" s="12"/>
      <c r="C14" s="12"/>
      <c r="D14" s="13"/>
      <c r="E14" s="14" t="str">
        <f>IF(D14="","",IF(COUNTIFS(Ledger!$D$5:$D$154,D14)&gt;0,"Yes","No"))</f>
        <v/>
      </c>
      <c r="F14" s="15" t="str">
        <f>IF(E14="","",IF(E14="No","",IFERROR(INDEX(Ledger!$C$5:$C$154,MATCH(D14,Ledger!$D$5:$D$154,0)),"")))</f>
        <v/>
      </c>
    </row>
    <row r="15" spans="1:6" x14ac:dyDescent="0.3">
      <c r="A15" s="6"/>
      <c r="B15" s="7"/>
      <c r="C15" s="7"/>
      <c r="D15" s="8"/>
      <c r="E15" s="9" t="str">
        <f>IF(D15="","",IF(COUNTIFS(Ledger!$D$5:$D$154,D15)&gt;0,"Yes","No"))</f>
        <v/>
      </c>
      <c r="F15" s="10" t="str">
        <f>IF(E15="","",IF(E15="No","",IFERROR(INDEX(Ledger!$C$5:$C$154,MATCH(D15,Ledger!$D$5:$D$154,0)),"")))</f>
        <v/>
      </c>
    </row>
    <row r="16" spans="1:6" x14ac:dyDescent="0.3">
      <c r="A16" s="11"/>
      <c r="B16" s="12"/>
      <c r="C16" s="12"/>
      <c r="D16" s="13"/>
      <c r="E16" s="14" t="str">
        <f>IF(D16="","",IF(COUNTIFS(Ledger!$D$5:$D$154,D16)&gt;0,"Yes","No"))</f>
        <v/>
      </c>
      <c r="F16" s="15" t="str">
        <f>IF(E16="","",IF(E16="No","",IFERROR(INDEX(Ledger!$C$5:$C$154,MATCH(D16,Ledger!$D$5:$D$154,0)),"")))</f>
        <v/>
      </c>
    </row>
    <row r="17" spans="1:6" x14ac:dyDescent="0.3">
      <c r="A17" s="6"/>
      <c r="B17" s="7"/>
      <c r="C17" s="7"/>
      <c r="D17" s="8"/>
      <c r="E17" s="9" t="str">
        <f>IF(D17="","",IF(COUNTIFS(Ledger!$D$5:$D$154,D17)&gt;0,"Yes","No"))</f>
        <v/>
      </c>
      <c r="F17" s="10" t="str">
        <f>IF(E17="","",IF(E17="No","",IFERROR(INDEX(Ledger!$C$5:$C$154,MATCH(D17,Ledger!$D$5:$D$154,0)),"")))</f>
        <v/>
      </c>
    </row>
    <row r="18" spans="1:6" x14ac:dyDescent="0.3">
      <c r="A18" s="11"/>
      <c r="B18" s="12"/>
      <c r="C18" s="12"/>
      <c r="D18" s="13"/>
      <c r="E18" s="14" t="str">
        <f>IF(D18="","",IF(COUNTIFS(Ledger!$D$5:$D$154,D18)&gt;0,"Yes","No"))</f>
        <v/>
      </c>
      <c r="F18" s="15" t="str">
        <f>IF(E18="","",IF(E18="No","",IFERROR(INDEX(Ledger!$C$5:$C$154,MATCH(D18,Ledger!$D$5:$D$154,0)),"")))</f>
        <v/>
      </c>
    </row>
    <row r="19" spans="1:6" x14ac:dyDescent="0.3">
      <c r="A19" s="6"/>
      <c r="B19" s="7"/>
      <c r="C19" s="7"/>
      <c r="D19" s="8"/>
      <c r="E19" s="9" t="str">
        <f>IF(D19="","",IF(COUNTIFS(Ledger!$D$5:$D$154,D19)&gt;0,"Yes","No"))</f>
        <v/>
      </c>
      <c r="F19" s="10" t="str">
        <f>IF(E19="","",IF(E19="No","",IFERROR(INDEX(Ledger!$C$5:$C$154,MATCH(D19,Ledger!$D$5:$D$154,0)),"")))</f>
        <v/>
      </c>
    </row>
    <row r="20" spans="1:6" x14ac:dyDescent="0.3">
      <c r="A20" s="11"/>
      <c r="B20" s="12"/>
      <c r="C20" s="12"/>
      <c r="D20" s="13"/>
      <c r="E20" s="14" t="str">
        <f>IF(D20="","",IF(COUNTIFS(Ledger!$D$5:$D$154,D20)&gt;0,"Yes","No"))</f>
        <v/>
      </c>
      <c r="F20" s="15" t="str">
        <f>IF(E20="","",IF(E20="No","",IFERROR(INDEX(Ledger!$C$5:$C$154,MATCH(D20,Ledger!$D$5:$D$154,0)),"")))</f>
        <v/>
      </c>
    </row>
    <row r="21" spans="1:6" x14ac:dyDescent="0.3">
      <c r="A21" s="6"/>
      <c r="B21" s="7"/>
      <c r="C21" s="7"/>
      <c r="D21" s="8"/>
      <c r="E21" s="9" t="str">
        <f>IF(D21="","",IF(COUNTIFS(Ledger!$D$5:$D$154,D21)&gt;0,"Yes","No"))</f>
        <v/>
      </c>
      <c r="F21" s="10" t="str">
        <f>IF(E21="","",IF(E21="No","",IFERROR(INDEX(Ledger!$C$5:$C$154,MATCH(D21,Ledger!$D$5:$D$154,0)),"")))</f>
        <v/>
      </c>
    </row>
    <row r="22" spans="1:6" x14ac:dyDescent="0.3">
      <c r="A22" s="11"/>
      <c r="B22" s="12"/>
      <c r="C22" s="12"/>
      <c r="D22" s="13"/>
      <c r="E22" s="14" t="str">
        <f>IF(D22="","",IF(COUNTIFS(Ledger!$D$5:$D$154,D22)&gt;0,"Yes","No"))</f>
        <v/>
      </c>
      <c r="F22" s="15" t="str">
        <f>IF(E22="","",IF(E22="No","",IFERROR(INDEX(Ledger!$C$5:$C$154,MATCH(D22,Ledger!$D$5:$D$154,0)),"")))</f>
        <v/>
      </c>
    </row>
    <row r="23" spans="1:6" x14ac:dyDescent="0.3">
      <c r="A23" s="6"/>
      <c r="B23" s="7"/>
      <c r="C23" s="7"/>
      <c r="D23" s="8"/>
      <c r="E23" s="9" t="str">
        <f>IF(D23="","",IF(COUNTIFS(Ledger!$D$5:$D$154,D23)&gt;0,"Yes","No"))</f>
        <v/>
      </c>
      <c r="F23" s="10" t="str">
        <f>IF(E23="","",IF(E23="No","",IFERROR(INDEX(Ledger!$C$5:$C$154,MATCH(D23,Ledger!$D$5:$D$154,0)),"")))</f>
        <v/>
      </c>
    </row>
    <row r="24" spans="1:6" x14ac:dyDescent="0.3">
      <c r="A24" s="11"/>
      <c r="B24" s="12"/>
      <c r="C24" s="12"/>
      <c r="D24" s="13"/>
      <c r="E24" s="14" t="str">
        <f>IF(D24="","",IF(COUNTIFS(Ledger!$D$5:$D$154,D24)&gt;0,"Yes","No"))</f>
        <v/>
      </c>
      <c r="F24" s="15" t="str">
        <f>IF(E24="","",IF(E24="No","",IFERROR(INDEX(Ledger!$C$5:$C$154,MATCH(D24,Ledger!$D$5:$D$154,0)),"")))</f>
        <v/>
      </c>
    </row>
    <row r="25" spans="1:6" x14ac:dyDescent="0.3">
      <c r="A25" s="6"/>
      <c r="B25" s="7"/>
      <c r="C25" s="7"/>
      <c r="D25" s="8"/>
      <c r="E25" s="9" t="str">
        <f>IF(D25="","",IF(COUNTIFS(Ledger!$D$5:$D$154,D25)&gt;0,"Yes","No"))</f>
        <v/>
      </c>
      <c r="F25" s="10" t="str">
        <f>IF(E25="","",IF(E25="No","",IFERROR(INDEX(Ledger!$C$5:$C$154,MATCH(D25,Ledger!$D$5:$D$154,0)),"")))</f>
        <v/>
      </c>
    </row>
    <row r="26" spans="1:6" x14ac:dyDescent="0.3">
      <c r="A26" s="11"/>
      <c r="B26" s="12"/>
      <c r="C26" s="12"/>
      <c r="D26" s="13"/>
      <c r="E26" s="14" t="str">
        <f>IF(D26="","",IF(COUNTIFS(Ledger!$D$5:$D$154,D26)&gt;0,"Yes","No"))</f>
        <v/>
      </c>
      <c r="F26" s="15" t="str">
        <f>IF(E26="","",IF(E26="No","",IFERROR(INDEX(Ledger!$C$5:$C$154,MATCH(D26,Ledger!$D$5:$D$154,0)),"")))</f>
        <v/>
      </c>
    </row>
    <row r="27" spans="1:6" x14ac:dyDescent="0.3">
      <c r="A27" s="6"/>
      <c r="B27" s="7"/>
      <c r="C27" s="7"/>
      <c r="D27" s="8"/>
      <c r="E27" s="9" t="str">
        <f>IF(D27="","",IF(COUNTIFS(Ledger!$D$5:$D$154,D27)&gt;0,"Yes","No"))</f>
        <v/>
      </c>
      <c r="F27" s="10" t="str">
        <f>IF(E27="","",IF(E27="No","",IFERROR(INDEX(Ledger!$C$5:$C$154,MATCH(D27,Ledger!$D$5:$D$154,0)),"")))</f>
        <v/>
      </c>
    </row>
    <row r="28" spans="1:6" x14ac:dyDescent="0.3">
      <c r="A28" s="11"/>
      <c r="B28" s="12"/>
      <c r="C28" s="12"/>
      <c r="D28" s="13"/>
      <c r="E28" s="14" t="str">
        <f>IF(D28="","",IF(COUNTIFS(Ledger!$D$5:$D$154,D28)&gt;0,"Yes","No"))</f>
        <v/>
      </c>
      <c r="F28" s="15" t="str">
        <f>IF(E28="","",IF(E28="No","",IFERROR(INDEX(Ledger!$C$5:$C$154,MATCH(D28,Ledger!$D$5:$D$154,0)),"")))</f>
        <v/>
      </c>
    </row>
    <row r="29" spans="1:6" x14ac:dyDescent="0.3">
      <c r="A29" s="6"/>
      <c r="B29" s="7"/>
      <c r="C29" s="7"/>
      <c r="D29" s="8"/>
      <c r="E29" s="9" t="str">
        <f>IF(D29="","",IF(COUNTIFS(Ledger!$D$5:$D$154,D29)&gt;0,"Yes","No"))</f>
        <v/>
      </c>
      <c r="F29" s="10" t="str">
        <f>IF(E29="","",IF(E29="No","",IFERROR(INDEX(Ledger!$C$5:$C$154,MATCH(D29,Ledger!$D$5:$D$154,0)),"")))</f>
        <v/>
      </c>
    </row>
    <row r="30" spans="1:6" x14ac:dyDescent="0.3">
      <c r="A30" s="11"/>
      <c r="B30" s="12"/>
      <c r="C30" s="12"/>
      <c r="D30" s="13"/>
      <c r="E30" s="14" t="str">
        <f>IF(D30="","",IF(COUNTIFS(Ledger!$D$5:$D$154,D30)&gt;0,"Yes","No"))</f>
        <v/>
      </c>
      <c r="F30" s="15" t="str">
        <f>IF(E30="","",IF(E30="No","",IFERROR(INDEX(Ledger!$C$5:$C$154,MATCH(D30,Ledger!$D$5:$D$154,0)),"")))</f>
        <v/>
      </c>
    </row>
    <row r="31" spans="1:6" x14ac:dyDescent="0.3">
      <c r="A31" s="6"/>
      <c r="B31" s="7"/>
      <c r="C31" s="7"/>
      <c r="D31" s="8"/>
      <c r="E31" s="9" t="str">
        <f>IF(D31="","",IF(COUNTIFS(Ledger!$D$5:$D$154,D31)&gt;0,"Yes","No"))</f>
        <v/>
      </c>
      <c r="F31" s="10" t="str">
        <f>IF(E31="","",IF(E31="No","",IFERROR(INDEX(Ledger!$C$5:$C$154,MATCH(D31,Ledger!$D$5:$D$154,0)),"")))</f>
        <v/>
      </c>
    </row>
    <row r="32" spans="1:6" x14ac:dyDescent="0.3">
      <c r="A32" s="11"/>
      <c r="B32" s="12"/>
      <c r="C32" s="12"/>
      <c r="D32" s="13"/>
      <c r="E32" s="14" t="str">
        <f>IF(D32="","",IF(COUNTIFS(Ledger!$D$5:$D$154,D32)&gt;0,"Yes","No"))</f>
        <v/>
      </c>
      <c r="F32" s="15" t="str">
        <f>IF(E32="","",IF(E32="No","",IFERROR(INDEX(Ledger!$C$5:$C$154,MATCH(D32,Ledger!$D$5:$D$154,0)),"")))</f>
        <v/>
      </c>
    </row>
    <row r="33" spans="1:6" x14ac:dyDescent="0.3">
      <c r="A33" s="6"/>
      <c r="B33" s="7"/>
      <c r="C33" s="7"/>
      <c r="D33" s="8"/>
      <c r="E33" s="9" t="str">
        <f>IF(D33="","",IF(COUNTIFS(Ledger!$D$5:$D$154,D33)&gt;0,"Yes","No"))</f>
        <v/>
      </c>
      <c r="F33" s="10" t="str">
        <f>IF(E33="","",IF(E33="No","",IFERROR(INDEX(Ledger!$C$5:$C$154,MATCH(D33,Ledger!$D$5:$D$154,0)),"")))</f>
        <v/>
      </c>
    </row>
    <row r="34" spans="1:6" x14ac:dyDescent="0.3">
      <c r="A34" s="11"/>
      <c r="B34" s="12"/>
      <c r="C34" s="12"/>
      <c r="D34" s="13"/>
      <c r="E34" s="14" t="str">
        <f>IF(D34="","",IF(COUNTIFS(Ledger!$D$5:$D$154,D34)&gt;0,"Yes","No"))</f>
        <v/>
      </c>
      <c r="F34" s="15" t="str">
        <f>IF(E34="","",IF(E34="No","",IFERROR(INDEX(Ledger!$C$5:$C$154,MATCH(D34,Ledger!$D$5:$D$154,0)),"")))</f>
        <v/>
      </c>
    </row>
    <row r="35" spans="1:6" x14ac:dyDescent="0.3">
      <c r="A35" s="6"/>
      <c r="B35" s="7"/>
      <c r="C35" s="7"/>
      <c r="D35" s="8"/>
      <c r="E35" s="9" t="str">
        <f>IF(D35="","",IF(COUNTIFS(Ledger!$D$5:$D$154,D35)&gt;0,"Yes","No"))</f>
        <v/>
      </c>
      <c r="F35" s="10" t="str">
        <f>IF(E35="","",IF(E35="No","",IFERROR(INDEX(Ledger!$C$5:$C$154,MATCH(D35,Ledger!$D$5:$D$154,0)),"")))</f>
        <v/>
      </c>
    </row>
    <row r="36" spans="1:6" x14ac:dyDescent="0.3">
      <c r="A36" s="11"/>
      <c r="B36" s="12"/>
      <c r="C36" s="12"/>
      <c r="D36" s="13"/>
      <c r="E36" s="14" t="str">
        <f>IF(D36="","",IF(COUNTIFS(Ledger!$D$5:$D$154,D36)&gt;0,"Yes","No"))</f>
        <v/>
      </c>
      <c r="F36" s="15" t="str">
        <f>IF(E36="","",IF(E36="No","",IFERROR(INDEX(Ledger!$C$5:$C$154,MATCH(D36,Ledger!$D$5:$D$154,0)),"")))</f>
        <v/>
      </c>
    </row>
    <row r="37" spans="1:6" x14ac:dyDescent="0.3">
      <c r="A37" s="6"/>
      <c r="B37" s="7"/>
      <c r="C37" s="7"/>
      <c r="D37" s="8"/>
      <c r="E37" s="9" t="str">
        <f>IF(D37="","",IF(COUNTIFS(Ledger!$D$5:$D$154,D37)&gt;0,"Yes","No"))</f>
        <v/>
      </c>
      <c r="F37" s="10" t="str">
        <f>IF(E37="","",IF(E37="No","",IFERROR(INDEX(Ledger!$C$5:$C$154,MATCH(D37,Ledger!$D$5:$D$154,0)),"")))</f>
        <v/>
      </c>
    </row>
    <row r="38" spans="1:6" x14ac:dyDescent="0.3">
      <c r="A38" s="11"/>
      <c r="B38" s="12"/>
      <c r="C38" s="12"/>
      <c r="D38" s="13"/>
      <c r="E38" s="14" t="str">
        <f>IF(D38="","",IF(COUNTIFS(Ledger!$D$5:$D$154,D38)&gt;0,"Yes","No"))</f>
        <v/>
      </c>
      <c r="F38" s="15" t="str">
        <f>IF(E38="","",IF(E38="No","",IFERROR(INDEX(Ledger!$C$5:$C$154,MATCH(D38,Ledger!$D$5:$D$154,0)),"")))</f>
        <v/>
      </c>
    </row>
    <row r="39" spans="1:6" x14ac:dyDescent="0.3">
      <c r="A39" s="6"/>
      <c r="B39" s="7"/>
      <c r="C39" s="7"/>
      <c r="D39" s="8"/>
      <c r="E39" s="9" t="str">
        <f>IF(D39="","",IF(COUNTIFS(Ledger!$D$5:$D$154,D39)&gt;0,"Yes","No"))</f>
        <v/>
      </c>
      <c r="F39" s="10" t="str">
        <f>IF(E39="","",IF(E39="No","",IFERROR(INDEX(Ledger!$C$5:$C$154,MATCH(D39,Ledger!$D$5:$D$154,0)),"")))</f>
        <v/>
      </c>
    </row>
    <row r="40" spans="1:6" x14ac:dyDescent="0.3">
      <c r="A40" s="11"/>
      <c r="B40" s="12"/>
      <c r="C40" s="12"/>
      <c r="D40" s="13"/>
      <c r="E40" s="14" t="str">
        <f>IF(D40="","",IF(COUNTIFS(Ledger!$D$5:$D$154,D40)&gt;0,"Yes","No"))</f>
        <v/>
      </c>
      <c r="F40" s="15" t="str">
        <f>IF(E40="","",IF(E40="No","",IFERROR(INDEX(Ledger!$C$5:$C$154,MATCH(D40,Ledger!$D$5:$D$154,0)),"")))</f>
        <v/>
      </c>
    </row>
    <row r="41" spans="1:6" x14ac:dyDescent="0.3">
      <c r="A41" s="6"/>
      <c r="B41" s="7"/>
      <c r="C41" s="7"/>
      <c r="D41" s="8"/>
      <c r="E41" s="9" t="str">
        <f>IF(D41="","",IF(COUNTIFS(Ledger!$D$5:$D$154,D41)&gt;0,"Yes","No"))</f>
        <v/>
      </c>
      <c r="F41" s="10" t="str">
        <f>IF(E41="","",IF(E41="No","",IFERROR(INDEX(Ledger!$C$5:$C$154,MATCH(D41,Ledger!$D$5:$D$154,0)),"")))</f>
        <v/>
      </c>
    </row>
    <row r="42" spans="1:6" x14ac:dyDescent="0.3">
      <c r="A42" s="11"/>
      <c r="B42" s="12"/>
      <c r="C42" s="12"/>
      <c r="D42" s="13"/>
      <c r="E42" s="14" t="str">
        <f>IF(D42="","",IF(COUNTIFS(Ledger!$D$5:$D$154,D42)&gt;0,"Yes","No"))</f>
        <v/>
      </c>
      <c r="F42" s="15" t="str">
        <f>IF(E42="","",IF(E42="No","",IFERROR(INDEX(Ledger!$C$5:$C$154,MATCH(D42,Ledger!$D$5:$D$154,0)),"")))</f>
        <v/>
      </c>
    </row>
    <row r="43" spans="1:6" x14ac:dyDescent="0.3">
      <c r="A43" s="6"/>
      <c r="B43" s="7"/>
      <c r="C43" s="7"/>
      <c r="D43" s="8"/>
      <c r="E43" s="9" t="str">
        <f>IF(D43="","",IF(COUNTIFS(Ledger!$D$5:$D$154,D43)&gt;0,"Yes","No"))</f>
        <v/>
      </c>
      <c r="F43" s="10" t="str">
        <f>IF(E43="","",IF(E43="No","",IFERROR(INDEX(Ledger!$C$5:$C$154,MATCH(D43,Ledger!$D$5:$D$154,0)),"")))</f>
        <v/>
      </c>
    </row>
    <row r="44" spans="1:6" x14ac:dyDescent="0.3">
      <c r="A44" s="11"/>
      <c r="B44" s="12"/>
      <c r="C44" s="12"/>
      <c r="D44" s="13"/>
      <c r="E44" s="14" t="str">
        <f>IF(D44="","",IF(COUNTIFS(Ledger!$D$5:$D$154,D44)&gt;0,"Yes","No"))</f>
        <v/>
      </c>
      <c r="F44" s="15" t="str">
        <f>IF(E44="","",IF(E44="No","",IFERROR(INDEX(Ledger!$C$5:$C$154,MATCH(D44,Ledger!$D$5:$D$154,0)),"")))</f>
        <v/>
      </c>
    </row>
    <row r="45" spans="1:6" x14ac:dyDescent="0.3">
      <c r="A45" s="6"/>
      <c r="B45" s="7"/>
      <c r="C45" s="7"/>
      <c r="D45" s="8"/>
      <c r="E45" s="9" t="str">
        <f>IF(D45="","",IF(COUNTIFS(Ledger!$D$5:$D$154,D45)&gt;0,"Yes","No"))</f>
        <v/>
      </c>
      <c r="F45" s="10" t="str">
        <f>IF(E45="","",IF(E45="No","",IFERROR(INDEX(Ledger!$C$5:$C$154,MATCH(D45,Ledger!$D$5:$D$154,0)),"")))</f>
        <v/>
      </c>
    </row>
    <row r="46" spans="1:6" x14ac:dyDescent="0.3">
      <c r="A46" s="11"/>
      <c r="B46" s="12"/>
      <c r="C46" s="12"/>
      <c r="D46" s="13"/>
      <c r="E46" s="14" t="str">
        <f>IF(D46="","",IF(COUNTIFS(Ledger!$D$5:$D$154,D46)&gt;0,"Yes","No"))</f>
        <v/>
      </c>
      <c r="F46" s="15" t="str">
        <f>IF(E46="","",IF(E46="No","",IFERROR(INDEX(Ledger!$C$5:$C$154,MATCH(D46,Ledger!$D$5:$D$154,0)),"")))</f>
        <v/>
      </c>
    </row>
    <row r="47" spans="1:6" x14ac:dyDescent="0.3">
      <c r="A47" s="6"/>
      <c r="B47" s="7"/>
      <c r="C47" s="7"/>
      <c r="D47" s="8"/>
      <c r="E47" s="9" t="str">
        <f>IF(D47="","",IF(COUNTIFS(Ledger!$D$5:$D$154,D47)&gt;0,"Yes","No"))</f>
        <v/>
      </c>
      <c r="F47" s="10" t="str">
        <f>IF(E47="","",IF(E47="No","",IFERROR(INDEX(Ledger!$C$5:$C$154,MATCH(D47,Ledger!$D$5:$D$154,0)),"")))</f>
        <v/>
      </c>
    </row>
    <row r="48" spans="1:6" x14ac:dyDescent="0.3">
      <c r="A48" s="11"/>
      <c r="B48" s="12"/>
      <c r="C48" s="12"/>
      <c r="D48" s="13"/>
      <c r="E48" s="14" t="str">
        <f>IF(D48="","",IF(COUNTIFS(Ledger!$D$5:$D$154,D48)&gt;0,"Yes","No"))</f>
        <v/>
      </c>
      <c r="F48" s="15" t="str">
        <f>IF(E48="","",IF(E48="No","",IFERROR(INDEX(Ledger!$C$5:$C$154,MATCH(D48,Ledger!$D$5:$D$154,0)),"")))</f>
        <v/>
      </c>
    </row>
    <row r="49" spans="1:6" x14ac:dyDescent="0.3">
      <c r="A49" s="6"/>
      <c r="B49" s="7"/>
      <c r="C49" s="7"/>
      <c r="D49" s="8"/>
      <c r="E49" s="9" t="str">
        <f>IF(D49="","",IF(COUNTIFS(Ledger!$D$5:$D$154,D49)&gt;0,"Yes","No"))</f>
        <v/>
      </c>
      <c r="F49" s="10" t="str">
        <f>IF(E49="","",IF(E49="No","",IFERROR(INDEX(Ledger!$C$5:$C$154,MATCH(D49,Ledger!$D$5:$D$154,0)),"")))</f>
        <v/>
      </c>
    </row>
    <row r="50" spans="1:6" x14ac:dyDescent="0.3">
      <c r="A50" s="11"/>
      <c r="B50" s="12"/>
      <c r="C50" s="12"/>
      <c r="D50" s="13"/>
      <c r="E50" s="14" t="str">
        <f>IF(D50="","",IF(COUNTIFS(Ledger!$D$5:$D$154,D50)&gt;0,"Yes","No"))</f>
        <v/>
      </c>
      <c r="F50" s="15" t="str">
        <f>IF(E50="","",IF(E50="No","",IFERROR(INDEX(Ledger!$C$5:$C$154,MATCH(D50,Ledger!$D$5:$D$154,0)),"")))</f>
        <v/>
      </c>
    </row>
    <row r="51" spans="1:6" x14ac:dyDescent="0.3">
      <c r="A51" s="6"/>
      <c r="B51" s="7"/>
      <c r="C51" s="7"/>
      <c r="D51" s="8"/>
      <c r="E51" s="9" t="str">
        <f>IF(D51="","",IF(COUNTIFS(Ledger!$D$5:$D$154,D51)&gt;0,"Yes","No"))</f>
        <v/>
      </c>
      <c r="F51" s="10" t="str">
        <f>IF(E51="","",IF(E51="No","",IFERROR(INDEX(Ledger!$C$5:$C$154,MATCH(D51,Ledger!$D$5:$D$154,0)),"")))</f>
        <v/>
      </c>
    </row>
    <row r="52" spans="1:6" x14ac:dyDescent="0.3">
      <c r="A52" s="11"/>
      <c r="B52" s="12"/>
      <c r="C52" s="12"/>
      <c r="D52" s="13"/>
      <c r="E52" s="14" t="str">
        <f>IF(D52="","",IF(COUNTIFS(Ledger!$D$5:$D$154,D52)&gt;0,"Yes","No"))</f>
        <v/>
      </c>
      <c r="F52" s="15" t="str">
        <f>IF(E52="","",IF(E52="No","",IFERROR(INDEX(Ledger!$C$5:$C$154,MATCH(D52,Ledger!$D$5:$D$154,0)),"")))</f>
        <v/>
      </c>
    </row>
    <row r="53" spans="1:6" x14ac:dyDescent="0.3">
      <c r="A53" s="6"/>
      <c r="B53" s="7"/>
      <c r="C53" s="7"/>
      <c r="D53" s="8"/>
      <c r="E53" s="9" t="str">
        <f>IF(D53="","",IF(COUNTIFS(Ledger!$D$5:$D$154,D53)&gt;0,"Yes","No"))</f>
        <v/>
      </c>
      <c r="F53" s="10" t="str">
        <f>IF(E53="","",IF(E53="No","",IFERROR(INDEX(Ledger!$C$5:$C$154,MATCH(D53,Ledger!$D$5:$D$154,0)),"")))</f>
        <v/>
      </c>
    </row>
    <row r="54" spans="1:6" x14ac:dyDescent="0.3">
      <c r="A54" s="11"/>
      <c r="B54" s="12"/>
      <c r="C54" s="12"/>
      <c r="D54" s="13"/>
      <c r="E54" s="14" t="str">
        <f>IF(D54="","",IF(COUNTIFS(Ledger!$D$5:$D$154,D54)&gt;0,"Yes","No"))</f>
        <v/>
      </c>
      <c r="F54" s="15" t="str">
        <f>IF(E54="","",IF(E54="No","",IFERROR(INDEX(Ledger!$C$5:$C$154,MATCH(D54,Ledger!$D$5:$D$154,0)),"")))</f>
        <v/>
      </c>
    </row>
    <row r="55" spans="1:6" x14ac:dyDescent="0.3">
      <c r="A55" s="6"/>
      <c r="B55" s="7"/>
      <c r="C55" s="7"/>
      <c r="D55" s="8"/>
      <c r="E55" s="9" t="str">
        <f>IF(D55="","",IF(COUNTIFS(Ledger!$D$5:$D$154,D55)&gt;0,"Yes","No"))</f>
        <v/>
      </c>
      <c r="F55" s="10" t="str">
        <f>IF(E55="","",IF(E55="No","",IFERROR(INDEX(Ledger!$C$5:$C$154,MATCH(D55,Ledger!$D$5:$D$154,0)),"")))</f>
        <v/>
      </c>
    </row>
    <row r="56" spans="1:6" x14ac:dyDescent="0.3">
      <c r="A56" s="11"/>
      <c r="B56" s="12"/>
      <c r="C56" s="12"/>
      <c r="D56" s="13"/>
      <c r="E56" s="14" t="str">
        <f>IF(D56="","",IF(COUNTIFS(Ledger!$D$5:$D$154,D56)&gt;0,"Yes","No"))</f>
        <v/>
      </c>
      <c r="F56" s="15" t="str">
        <f>IF(E56="","",IF(E56="No","",IFERROR(INDEX(Ledger!$C$5:$C$154,MATCH(D56,Ledger!$D$5:$D$154,0)),"")))</f>
        <v/>
      </c>
    </row>
    <row r="57" spans="1:6" x14ac:dyDescent="0.3">
      <c r="A57" s="6"/>
      <c r="B57" s="7"/>
      <c r="C57" s="7"/>
      <c r="D57" s="8"/>
      <c r="E57" s="9" t="str">
        <f>IF(D57="","",IF(COUNTIFS(Ledger!$D$5:$D$154,D57)&gt;0,"Yes","No"))</f>
        <v/>
      </c>
      <c r="F57" s="10" t="str">
        <f>IF(E57="","",IF(E57="No","",IFERROR(INDEX(Ledger!$C$5:$C$154,MATCH(D57,Ledger!$D$5:$D$154,0)),"")))</f>
        <v/>
      </c>
    </row>
    <row r="58" spans="1:6" x14ac:dyDescent="0.3">
      <c r="A58" s="11"/>
      <c r="B58" s="12"/>
      <c r="C58" s="12"/>
      <c r="D58" s="13"/>
      <c r="E58" s="14" t="str">
        <f>IF(D58="","",IF(COUNTIFS(Ledger!$D$5:$D$154,D58)&gt;0,"Yes","No"))</f>
        <v/>
      </c>
      <c r="F58" s="15" t="str">
        <f>IF(E58="","",IF(E58="No","",IFERROR(INDEX(Ledger!$C$5:$C$154,MATCH(D58,Ledger!$D$5:$D$154,0)),"")))</f>
        <v/>
      </c>
    </row>
    <row r="59" spans="1:6" x14ac:dyDescent="0.3">
      <c r="A59" s="6"/>
      <c r="B59" s="7"/>
      <c r="C59" s="7"/>
      <c r="D59" s="8"/>
      <c r="E59" s="9" t="str">
        <f>IF(D59="","",IF(COUNTIFS(Ledger!$D$5:$D$154,D59)&gt;0,"Yes","No"))</f>
        <v/>
      </c>
      <c r="F59" s="10" t="str">
        <f>IF(E59="","",IF(E59="No","",IFERROR(INDEX(Ledger!$C$5:$C$154,MATCH(D59,Ledger!$D$5:$D$154,0)),"")))</f>
        <v/>
      </c>
    </row>
    <row r="60" spans="1:6" x14ac:dyDescent="0.3">
      <c r="A60" s="11"/>
      <c r="B60" s="12"/>
      <c r="C60" s="12"/>
      <c r="D60" s="13"/>
      <c r="E60" s="14" t="str">
        <f>IF(D60="","",IF(COUNTIFS(Ledger!$D$5:$D$154,D60)&gt;0,"Yes","No"))</f>
        <v/>
      </c>
      <c r="F60" s="15" t="str">
        <f>IF(E60="","",IF(E60="No","",IFERROR(INDEX(Ledger!$C$5:$C$154,MATCH(D60,Ledger!$D$5:$D$154,0)),"")))</f>
        <v/>
      </c>
    </row>
    <row r="61" spans="1:6" x14ac:dyDescent="0.3">
      <c r="A61" s="6"/>
      <c r="B61" s="7"/>
      <c r="C61" s="7"/>
      <c r="D61" s="8"/>
      <c r="E61" s="9" t="str">
        <f>IF(D61="","",IF(COUNTIFS(Ledger!$D$5:$D$154,D61)&gt;0,"Yes","No"))</f>
        <v/>
      </c>
      <c r="F61" s="10" t="str">
        <f>IF(E61="","",IF(E61="No","",IFERROR(INDEX(Ledger!$C$5:$C$154,MATCH(D61,Ledger!$D$5:$D$154,0)),"")))</f>
        <v/>
      </c>
    </row>
    <row r="62" spans="1:6" x14ac:dyDescent="0.3">
      <c r="A62" s="11"/>
      <c r="B62" s="12"/>
      <c r="C62" s="12"/>
      <c r="D62" s="13"/>
      <c r="E62" s="14" t="str">
        <f>IF(D62="","",IF(COUNTIFS(Ledger!$D$5:$D$154,D62)&gt;0,"Yes","No"))</f>
        <v/>
      </c>
      <c r="F62" s="15" t="str">
        <f>IF(E62="","",IF(E62="No","",IFERROR(INDEX(Ledger!$C$5:$C$154,MATCH(D62,Ledger!$D$5:$D$154,0)),"")))</f>
        <v/>
      </c>
    </row>
    <row r="63" spans="1:6" x14ac:dyDescent="0.3">
      <c r="A63" s="6"/>
      <c r="B63" s="7"/>
      <c r="C63" s="7"/>
      <c r="D63" s="8"/>
      <c r="E63" s="9" t="str">
        <f>IF(D63="","",IF(COUNTIFS(Ledger!$D$5:$D$154,D63)&gt;0,"Yes","No"))</f>
        <v/>
      </c>
      <c r="F63" s="10" t="str">
        <f>IF(E63="","",IF(E63="No","",IFERROR(INDEX(Ledger!$C$5:$C$154,MATCH(D63,Ledger!$D$5:$D$154,0)),"")))</f>
        <v/>
      </c>
    </row>
    <row r="64" spans="1:6" x14ac:dyDescent="0.3">
      <c r="A64" s="11"/>
      <c r="B64" s="12"/>
      <c r="C64" s="12"/>
      <c r="D64" s="13"/>
      <c r="E64" s="14" t="str">
        <f>IF(D64="","",IF(COUNTIFS(Ledger!$D$5:$D$154,D64)&gt;0,"Yes","No"))</f>
        <v/>
      </c>
      <c r="F64" s="15" t="str">
        <f>IF(E64="","",IF(E64="No","",IFERROR(INDEX(Ledger!$C$5:$C$154,MATCH(D64,Ledger!$D$5:$D$154,0)),"")))</f>
        <v/>
      </c>
    </row>
    <row r="65" spans="1:6" x14ac:dyDescent="0.3">
      <c r="A65" s="6"/>
      <c r="B65" s="7"/>
      <c r="C65" s="7"/>
      <c r="D65" s="8"/>
      <c r="E65" s="9" t="str">
        <f>IF(D65="","",IF(COUNTIFS(Ledger!$D$5:$D$154,D65)&gt;0,"Yes","No"))</f>
        <v/>
      </c>
      <c r="F65" s="10" t="str">
        <f>IF(E65="","",IF(E65="No","",IFERROR(INDEX(Ledger!$C$5:$C$154,MATCH(D65,Ledger!$D$5:$D$154,0)),"")))</f>
        <v/>
      </c>
    </row>
    <row r="66" spans="1:6" x14ac:dyDescent="0.3">
      <c r="A66" s="11"/>
      <c r="B66" s="12"/>
      <c r="C66" s="12"/>
      <c r="D66" s="13"/>
      <c r="E66" s="14" t="str">
        <f>IF(D66="","",IF(COUNTIFS(Ledger!$D$5:$D$154,D66)&gt;0,"Yes","No"))</f>
        <v/>
      </c>
      <c r="F66" s="15" t="str">
        <f>IF(E66="","",IF(E66="No","",IFERROR(INDEX(Ledger!$C$5:$C$154,MATCH(D66,Ledger!$D$5:$D$154,0)),"")))</f>
        <v/>
      </c>
    </row>
    <row r="67" spans="1:6" x14ac:dyDescent="0.3">
      <c r="A67" s="6"/>
      <c r="B67" s="7"/>
      <c r="C67" s="7"/>
      <c r="D67" s="8"/>
      <c r="E67" s="9" t="str">
        <f>IF(D67="","",IF(COUNTIFS(Ledger!$D$5:$D$154,D67)&gt;0,"Yes","No"))</f>
        <v/>
      </c>
      <c r="F67" s="10" t="str">
        <f>IF(E67="","",IF(E67="No","",IFERROR(INDEX(Ledger!$C$5:$C$154,MATCH(D67,Ledger!$D$5:$D$154,0)),"")))</f>
        <v/>
      </c>
    </row>
    <row r="68" spans="1:6" x14ac:dyDescent="0.3">
      <c r="A68" s="11"/>
      <c r="B68" s="12"/>
      <c r="C68" s="12"/>
      <c r="D68" s="13"/>
      <c r="E68" s="14" t="str">
        <f>IF(D68="","",IF(COUNTIFS(Ledger!$D$5:$D$154,D68)&gt;0,"Yes","No"))</f>
        <v/>
      </c>
      <c r="F68" s="15" t="str">
        <f>IF(E68="","",IF(E68="No","",IFERROR(INDEX(Ledger!$C$5:$C$154,MATCH(D68,Ledger!$D$5:$D$154,0)),"")))</f>
        <v/>
      </c>
    </row>
    <row r="69" spans="1:6" x14ac:dyDescent="0.3">
      <c r="A69" s="6"/>
      <c r="B69" s="7"/>
      <c r="C69" s="7"/>
      <c r="D69" s="8"/>
      <c r="E69" s="9" t="str">
        <f>IF(D69="","",IF(COUNTIFS(Ledger!$D$5:$D$154,D69)&gt;0,"Yes","No"))</f>
        <v/>
      </c>
      <c r="F69" s="10" t="str">
        <f>IF(E69="","",IF(E69="No","",IFERROR(INDEX(Ledger!$C$5:$C$154,MATCH(D69,Ledger!$D$5:$D$154,0)),"")))</f>
        <v/>
      </c>
    </row>
    <row r="70" spans="1:6" x14ac:dyDescent="0.3">
      <c r="A70" s="11"/>
      <c r="B70" s="12"/>
      <c r="C70" s="12"/>
      <c r="D70" s="13"/>
      <c r="E70" s="14" t="str">
        <f>IF(D70="","",IF(COUNTIFS(Ledger!$D$5:$D$154,D70)&gt;0,"Yes","No"))</f>
        <v/>
      </c>
      <c r="F70" s="15" t="str">
        <f>IF(E70="","",IF(E70="No","",IFERROR(INDEX(Ledger!$C$5:$C$154,MATCH(D70,Ledger!$D$5:$D$154,0)),"")))</f>
        <v/>
      </c>
    </row>
    <row r="71" spans="1:6" x14ac:dyDescent="0.3">
      <c r="A71" s="6"/>
      <c r="B71" s="7"/>
      <c r="C71" s="7"/>
      <c r="D71" s="8"/>
      <c r="E71" s="9" t="str">
        <f>IF(D71="","",IF(COUNTIFS(Ledger!$D$5:$D$154,D71)&gt;0,"Yes","No"))</f>
        <v/>
      </c>
      <c r="F71" s="10" t="str">
        <f>IF(E71="","",IF(E71="No","",IFERROR(INDEX(Ledger!$C$5:$C$154,MATCH(D71,Ledger!$D$5:$D$154,0)),"")))</f>
        <v/>
      </c>
    </row>
    <row r="72" spans="1:6" x14ac:dyDescent="0.3">
      <c r="A72" s="11"/>
      <c r="B72" s="12"/>
      <c r="C72" s="12"/>
      <c r="D72" s="13"/>
      <c r="E72" s="14" t="str">
        <f>IF(D72="","",IF(COUNTIFS(Ledger!$D$5:$D$154,D72)&gt;0,"Yes","No"))</f>
        <v/>
      </c>
      <c r="F72" s="15" t="str">
        <f>IF(E72="","",IF(E72="No","",IFERROR(INDEX(Ledger!$C$5:$C$154,MATCH(D72,Ledger!$D$5:$D$154,0)),"")))</f>
        <v/>
      </c>
    </row>
    <row r="73" spans="1:6" x14ac:dyDescent="0.3">
      <c r="A73" s="6"/>
      <c r="B73" s="7"/>
      <c r="C73" s="7"/>
      <c r="D73" s="8"/>
      <c r="E73" s="9" t="str">
        <f>IF(D73="","",IF(COUNTIFS(Ledger!$D$5:$D$154,D73)&gt;0,"Yes","No"))</f>
        <v/>
      </c>
      <c r="F73" s="10" t="str">
        <f>IF(E73="","",IF(E73="No","",IFERROR(INDEX(Ledger!$C$5:$C$154,MATCH(D73,Ledger!$D$5:$D$154,0)),"")))</f>
        <v/>
      </c>
    </row>
    <row r="74" spans="1:6" x14ac:dyDescent="0.3">
      <c r="A74" s="11"/>
      <c r="B74" s="12"/>
      <c r="C74" s="12"/>
      <c r="D74" s="13"/>
      <c r="E74" s="14" t="str">
        <f>IF(D74="","",IF(COUNTIFS(Ledger!$D$5:$D$154,D74)&gt;0,"Yes","No"))</f>
        <v/>
      </c>
      <c r="F74" s="15" t="str">
        <f>IF(E74="","",IF(E74="No","",IFERROR(INDEX(Ledger!$C$5:$C$154,MATCH(D74,Ledger!$D$5:$D$154,0)),"")))</f>
        <v/>
      </c>
    </row>
    <row r="75" spans="1:6" x14ac:dyDescent="0.3">
      <c r="A75" s="6"/>
      <c r="B75" s="7"/>
      <c r="C75" s="7"/>
      <c r="D75" s="8"/>
      <c r="E75" s="9" t="str">
        <f>IF(D75="","",IF(COUNTIFS(Ledger!$D$5:$D$154,D75)&gt;0,"Yes","No"))</f>
        <v/>
      </c>
      <c r="F75" s="10" t="str">
        <f>IF(E75="","",IF(E75="No","",IFERROR(INDEX(Ledger!$C$5:$C$154,MATCH(D75,Ledger!$D$5:$D$154,0)),"")))</f>
        <v/>
      </c>
    </row>
    <row r="76" spans="1:6" x14ac:dyDescent="0.3">
      <c r="A76" s="11"/>
      <c r="B76" s="12"/>
      <c r="C76" s="12"/>
      <c r="D76" s="13"/>
      <c r="E76" s="14" t="str">
        <f>IF(D76="","",IF(COUNTIFS(Ledger!$D$5:$D$154,D76)&gt;0,"Yes","No"))</f>
        <v/>
      </c>
      <c r="F76" s="15" t="str">
        <f>IF(E76="","",IF(E76="No","",IFERROR(INDEX(Ledger!$C$5:$C$154,MATCH(D76,Ledger!$D$5:$D$154,0)),"")))</f>
        <v/>
      </c>
    </row>
    <row r="77" spans="1:6" x14ac:dyDescent="0.3">
      <c r="A77" s="6"/>
      <c r="B77" s="7"/>
      <c r="C77" s="7"/>
      <c r="D77" s="8"/>
      <c r="E77" s="9" t="str">
        <f>IF(D77="","",IF(COUNTIFS(Ledger!$D$5:$D$154,D77)&gt;0,"Yes","No"))</f>
        <v/>
      </c>
      <c r="F77" s="10" t="str">
        <f>IF(E77="","",IF(E77="No","",IFERROR(INDEX(Ledger!$C$5:$C$154,MATCH(D77,Ledger!$D$5:$D$154,0)),"")))</f>
        <v/>
      </c>
    </row>
    <row r="78" spans="1:6" x14ac:dyDescent="0.3">
      <c r="A78" s="11"/>
      <c r="B78" s="12"/>
      <c r="C78" s="12"/>
      <c r="D78" s="13"/>
      <c r="E78" s="14" t="str">
        <f>IF(D78="","",IF(COUNTIFS(Ledger!$D$5:$D$154,D78)&gt;0,"Yes","No"))</f>
        <v/>
      </c>
      <c r="F78" s="15" t="str">
        <f>IF(E78="","",IF(E78="No","",IFERROR(INDEX(Ledger!$C$5:$C$154,MATCH(D78,Ledger!$D$5:$D$154,0)),"")))</f>
        <v/>
      </c>
    </row>
    <row r="79" spans="1:6" x14ac:dyDescent="0.3">
      <c r="A79" s="6"/>
      <c r="B79" s="7"/>
      <c r="C79" s="7"/>
      <c r="D79" s="8"/>
      <c r="E79" s="9" t="str">
        <f>IF(D79="","",IF(COUNTIFS(Ledger!$D$5:$D$154,D79)&gt;0,"Yes","No"))</f>
        <v/>
      </c>
      <c r="F79" s="10" t="str">
        <f>IF(E79="","",IF(E79="No","",IFERROR(INDEX(Ledger!$C$5:$C$154,MATCH(D79,Ledger!$D$5:$D$154,0)),"")))</f>
        <v/>
      </c>
    </row>
    <row r="80" spans="1:6" x14ac:dyDescent="0.3">
      <c r="A80" s="11"/>
      <c r="B80" s="12"/>
      <c r="C80" s="12"/>
      <c r="D80" s="13"/>
      <c r="E80" s="14" t="str">
        <f>IF(D80="","",IF(COUNTIFS(Ledger!$D$5:$D$154,D80)&gt;0,"Yes","No"))</f>
        <v/>
      </c>
      <c r="F80" s="15" t="str">
        <f>IF(E80="","",IF(E80="No","",IFERROR(INDEX(Ledger!$C$5:$C$154,MATCH(D80,Ledger!$D$5:$D$154,0)),"")))</f>
        <v/>
      </c>
    </row>
    <row r="81" spans="1:6" x14ac:dyDescent="0.3">
      <c r="A81" s="6"/>
      <c r="B81" s="7"/>
      <c r="C81" s="7"/>
      <c r="D81" s="8"/>
      <c r="E81" s="9" t="str">
        <f>IF(D81="","",IF(COUNTIFS(Ledger!$D$5:$D$154,D81)&gt;0,"Yes","No"))</f>
        <v/>
      </c>
      <c r="F81" s="10" t="str">
        <f>IF(E81="","",IF(E81="No","",IFERROR(INDEX(Ledger!$C$5:$C$154,MATCH(D81,Ledger!$D$5:$D$154,0)),"")))</f>
        <v/>
      </c>
    </row>
    <row r="82" spans="1:6" x14ac:dyDescent="0.3">
      <c r="A82" s="11"/>
      <c r="B82" s="12"/>
      <c r="C82" s="12"/>
      <c r="D82" s="13"/>
      <c r="E82" s="14" t="str">
        <f>IF(D82="","",IF(COUNTIFS(Ledger!$D$5:$D$154,D82)&gt;0,"Yes","No"))</f>
        <v/>
      </c>
      <c r="F82" s="15" t="str">
        <f>IF(E82="","",IF(E82="No","",IFERROR(INDEX(Ledger!$C$5:$C$154,MATCH(D82,Ledger!$D$5:$D$154,0)),"")))</f>
        <v/>
      </c>
    </row>
    <row r="83" spans="1:6" x14ac:dyDescent="0.3">
      <c r="A83" s="6"/>
      <c r="B83" s="7"/>
      <c r="C83" s="7"/>
      <c r="D83" s="8"/>
      <c r="E83" s="9" t="str">
        <f>IF(D83="","",IF(COUNTIFS(Ledger!$D$5:$D$154,D83)&gt;0,"Yes","No"))</f>
        <v/>
      </c>
      <c r="F83" s="10" t="str">
        <f>IF(E83="","",IF(E83="No","",IFERROR(INDEX(Ledger!$C$5:$C$154,MATCH(D83,Ledger!$D$5:$D$154,0)),"")))</f>
        <v/>
      </c>
    </row>
    <row r="84" spans="1:6" x14ac:dyDescent="0.3">
      <c r="A84" s="11"/>
      <c r="B84" s="12"/>
      <c r="C84" s="12"/>
      <c r="D84" s="13"/>
      <c r="E84" s="14" t="str">
        <f>IF(D84="","",IF(COUNTIFS(Ledger!$D$5:$D$154,D84)&gt;0,"Yes","No"))</f>
        <v/>
      </c>
      <c r="F84" s="15" t="str">
        <f>IF(E84="","",IF(E84="No","",IFERROR(INDEX(Ledger!$C$5:$C$154,MATCH(D84,Ledger!$D$5:$D$154,0)),"")))</f>
        <v/>
      </c>
    </row>
    <row r="85" spans="1:6" x14ac:dyDescent="0.3">
      <c r="A85" s="6"/>
      <c r="B85" s="7"/>
      <c r="C85" s="7"/>
      <c r="D85" s="8"/>
      <c r="E85" s="9" t="str">
        <f>IF(D85="","",IF(COUNTIFS(Ledger!$D$5:$D$154,D85)&gt;0,"Yes","No"))</f>
        <v/>
      </c>
      <c r="F85" s="10" t="str">
        <f>IF(E85="","",IF(E85="No","",IFERROR(INDEX(Ledger!$C$5:$C$154,MATCH(D85,Ledger!$D$5:$D$154,0)),"")))</f>
        <v/>
      </c>
    </row>
    <row r="86" spans="1:6" x14ac:dyDescent="0.3">
      <c r="A86" s="11"/>
      <c r="B86" s="12"/>
      <c r="C86" s="12"/>
      <c r="D86" s="13"/>
      <c r="E86" s="14" t="str">
        <f>IF(D86="","",IF(COUNTIFS(Ledger!$D$5:$D$154,D86)&gt;0,"Yes","No"))</f>
        <v/>
      </c>
      <c r="F86" s="15" t="str">
        <f>IF(E86="","",IF(E86="No","",IFERROR(INDEX(Ledger!$C$5:$C$154,MATCH(D86,Ledger!$D$5:$D$154,0)),"")))</f>
        <v/>
      </c>
    </row>
    <row r="87" spans="1:6" x14ac:dyDescent="0.3">
      <c r="A87" s="6"/>
      <c r="B87" s="7"/>
      <c r="C87" s="7"/>
      <c r="D87" s="8"/>
      <c r="E87" s="9" t="str">
        <f>IF(D87="","",IF(COUNTIFS(Ledger!$D$5:$D$154,D87)&gt;0,"Yes","No"))</f>
        <v/>
      </c>
      <c r="F87" s="10" t="str">
        <f>IF(E87="","",IF(E87="No","",IFERROR(INDEX(Ledger!$C$5:$C$154,MATCH(D87,Ledger!$D$5:$D$154,0)),"")))</f>
        <v/>
      </c>
    </row>
    <row r="88" spans="1:6" x14ac:dyDescent="0.3">
      <c r="A88" s="11"/>
      <c r="B88" s="12"/>
      <c r="C88" s="12"/>
      <c r="D88" s="13"/>
      <c r="E88" s="14" t="str">
        <f>IF(D88="","",IF(COUNTIFS(Ledger!$D$5:$D$154,D88)&gt;0,"Yes","No"))</f>
        <v/>
      </c>
      <c r="F88" s="15" t="str">
        <f>IF(E88="","",IF(E88="No","",IFERROR(INDEX(Ledger!$C$5:$C$154,MATCH(D88,Ledger!$D$5:$D$154,0)),"")))</f>
        <v/>
      </c>
    </row>
    <row r="89" spans="1:6" x14ac:dyDescent="0.3">
      <c r="A89" s="6"/>
      <c r="B89" s="7"/>
      <c r="C89" s="7"/>
      <c r="D89" s="8"/>
      <c r="E89" s="9" t="str">
        <f>IF(D89="","",IF(COUNTIFS(Ledger!$D$5:$D$154,D89)&gt;0,"Yes","No"))</f>
        <v/>
      </c>
      <c r="F89" s="10" t="str">
        <f>IF(E89="","",IF(E89="No","",IFERROR(INDEX(Ledger!$C$5:$C$154,MATCH(D89,Ledger!$D$5:$D$154,0)),"")))</f>
        <v/>
      </c>
    </row>
    <row r="90" spans="1:6" x14ac:dyDescent="0.3">
      <c r="A90" s="11"/>
      <c r="B90" s="12"/>
      <c r="C90" s="12"/>
      <c r="D90" s="13"/>
      <c r="E90" s="14" t="str">
        <f>IF(D90="","",IF(COUNTIFS(Ledger!$D$5:$D$154,D90)&gt;0,"Yes","No"))</f>
        <v/>
      </c>
      <c r="F90" s="15" t="str">
        <f>IF(E90="","",IF(E90="No","",IFERROR(INDEX(Ledger!$C$5:$C$154,MATCH(D90,Ledger!$D$5:$D$154,0)),"")))</f>
        <v/>
      </c>
    </row>
    <row r="91" spans="1:6" x14ac:dyDescent="0.3">
      <c r="A91" s="6"/>
      <c r="B91" s="7"/>
      <c r="C91" s="7"/>
      <c r="D91" s="8"/>
      <c r="E91" s="9" t="str">
        <f>IF(D91="","",IF(COUNTIFS(Ledger!$D$5:$D$154,D91)&gt;0,"Yes","No"))</f>
        <v/>
      </c>
      <c r="F91" s="10" t="str">
        <f>IF(E91="","",IF(E91="No","",IFERROR(INDEX(Ledger!$C$5:$C$154,MATCH(D91,Ledger!$D$5:$D$154,0)),"")))</f>
        <v/>
      </c>
    </row>
    <row r="92" spans="1:6" x14ac:dyDescent="0.3">
      <c r="A92" s="11"/>
      <c r="B92" s="12"/>
      <c r="C92" s="12"/>
      <c r="D92" s="13"/>
      <c r="E92" s="14" t="str">
        <f>IF(D92="","",IF(COUNTIFS(Ledger!$D$5:$D$154,D92)&gt;0,"Yes","No"))</f>
        <v/>
      </c>
      <c r="F92" s="15" t="str">
        <f>IF(E92="","",IF(E92="No","",IFERROR(INDEX(Ledger!$C$5:$C$154,MATCH(D92,Ledger!$D$5:$D$154,0)),"")))</f>
        <v/>
      </c>
    </row>
    <row r="93" spans="1:6" x14ac:dyDescent="0.3">
      <c r="A93" s="6"/>
      <c r="B93" s="7"/>
      <c r="C93" s="7"/>
      <c r="D93" s="8"/>
      <c r="E93" s="9" t="str">
        <f>IF(D93="","",IF(COUNTIFS(Ledger!$D$5:$D$154,D93)&gt;0,"Yes","No"))</f>
        <v/>
      </c>
      <c r="F93" s="10" t="str">
        <f>IF(E93="","",IF(E93="No","",IFERROR(INDEX(Ledger!$C$5:$C$154,MATCH(D93,Ledger!$D$5:$D$154,0)),"")))</f>
        <v/>
      </c>
    </row>
    <row r="94" spans="1:6" x14ac:dyDescent="0.3">
      <c r="A94" s="11"/>
      <c r="B94" s="12"/>
      <c r="C94" s="12"/>
      <c r="D94" s="13"/>
      <c r="E94" s="14" t="str">
        <f>IF(D94="","",IF(COUNTIFS(Ledger!$D$5:$D$154,D94)&gt;0,"Yes","No"))</f>
        <v/>
      </c>
      <c r="F94" s="15" t="str">
        <f>IF(E94="","",IF(E94="No","",IFERROR(INDEX(Ledger!$C$5:$C$154,MATCH(D94,Ledger!$D$5:$D$154,0)),"")))</f>
        <v/>
      </c>
    </row>
    <row r="95" spans="1:6" x14ac:dyDescent="0.3">
      <c r="A95" s="6"/>
      <c r="B95" s="7"/>
      <c r="C95" s="7"/>
      <c r="D95" s="8"/>
      <c r="E95" s="9" t="str">
        <f>IF(D95="","",IF(COUNTIFS(Ledger!$D$5:$D$154,D95)&gt;0,"Yes","No"))</f>
        <v/>
      </c>
      <c r="F95" s="10" t="str">
        <f>IF(E95="","",IF(E95="No","",IFERROR(INDEX(Ledger!$C$5:$C$154,MATCH(D95,Ledger!$D$5:$D$154,0)),"")))</f>
        <v/>
      </c>
    </row>
    <row r="96" spans="1:6" x14ac:dyDescent="0.3">
      <c r="A96" s="11"/>
      <c r="B96" s="12"/>
      <c r="C96" s="12"/>
      <c r="D96" s="13"/>
      <c r="E96" s="14" t="str">
        <f>IF(D96="","",IF(COUNTIFS(Ledger!$D$5:$D$154,D96)&gt;0,"Yes","No"))</f>
        <v/>
      </c>
      <c r="F96" s="15" t="str">
        <f>IF(E96="","",IF(E96="No","",IFERROR(INDEX(Ledger!$C$5:$C$154,MATCH(D96,Ledger!$D$5:$D$154,0)),"")))</f>
        <v/>
      </c>
    </row>
    <row r="97" spans="1:6" x14ac:dyDescent="0.3">
      <c r="A97" s="6"/>
      <c r="B97" s="7"/>
      <c r="C97" s="7"/>
      <c r="D97" s="8"/>
      <c r="E97" s="9" t="str">
        <f>IF(D97="","",IF(COUNTIFS(Ledger!$D$5:$D$154,D97)&gt;0,"Yes","No"))</f>
        <v/>
      </c>
      <c r="F97" s="10" t="str">
        <f>IF(E97="","",IF(E97="No","",IFERROR(INDEX(Ledger!$C$5:$C$154,MATCH(D97,Ledger!$D$5:$D$154,0)),"")))</f>
        <v/>
      </c>
    </row>
    <row r="98" spans="1:6" x14ac:dyDescent="0.3">
      <c r="A98" s="11"/>
      <c r="B98" s="12"/>
      <c r="C98" s="12"/>
      <c r="D98" s="13"/>
      <c r="E98" s="14" t="str">
        <f>IF(D98="","",IF(COUNTIFS(Ledger!$D$5:$D$154,D98)&gt;0,"Yes","No"))</f>
        <v/>
      </c>
      <c r="F98" s="15" t="str">
        <f>IF(E98="","",IF(E98="No","",IFERROR(INDEX(Ledger!$C$5:$C$154,MATCH(D98,Ledger!$D$5:$D$154,0)),"")))</f>
        <v/>
      </c>
    </row>
    <row r="99" spans="1:6" x14ac:dyDescent="0.3">
      <c r="A99" s="6"/>
      <c r="B99" s="7"/>
      <c r="C99" s="7"/>
      <c r="D99" s="8"/>
      <c r="E99" s="9" t="str">
        <f>IF(D99="","",IF(COUNTIFS(Ledger!$D$5:$D$154,D99)&gt;0,"Yes","No"))</f>
        <v/>
      </c>
      <c r="F99" s="10" t="str">
        <f>IF(E99="","",IF(E99="No","",IFERROR(INDEX(Ledger!$C$5:$C$154,MATCH(D99,Ledger!$D$5:$D$154,0)),"")))</f>
        <v/>
      </c>
    </row>
    <row r="100" spans="1:6" x14ac:dyDescent="0.3">
      <c r="A100" s="11"/>
      <c r="B100" s="12"/>
      <c r="C100" s="12"/>
      <c r="D100" s="13"/>
      <c r="E100" s="14" t="str">
        <f>IF(D100="","",IF(COUNTIFS(Ledger!$D$5:$D$154,D100)&gt;0,"Yes","No"))</f>
        <v/>
      </c>
      <c r="F100" s="15" t="str">
        <f>IF(E100="","",IF(E100="No","",IFERROR(INDEX(Ledger!$C$5:$C$154,MATCH(D100,Ledger!$D$5:$D$154,0)),"")))</f>
        <v/>
      </c>
    </row>
    <row r="101" spans="1:6" x14ac:dyDescent="0.3">
      <c r="A101" s="6"/>
      <c r="B101" s="7"/>
      <c r="C101" s="7"/>
      <c r="D101" s="8"/>
      <c r="E101" s="9" t="str">
        <f>IF(D101="","",IF(COUNTIFS(Ledger!$D$5:$D$154,D101)&gt;0,"Yes","No"))</f>
        <v/>
      </c>
      <c r="F101" s="10" t="str">
        <f>IF(E101="","",IF(E101="No","",IFERROR(INDEX(Ledger!$C$5:$C$154,MATCH(D101,Ledger!$D$5:$D$154,0)),"")))</f>
        <v/>
      </c>
    </row>
    <row r="102" spans="1:6" x14ac:dyDescent="0.3">
      <c r="A102" s="11"/>
      <c r="B102" s="12"/>
      <c r="C102" s="12"/>
      <c r="D102" s="13"/>
      <c r="E102" s="14" t="str">
        <f>IF(D102="","",IF(COUNTIFS(Ledger!$D$5:$D$154,D102)&gt;0,"Yes","No"))</f>
        <v/>
      </c>
      <c r="F102" s="15" t="str">
        <f>IF(E102="","",IF(E102="No","",IFERROR(INDEX(Ledger!$C$5:$C$154,MATCH(D102,Ledger!$D$5:$D$154,0)),"")))</f>
        <v/>
      </c>
    </row>
    <row r="103" spans="1:6" x14ac:dyDescent="0.3">
      <c r="A103" s="6"/>
      <c r="B103" s="7"/>
      <c r="C103" s="7"/>
      <c r="D103" s="8"/>
      <c r="E103" s="9" t="str">
        <f>IF(D103="","",IF(COUNTIFS(Ledger!$D$5:$D$154,D103)&gt;0,"Yes","No"))</f>
        <v/>
      </c>
      <c r="F103" s="10" t="str">
        <f>IF(E103="","",IF(E103="No","",IFERROR(INDEX(Ledger!$C$5:$C$154,MATCH(D103,Ledger!$D$5:$D$154,0)),"")))</f>
        <v/>
      </c>
    </row>
    <row r="104" spans="1:6" x14ac:dyDescent="0.3">
      <c r="A104" s="11"/>
      <c r="B104" s="12"/>
      <c r="C104" s="12"/>
      <c r="D104" s="13"/>
      <c r="E104" s="14" t="str">
        <f>IF(D104="","",IF(COUNTIFS(Ledger!$D$5:$D$154,D104)&gt;0,"Yes","No"))</f>
        <v/>
      </c>
      <c r="F104" s="15" t="str">
        <f>IF(E104="","",IF(E104="No","",IFERROR(INDEX(Ledger!$C$5:$C$154,MATCH(D104,Ledger!$D$5:$D$154,0)),"")))</f>
        <v/>
      </c>
    </row>
    <row r="105" spans="1:6" x14ac:dyDescent="0.3">
      <c r="A105" s="6"/>
      <c r="B105" s="7"/>
      <c r="C105" s="7"/>
      <c r="D105" s="8"/>
      <c r="E105" s="9" t="str">
        <f>IF(D105="","",IF(COUNTIFS(Ledger!$D$5:$D$154,D105)&gt;0,"Yes","No"))</f>
        <v/>
      </c>
      <c r="F105" s="10" t="str">
        <f>IF(E105="","",IF(E105="No","",IFERROR(INDEX(Ledger!$C$5:$C$154,MATCH(D105,Ledger!$D$5:$D$154,0)),"")))</f>
        <v/>
      </c>
    </row>
    <row r="106" spans="1:6" x14ac:dyDescent="0.3">
      <c r="A106" s="11"/>
      <c r="B106" s="12"/>
      <c r="C106" s="12"/>
      <c r="D106" s="13"/>
      <c r="E106" s="14" t="str">
        <f>IF(D106="","",IF(COUNTIFS(Ledger!$D$5:$D$154,D106)&gt;0,"Yes","No"))</f>
        <v/>
      </c>
      <c r="F106" s="15" t="str">
        <f>IF(E106="","",IF(E106="No","",IFERROR(INDEX(Ledger!$C$5:$C$154,MATCH(D106,Ledger!$D$5:$D$154,0)),"")))</f>
        <v/>
      </c>
    </row>
    <row r="107" spans="1:6" x14ac:dyDescent="0.3">
      <c r="A107" s="6"/>
      <c r="B107" s="7"/>
      <c r="C107" s="7"/>
      <c r="D107" s="8"/>
      <c r="E107" s="9" t="str">
        <f>IF(D107="","",IF(COUNTIFS(Ledger!$D$5:$D$154,D107)&gt;0,"Yes","No"))</f>
        <v/>
      </c>
      <c r="F107" s="10" t="str">
        <f>IF(E107="","",IF(E107="No","",IFERROR(INDEX(Ledger!$C$5:$C$154,MATCH(D107,Ledger!$D$5:$D$154,0)),"")))</f>
        <v/>
      </c>
    </row>
    <row r="108" spans="1:6" x14ac:dyDescent="0.3">
      <c r="A108" s="11"/>
      <c r="B108" s="12"/>
      <c r="C108" s="12"/>
      <c r="D108" s="13"/>
      <c r="E108" s="14" t="str">
        <f>IF(D108="","",IF(COUNTIFS(Ledger!$D$5:$D$154,D108)&gt;0,"Yes","No"))</f>
        <v/>
      </c>
      <c r="F108" s="15" t="str">
        <f>IF(E108="","",IF(E108="No","",IFERROR(INDEX(Ledger!$C$5:$C$154,MATCH(D108,Ledger!$D$5:$D$154,0)),"")))</f>
        <v/>
      </c>
    </row>
    <row r="109" spans="1:6" x14ac:dyDescent="0.3">
      <c r="A109" s="6"/>
      <c r="B109" s="7"/>
      <c r="C109" s="7"/>
      <c r="D109" s="8"/>
      <c r="E109" s="9" t="str">
        <f>IF(D109="","",IF(COUNTIFS(Ledger!$D$5:$D$154,D109)&gt;0,"Yes","No"))</f>
        <v/>
      </c>
      <c r="F109" s="10" t="str">
        <f>IF(E109="","",IF(E109="No","",IFERROR(INDEX(Ledger!$C$5:$C$154,MATCH(D109,Ledger!$D$5:$D$154,0)),"")))</f>
        <v/>
      </c>
    </row>
    <row r="110" spans="1:6" x14ac:dyDescent="0.3">
      <c r="A110" s="11"/>
      <c r="B110" s="12"/>
      <c r="C110" s="12"/>
      <c r="D110" s="13"/>
      <c r="E110" s="14" t="str">
        <f>IF(D110="","",IF(COUNTIFS(Ledger!$D$5:$D$154,D110)&gt;0,"Yes","No"))</f>
        <v/>
      </c>
      <c r="F110" s="15" t="str">
        <f>IF(E110="","",IF(E110="No","",IFERROR(INDEX(Ledger!$C$5:$C$154,MATCH(D110,Ledger!$D$5:$D$154,0)),"")))</f>
        <v/>
      </c>
    </row>
    <row r="111" spans="1:6" x14ac:dyDescent="0.3">
      <c r="A111" s="6"/>
      <c r="B111" s="7"/>
      <c r="C111" s="7"/>
      <c r="D111" s="8"/>
      <c r="E111" s="9" t="str">
        <f>IF(D111="","",IF(COUNTIFS(Ledger!$D$5:$D$154,D111)&gt;0,"Yes","No"))</f>
        <v/>
      </c>
      <c r="F111" s="10" t="str">
        <f>IF(E111="","",IF(E111="No","",IFERROR(INDEX(Ledger!$C$5:$C$154,MATCH(D111,Ledger!$D$5:$D$154,0)),"")))</f>
        <v/>
      </c>
    </row>
    <row r="112" spans="1:6" x14ac:dyDescent="0.3">
      <c r="A112" s="11"/>
      <c r="B112" s="12"/>
      <c r="C112" s="12"/>
      <c r="D112" s="13"/>
      <c r="E112" s="14" t="str">
        <f>IF(D112="","",IF(COUNTIFS(Ledger!$D$5:$D$154,D112)&gt;0,"Yes","No"))</f>
        <v/>
      </c>
      <c r="F112" s="15" t="str">
        <f>IF(E112="","",IF(E112="No","",IFERROR(INDEX(Ledger!$C$5:$C$154,MATCH(D112,Ledger!$D$5:$D$154,0)),"")))</f>
        <v/>
      </c>
    </row>
    <row r="113" spans="1:6" x14ac:dyDescent="0.3">
      <c r="A113" s="6"/>
      <c r="B113" s="7"/>
      <c r="C113" s="7"/>
      <c r="D113" s="8"/>
      <c r="E113" s="9" t="str">
        <f>IF(D113="","",IF(COUNTIFS(Ledger!$D$5:$D$154,D113)&gt;0,"Yes","No"))</f>
        <v/>
      </c>
      <c r="F113" s="10" t="str">
        <f>IF(E113="","",IF(E113="No","",IFERROR(INDEX(Ledger!$C$5:$C$154,MATCH(D113,Ledger!$D$5:$D$154,0)),"")))</f>
        <v/>
      </c>
    </row>
    <row r="114" spans="1:6" x14ac:dyDescent="0.3">
      <c r="A114" s="11"/>
      <c r="B114" s="12"/>
      <c r="C114" s="12"/>
      <c r="D114" s="13"/>
      <c r="E114" s="14" t="str">
        <f>IF(D114="","",IF(COUNTIFS(Ledger!$D$5:$D$154,D114)&gt;0,"Yes","No"))</f>
        <v/>
      </c>
      <c r="F114" s="15" t="str">
        <f>IF(E114="","",IF(E114="No","",IFERROR(INDEX(Ledger!$C$5:$C$154,MATCH(D114,Ledger!$D$5:$D$154,0)),"")))</f>
        <v/>
      </c>
    </row>
    <row r="115" spans="1:6" x14ac:dyDescent="0.3">
      <c r="A115" s="6"/>
      <c r="B115" s="7"/>
      <c r="C115" s="7"/>
      <c r="D115" s="8"/>
      <c r="E115" s="9" t="str">
        <f>IF(D115="","",IF(COUNTIFS(Ledger!$D$5:$D$154,D115)&gt;0,"Yes","No"))</f>
        <v/>
      </c>
      <c r="F115" s="10" t="str">
        <f>IF(E115="","",IF(E115="No","",IFERROR(INDEX(Ledger!$C$5:$C$154,MATCH(D115,Ledger!$D$5:$D$154,0)),"")))</f>
        <v/>
      </c>
    </row>
    <row r="116" spans="1:6" x14ac:dyDescent="0.3">
      <c r="A116" s="11"/>
      <c r="B116" s="12"/>
      <c r="C116" s="12"/>
      <c r="D116" s="13"/>
      <c r="E116" s="14" t="str">
        <f>IF(D116="","",IF(COUNTIFS(Ledger!$D$5:$D$154,D116)&gt;0,"Yes","No"))</f>
        <v/>
      </c>
      <c r="F116" s="15" t="str">
        <f>IF(E116="","",IF(E116="No","",IFERROR(INDEX(Ledger!$C$5:$C$154,MATCH(D116,Ledger!$D$5:$D$154,0)),"")))</f>
        <v/>
      </c>
    </row>
    <row r="117" spans="1:6" x14ac:dyDescent="0.3">
      <c r="A117" s="6"/>
      <c r="B117" s="7"/>
      <c r="C117" s="7"/>
      <c r="D117" s="8"/>
      <c r="E117" s="9" t="str">
        <f>IF(D117="","",IF(COUNTIFS(Ledger!$D$5:$D$154,D117)&gt;0,"Yes","No"))</f>
        <v/>
      </c>
      <c r="F117" s="10" t="str">
        <f>IF(E117="","",IF(E117="No","",IFERROR(INDEX(Ledger!$C$5:$C$154,MATCH(D117,Ledger!$D$5:$D$154,0)),"")))</f>
        <v/>
      </c>
    </row>
    <row r="118" spans="1:6" x14ac:dyDescent="0.3">
      <c r="A118" s="11"/>
      <c r="B118" s="12"/>
      <c r="C118" s="12"/>
      <c r="D118" s="13"/>
      <c r="E118" s="14" t="str">
        <f>IF(D118="","",IF(COUNTIFS(Ledger!$D$5:$D$154,D118)&gt;0,"Yes","No"))</f>
        <v/>
      </c>
      <c r="F118" s="15" t="str">
        <f>IF(E118="","",IF(E118="No","",IFERROR(INDEX(Ledger!$C$5:$C$154,MATCH(D118,Ledger!$D$5:$D$154,0)),"")))</f>
        <v/>
      </c>
    </row>
    <row r="119" spans="1:6" x14ac:dyDescent="0.3">
      <c r="A119" s="6"/>
      <c r="B119" s="7"/>
      <c r="C119" s="7"/>
      <c r="D119" s="8"/>
      <c r="E119" s="9" t="str">
        <f>IF(D119="","",IF(COUNTIFS(Ledger!$D$5:$D$154,D119)&gt;0,"Yes","No"))</f>
        <v/>
      </c>
      <c r="F119" s="10" t="str">
        <f>IF(E119="","",IF(E119="No","",IFERROR(INDEX(Ledger!$C$5:$C$154,MATCH(D119,Ledger!$D$5:$D$154,0)),"")))</f>
        <v/>
      </c>
    </row>
    <row r="120" spans="1:6" x14ac:dyDescent="0.3">
      <c r="A120" s="11"/>
      <c r="B120" s="12"/>
      <c r="C120" s="12"/>
      <c r="D120" s="13"/>
      <c r="E120" s="14" t="str">
        <f>IF(D120="","",IF(COUNTIFS(Ledger!$D$5:$D$154,D120)&gt;0,"Yes","No"))</f>
        <v/>
      </c>
      <c r="F120" s="15" t="str">
        <f>IF(E120="","",IF(E120="No","",IFERROR(INDEX(Ledger!$C$5:$C$154,MATCH(D120,Ledger!$D$5:$D$154,0)),"")))</f>
        <v/>
      </c>
    </row>
    <row r="121" spans="1:6" x14ac:dyDescent="0.3">
      <c r="A121" s="6"/>
      <c r="B121" s="7"/>
      <c r="C121" s="7"/>
      <c r="D121" s="8"/>
      <c r="E121" s="9" t="str">
        <f>IF(D121="","",IF(COUNTIFS(Ledger!$D$5:$D$154,D121)&gt;0,"Yes","No"))</f>
        <v/>
      </c>
      <c r="F121" s="10" t="str">
        <f>IF(E121="","",IF(E121="No","",IFERROR(INDEX(Ledger!$C$5:$C$154,MATCH(D121,Ledger!$D$5:$D$154,0)),"")))</f>
        <v/>
      </c>
    </row>
    <row r="122" spans="1:6" x14ac:dyDescent="0.3">
      <c r="A122" s="11"/>
      <c r="B122" s="12"/>
      <c r="C122" s="12"/>
      <c r="D122" s="13"/>
      <c r="E122" s="14" t="str">
        <f>IF(D122="","",IF(COUNTIFS(Ledger!$D$5:$D$154,D122)&gt;0,"Yes","No"))</f>
        <v/>
      </c>
      <c r="F122" s="15" t="str">
        <f>IF(E122="","",IF(E122="No","",IFERROR(INDEX(Ledger!$C$5:$C$154,MATCH(D122,Ledger!$D$5:$D$154,0)),"")))</f>
        <v/>
      </c>
    </row>
    <row r="123" spans="1:6" x14ac:dyDescent="0.3">
      <c r="A123" s="6"/>
      <c r="B123" s="7"/>
      <c r="C123" s="7"/>
      <c r="D123" s="8"/>
      <c r="E123" s="9" t="str">
        <f>IF(D123="","",IF(COUNTIFS(Ledger!$D$5:$D$154,D123)&gt;0,"Yes","No"))</f>
        <v/>
      </c>
      <c r="F123" s="10" t="str">
        <f>IF(E123="","",IF(E123="No","",IFERROR(INDEX(Ledger!$C$5:$C$154,MATCH(D123,Ledger!$D$5:$D$154,0)),"")))</f>
        <v/>
      </c>
    </row>
    <row r="124" spans="1:6" x14ac:dyDescent="0.3">
      <c r="A124" s="11"/>
      <c r="B124" s="12"/>
      <c r="C124" s="12"/>
      <c r="D124" s="13"/>
      <c r="E124" s="14" t="str">
        <f>IF(D124="","",IF(COUNTIFS(Ledger!$D$5:$D$154,D124)&gt;0,"Yes","No"))</f>
        <v/>
      </c>
      <c r="F124" s="15" t="str">
        <f>IF(E124="","",IF(E124="No","",IFERROR(INDEX(Ledger!$C$5:$C$154,MATCH(D124,Ledger!$D$5:$D$154,0)),"")))</f>
        <v/>
      </c>
    </row>
    <row r="125" spans="1:6" x14ac:dyDescent="0.3">
      <c r="A125" s="6"/>
      <c r="B125" s="7"/>
      <c r="C125" s="7"/>
      <c r="D125" s="8"/>
      <c r="E125" s="9" t="str">
        <f>IF(D125="","",IF(COUNTIFS(Ledger!$D$5:$D$154,D125)&gt;0,"Yes","No"))</f>
        <v/>
      </c>
      <c r="F125" s="10" t="str">
        <f>IF(E125="","",IF(E125="No","",IFERROR(INDEX(Ledger!$C$5:$C$154,MATCH(D125,Ledger!$D$5:$D$154,0)),"")))</f>
        <v/>
      </c>
    </row>
    <row r="126" spans="1:6" x14ac:dyDescent="0.3">
      <c r="A126" s="11"/>
      <c r="B126" s="12"/>
      <c r="C126" s="12"/>
      <c r="D126" s="13"/>
      <c r="E126" s="14" t="str">
        <f>IF(D126="","",IF(COUNTIFS(Ledger!$D$5:$D$154,D126)&gt;0,"Yes","No"))</f>
        <v/>
      </c>
      <c r="F126" s="15" t="str">
        <f>IF(E126="","",IF(E126="No","",IFERROR(INDEX(Ledger!$C$5:$C$154,MATCH(D126,Ledger!$D$5:$D$154,0)),"")))</f>
        <v/>
      </c>
    </row>
    <row r="127" spans="1:6" x14ac:dyDescent="0.3">
      <c r="A127" s="6"/>
      <c r="B127" s="7"/>
      <c r="C127" s="7"/>
      <c r="D127" s="8"/>
      <c r="E127" s="9" t="str">
        <f>IF(D127="","",IF(COUNTIFS(Ledger!$D$5:$D$154,D127)&gt;0,"Yes","No"))</f>
        <v/>
      </c>
      <c r="F127" s="10" t="str">
        <f>IF(E127="","",IF(E127="No","",IFERROR(INDEX(Ledger!$C$5:$C$154,MATCH(D127,Ledger!$D$5:$D$154,0)),"")))</f>
        <v/>
      </c>
    </row>
    <row r="128" spans="1:6" x14ac:dyDescent="0.3">
      <c r="A128" s="11"/>
      <c r="B128" s="12"/>
      <c r="C128" s="12"/>
      <c r="D128" s="13"/>
      <c r="E128" s="14" t="str">
        <f>IF(D128="","",IF(COUNTIFS(Ledger!$D$5:$D$154,D128)&gt;0,"Yes","No"))</f>
        <v/>
      </c>
      <c r="F128" s="15" t="str">
        <f>IF(E128="","",IF(E128="No","",IFERROR(INDEX(Ledger!$C$5:$C$154,MATCH(D128,Ledger!$D$5:$D$154,0)),"")))</f>
        <v/>
      </c>
    </row>
    <row r="129" spans="1:6" x14ac:dyDescent="0.3">
      <c r="A129" s="6"/>
      <c r="B129" s="7"/>
      <c r="C129" s="7"/>
      <c r="D129" s="8"/>
      <c r="E129" s="9" t="str">
        <f>IF(D129="","",IF(COUNTIFS(Ledger!$D$5:$D$154,D129)&gt;0,"Yes","No"))</f>
        <v/>
      </c>
      <c r="F129" s="10" t="str">
        <f>IF(E129="","",IF(E129="No","",IFERROR(INDEX(Ledger!$C$5:$C$154,MATCH(D129,Ledger!$D$5:$D$154,0)),"")))</f>
        <v/>
      </c>
    </row>
    <row r="130" spans="1:6" x14ac:dyDescent="0.3">
      <c r="A130" s="11"/>
      <c r="B130" s="12"/>
      <c r="C130" s="12"/>
      <c r="D130" s="13"/>
      <c r="E130" s="14" t="str">
        <f>IF(D130="","",IF(COUNTIFS(Ledger!$D$5:$D$154,D130)&gt;0,"Yes","No"))</f>
        <v/>
      </c>
      <c r="F130" s="15" t="str">
        <f>IF(E130="","",IF(E130="No","",IFERROR(INDEX(Ledger!$C$5:$C$154,MATCH(D130,Ledger!$D$5:$D$154,0)),"")))</f>
        <v/>
      </c>
    </row>
    <row r="131" spans="1:6" x14ac:dyDescent="0.3">
      <c r="A131" s="6"/>
      <c r="B131" s="7"/>
      <c r="C131" s="7"/>
      <c r="D131" s="8"/>
      <c r="E131" s="9" t="str">
        <f>IF(D131="","",IF(COUNTIFS(Ledger!$D$5:$D$154,D131)&gt;0,"Yes","No"))</f>
        <v/>
      </c>
      <c r="F131" s="10" t="str">
        <f>IF(E131="","",IF(E131="No","",IFERROR(INDEX(Ledger!$C$5:$C$154,MATCH(D131,Ledger!$D$5:$D$154,0)),"")))</f>
        <v/>
      </c>
    </row>
    <row r="132" spans="1:6" x14ac:dyDescent="0.3">
      <c r="A132" s="11"/>
      <c r="B132" s="12"/>
      <c r="C132" s="12"/>
      <c r="D132" s="13"/>
      <c r="E132" s="14" t="str">
        <f>IF(D132="","",IF(COUNTIFS(Ledger!$D$5:$D$154,D132)&gt;0,"Yes","No"))</f>
        <v/>
      </c>
      <c r="F132" s="15" t="str">
        <f>IF(E132="","",IF(E132="No","",IFERROR(INDEX(Ledger!$C$5:$C$154,MATCH(D132,Ledger!$D$5:$D$154,0)),"")))</f>
        <v/>
      </c>
    </row>
    <row r="133" spans="1:6" x14ac:dyDescent="0.3">
      <c r="A133" s="6"/>
      <c r="B133" s="7"/>
      <c r="C133" s="7"/>
      <c r="D133" s="8"/>
      <c r="E133" s="9" t="str">
        <f>IF(D133="","",IF(COUNTIFS(Ledger!$D$5:$D$154,D133)&gt;0,"Yes","No"))</f>
        <v/>
      </c>
      <c r="F133" s="10" t="str">
        <f>IF(E133="","",IF(E133="No","",IFERROR(INDEX(Ledger!$C$5:$C$154,MATCH(D133,Ledger!$D$5:$D$154,0)),"")))</f>
        <v/>
      </c>
    </row>
    <row r="134" spans="1:6" x14ac:dyDescent="0.3">
      <c r="A134" s="11"/>
      <c r="B134" s="12"/>
      <c r="C134" s="12"/>
      <c r="D134" s="13"/>
      <c r="E134" s="14" t="str">
        <f>IF(D134="","",IF(COUNTIFS(Ledger!$D$5:$D$154,D134)&gt;0,"Yes","No"))</f>
        <v/>
      </c>
      <c r="F134" s="15" t="str">
        <f>IF(E134="","",IF(E134="No","",IFERROR(INDEX(Ledger!$C$5:$C$154,MATCH(D134,Ledger!$D$5:$D$154,0)),"")))</f>
        <v/>
      </c>
    </row>
    <row r="135" spans="1:6" x14ac:dyDescent="0.3">
      <c r="A135" s="6"/>
      <c r="B135" s="7"/>
      <c r="C135" s="7"/>
      <c r="D135" s="8"/>
      <c r="E135" s="9" t="str">
        <f>IF(D135="","",IF(COUNTIFS(Ledger!$D$5:$D$154,D135)&gt;0,"Yes","No"))</f>
        <v/>
      </c>
      <c r="F135" s="10" t="str">
        <f>IF(E135="","",IF(E135="No","",IFERROR(INDEX(Ledger!$C$5:$C$154,MATCH(D135,Ledger!$D$5:$D$154,0)),"")))</f>
        <v/>
      </c>
    </row>
    <row r="136" spans="1:6" x14ac:dyDescent="0.3">
      <c r="A136" s="11"/>
      <c r="B136" s="12"/>
      <c r="C136" s="12"/>
      <c r="D136" s="13"/>
      <c r="E136" s="14" t="str">
        <f>IF(D136="","",IF(COUNTIFS(Ledger!$D$5:$D$154,D136)&gt;0,"Yes","No"))</f>
        <v/>
      </c>
      <c r="F136" s="15" t="str">
        <f>IF(E136="","",IF(E136="No","",IFERROR(INDEX(Ledger!$C$5:$C$154,MATCH(D136,Ledger!$D$5:$D$154,0)),"")))</f>
        <v/>
      </c>
    </row>
    <row r="137" spans="1:6" x14ac:dyDescent="0.3">
      <c r="A137" s="6"/>
      <c r="B137" s="7"/>
      <c r="C137" s="7"/>
      <c r="D137" s="8"/>
      <c r="E137" s="9" t="str">
        <f>IF(D137="","",IF(COUNTIFS(Ledger!$D$5:$D$154,D137)&gt;0,"Yes","No"))</f>
        <v/>
      </c>
      <c r="F137" s="10" t="str">
        <f>IF(E137="","",IF(E137="No","",IFERROR(INDEX(Ledger!$C$5:$C$154,MATCH(D137,Ledger!$D$5:$D$154,0)),"")))</f>
        <v/>
      </c>
    </row>
    <row r="138" spans="1:6" x14ac:dyDescent="0.3">
      <c r="A138" s="11"/>
      <c r="B138" s="12"/>
      <c r="C138" s="12"/>
      <c r="D138" s="13"/>
      <c r="E138" s="14" t="str">
        <f>IF(D138="","",IF(COUNTIFS(Ledger!$D$5:$D$154,D138)&gt;0,"Yes","No"))</f>
        <v/>
      </c>
      <c r="F138" s="15" t="str">
        <f>IF(E138="","",IF(E138="No","",IFERROR(INDEX(Ledger!$C$5:$C$154,MATCH(D138,Ledger!$D$5:$D$154,0)),"")))</f>
        <v/>
      </c>
    </row>
    <row r="139" spans="1:6" x14ac:dyDescent="0.3">
      <c r="A139" s="6"/>
      <c r="B139" s="7"/>
      <c r="C139" s="7"/>
      <c r="D139" s="8"/>
      <c r="E139" s="9" t="str">
        <f>IF(D139="","",IF(COUNTIFS(Ledger!$D$5:$D$154,D139)&gt;0,"Yes","No"))</f>
        <v/>
      </c>
      <c r="F139" s="10" t="str">
        <f>IF(E139="","",IF(E139="No","",IFERROR(INDEX(Ledger!$C$5:$C$154,MATCH(D139,Ledger!$D$5:$D$154,0)),"")))</f>
        <v/>
      </c>
    </row>
    <row r="140" spans="1:6" x14ac:dyDescent="0.3">
      <c r="A140" s="11"/>
      <c r="B140" s="12"/>
      <c r="C140" s="12"/>
      <c r="D140" s="13"/>
      <c r="E140" s="14" t="str">
        <f>IF(D140="","",IF(COUNTIFS(Ledger!$D$5:$D$154,D140)&gt;0,"Yes","No"))</f>
        <v/>
      </c>
      <c r="F140" s="15" t="str">
        <f>IF(E140="","",IF(E140="No","",IFERROR(INDEX(Ledger!$C$5:$C$154,MATCH(D140,Ledger!$D$5:$D$154,0)),"")))</f>
        <v/>
      </c>
    </row>
    <row r="141" spans="1:6" x14ac:dyDescent="0.3">
      <c r="A141" s="6"/>
      <c r="B141" s="7"/>
      <c r="C141" s="7"/>
      <c r="D141" s="8"/>
      <c r="E141" s="9" t="str">
        <f>IF(D141="","",IF(COUNTIFS(Ledger!$D$5:$D$154,D141)&gt;0,"Yes","No"))</f>
        <v/>
      </c>
      <c r="F141" s="10" t="str">
        <f>IF(E141="","",IF(E141="No","",IFERROR(INDEX(Ledger!$C$5:$C$154,MATCH(D141,Ledger!$D$5:$D$154,0)),"")))</f>
        <v/>
      </c>
    </row>
    <row r="142" spans="1:6" x14ac:dyDescent="0.3">
      <c r="A142" s="11"/>
      <c r="B142" s="12"/>
      <c r="C142" s="12"/>
      <c r="D142" s="13"/>
      <c r="E142" s="14" t="str">
        <f>IF(D142="","",IF(COUNTIFS(Ledger!$D$5:$D$154,D142)&gt;0,"Yes","No"))</f>
        <v/>
      </c>
      <c r="F142" s="15" t="str">
        <f>IF(E142="","",IF(E142="No","",IFERROR(INDEX(Ledger!$C$5:$C$154,MATCH(D142,Ledger!$D$5:$D$154,0)),"")))</f>
        <v/>
      </c>
    </row>
    <row r="143" spans="1:6" x14ac:dyDescent="0.3">
      <c r="A143" s="6"/>
      <c r="B143" s="7"/>
      <c r="C143" s="7"/>
      <c r="D143" s="8"/>
      <c r="E143" s="9" t="str">
        <f>IF(D143="","",IF(COUNTIFS(Ledger!$D$5:$D$154,D143)&gt;0,"Yes","No"))</f>
        <v/>
      </c>
      <c r="F143" s="10" t="str">
        <f>IF(E143="","",IF(E143="No","",IFERROR(INDEX(Ledger!$C$5:$C$154,MATCH(D143,Ledger!$D$5:$D$154,0)),"")))</f>
        <v/>
      </c>
    </row>
    <row r="144" spans="1:6" x14ac:dyDescent="0.3">
      <c r="A144" s="11"/>
      <c r="B144" s="12"/>
      <c r="C144" s="12"/>
      <c r="D144" s="13"/>
      <c r="E144" s="14" t="str">
        <f>IF(D144="","",IF(COUNTIFS(Ledger!$D$5:$D$154,D144)&gt;0,"Yes","No"))</f>
        <v/>
      </c>
      <c r="F144" s="15" t="str">
        <f>IF(E144="","",IF(E144="No","",IFERROR(INDEX(Ledger!$C$5:$C$154,MATCH(D144,Ledger!$D$5:$D$154,0)),"")))</f>
        <v/>
      </c>
    </row>
    <row r="145" spans="1:6" x14ac:dyDescent="0.3">
      <c r="A145" s="6"/>
      <c r="B145" s="7"/>
      <c r="C145" s="7"/>
      <c r="D145" s="8"/>
      <c r="E145" s="9" t="str">
        <f>IF(D145="","",IF(COUNTIFS(Ledger!$D$5:$D$154,D145)&gt;0,"Yes","No"))</f>
        <v/>
      </c>
      <c r="F145" s="10" t="str">
        <f>IF(E145="","",IF(E145="No","",IFERROR(INDEX(Ledger!$C$5:$C$154,MATCH(D145,Ledger!$D$5:$D$154,0)),"")))</f>
        <v/>
      </c>
    </row>
    <row r="146" spans="1:6" x14ac:dyDescent="0.3">
      <c r="A146" s="11"/>
      <c r="B146" s="12"/>
      <c r="C146" s="12"/>
      <c r="D146" s="13"/>
      <c r="E146" s="14" t="str">
        <f>IF(D146="","",IF(COUNTIFS(Ledger!$D$5:$D$154,D146)&gt;0,"Yes","No"))</f>
        <v/>
      </c>
      <c r="F146" s="15" t="str">
        <f>IF(E146="","",IF(E146="No","",IFERROR(INDEX(Ledger!$C$5:$C$154,MATCH(D146,Ledger!$D$5:$D$154,0)),"")))</f>
        <v/>
      </c>
    </row>
    <row r="147" spans="1:6" x14ac:dyDescent="0.3">
      <c r="A147" s="6"/>
      <c r="B147" s="7"/>
      <c r="C147" s="7"/>
      <c r="D147" s="8"/>
      <c r="E147" s="9" t="str">
        <f>IF(D147="","",IF(COUNTIFS(Ledger!$D$5:$D$154,D147)&gt;0,"Yes","No"))</f>
        <v/>
      </c>
      <c r="F147" s="10" t="str">
        <f>IF(E147="","",IF(E147="No","",IFERROR(INDEX(Ledger!$C$5:$C$154,MATCH(D147,Ledger!$D$5:$D$154,0)),"")))</f>
        <v/>
      </c>
    </row>
    <row r="148" spans="1:6" x14ac:dyDescent="0.3">
      <c r="A148" s="11"/>
      <c r="B148" s="12"/>
      <c r="C148" s="12"/>
      <c r="D148" s="13"/>
      <c r="E148" s="14" t="str">
        <f>IF(D148="","",IF(COUNTIFS(Ledger!$D$5:$D$154,D148)&gt;0,"Yes","No"))</f>
        <v/>
      </c>
      <c r="F148" s="15" t="str">
        <f>IF(E148="","",IF(E148="No","",IFERROR(INDEX(Ledger!$C$5:$C$154,MATCH(D148,Ledger!$D$5:$D$154,0)),"")))</f>
        <v/>
      </c>
    </row>
    <row r="149" spans="1:6" x14ac:dyDescent="0.3">
      <c r="A149" s="6"/>
      <c r="B149" s="7"/>
      <c r="C149" s="7"/>
      <c r="D149" s="8"/>
      <c r="E149" s="9" t="str">
        <f>IF(D149="","",IF(COUNTIFS(Ledger!$D$5:$D$154,D149)&gt;0,"Yes","No"))</f>
        <v/>
      </c>
      <c r="F149" s="10" t="str">
        <f>IF(E149="","",IF(E149="No","",IFERROR(INDEX(Ledger!$C$5:$C$154,MATCH(D149,Ledger!$D$5:$D$154,0)),"")))</f>
        <v/>
      </c>
    </row>
    <row r="150" spans="1:6" x14ac:dyDescent="0.3">
      <c r="A150" s="11"/>
      <c r="B150" s="12"/>
      <c r="C150" s="12"/>
      <c r="D150" s="13"/>
      <c r="E150" s="14" t="str">
        <f>IF(D150="","",IF(COUNTIFS(Ledger!$D$5:$D$154,D150)&gt;0,"Yes","No"))</f>
        <v/>
      </c>
      <c r="F150" s="15" t="str">
        <f>IF(E150="","",IF(E150="No","",IFERROR(INDEX(Ledger!$C$5:$C$154,MATCH(D150,Ledger!$D$5:$D$154,0)),"")))</f>
        <v/>
      </c>
    </row>
    <row r="151" spans="1:6" x14ac:dyDescent="0.3">
      <c r="A151" s="6"/>
      <c r="B151" s="7"/>
      <c r="C151" s="7"/>
      <c r="D151" s="8"/>
      <c r="E151" s="9" t="str">
        <f>IF(D151="","",IF(COUNTIFS(Ledger!$D$5:$D$154,D151)&gt;0,"Yes","No"))</f>
        <v/>
      </c>
      <c r="F151" s="10" t="str">
        <f>IF(E151="","",IF(E151="No","",IFERROR(INDEX(Ledger!$C$5:$C$154,MATCH(D151,Ledger!$D$5:$D$154,0)),"")))</f>
        <v/>
      </c>
    </row>
    <row r="152" spans="1:6" x14ac:dyDescent="0.3">
      <c r="A152" s="11"/>
      <c r="B152" s="12"/>
      <c r="C152" s="12"/>
      <c r="D152" s="13"/>
      <c r="E152" s="14" t="str">
        <f>IF(D152="","",IF(COUNTIFS(Ledger!$D$5:$D$154,D152)&gt;0,"Yes","No"))</f>
        <v/>
      </c>
      <c r="F152" s="15" t="str">
        <f>IF(E152="","",IF(E152="No","",IFERROR(INDEX(Ledger!$C$5:$C$154,MATCH(D152,Ledger!$D$5:$D$154,0)),"")))</f>
        <v/>
      </c>
    </row>
    <row r="153" spans="1:6" x14ac:dyDescent="0.3">
      <c r="A153" s="6"/>
      <c r="B153" s="7"/>
      <c r="C153" s="7"/>
      <c r="D153" s="8"/>
      <c r="E153" s="9" t="str">
        <f>IF(D153="","",IF(COUNTIFS(Ledger!$D$5:$D$154,D153)&gt;0,"Yes","No"))</f>
        <v/>
      </c>
      <c r="F153" s="10" t="str">
        <f>IF(E153="","",IF(E153="No","",IFERROR(INDEX(Ledger!$C$5:$C$154,MATCH(D153,Ledger!$D$5:$D$154,0)),"")))</f>
        <v/>
      </c>
    </row>
    <row r="154" spans="1:6" x14ac:dyDescent="0.3">
      <c r="A154" s="11"/>
      <c r="B154" s="12"/>
      <c r="C154" s="12"/>
      <c r="D154" s="13"/>
      <c r="E154" s="14" t="str">
        <f>IF(D154="","",IF(COUNTIFS(Ledger!$D$5:$D$154,D154)&gt;0,"Yes","No"))</f>
        <v/>
      </c>
      <c r="F154" s="15" t="str">
        <f>IF(E154="","",IF(E154="No","",IFERROR(INDEX(Ledger!$C$5:$C$154,MATCH(D154,Ledger!$D$5:$D$154,0)),"")))</f>
        <v/>
      </c>
    </row>
  </sheetData>
  <autoFilter ref="A4:F154" xr:uid="{00000000-0009-0000-0000-000000000000}"/>
  <mergeCells count="2">
    <mergeCell ref="A1:F1"/>
    <mergeCell ref="A2:F2"/>
  </mergeCells>
  <conditionalFormatting sqref="E5:E154">
    <cfRule type="expression" dxfId="3" priority="2">
      <formula>$E5="No"</formula>
    </cfRule>
    <cfRule type="expression" dxfId="2" priority="3">
      <formula>$E5="Yes"</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4"/>
  <sheetViews>
    <sheetView showGridLines="0" zoomScaleNormal="100" workbookViewId="0">
      <pane ySplit="4" topLeftCell="A5" activePane="bottomLeft" state="frozen"/>
      <selection pane="bottomLeft" sqref="A1:F1"/>
    </sheetView>
  </sheetViews>
  <sheetFormatPr defaultColWidth="8.6640625" defaultRowHeight="14.4" x14ac:dyDescent="0.3"/>
  <cols>
    <col min="1" max="1" width="12" customWidth="1"/>
    <col min="2" max="2" width="34" customWidth="1"/>
    <col min="3" max="3" width="16" customWidth="1"/>
    <col min="4" max="4" width="14" customWidth="1"/>
    <col min="5" max="5" width="11" customWidth="1"/>
    <col min="6" max="6" width="20" customWidth="1"/>
  </cols>
  <sheetData>
    <row r="1" spans="1:6" ht="25.5" customHeight="1" x14ac:dyDescent="0.3">
      <c r="A1" s="4" t="s">
        <v>8</v>
      </c>
      <c r="B1" s="4"/>
      <c r="C1" s="4"/>
      <c r="D1" s="4"/>
      <c r="E1" s="4"/>
      <c r="F1" s="4"/>
    </row>
    <row r="2" spans="1:6" ht="15" customHeight="1" x14ac:dyDescent="0.3">
      <c r="A2" s="3" t="s">
        <v>9</v>
      </c>
      <c r="B2" s="3"/>
      <c r="C2" s="3"/>
      <c r="D2" s="3"/>
      <c r="E2" s="3"/>
      <c r="F2" s="3"/>
    </row>
    <row r="4" spans="1:6" ht="24" customHeight="1" x14ac:dyDescent="0.3">
      <c r="A4" s="5" t="s">
        <v>2</v>
      </c>
      <c r="B4" s="5" t="s">
        <v>3</v>
      </c>
      <c r="C4" s="5" t="s">
        <v>4</v>
      </c>
      <c r="D4" s="5" t="s">
        <v>5</v>
      </c>
      <c r="E4" s="5" t="s">
        <v>6</v>
      </c>
      <c r="F4" s="5" t="s">
        <v>7</v>
      </c>
    </row>
    <row r="5" spans="1:6" x14ac:dyDescent="0.3">
      <c r="A5" s="6"/>
      <c r="B5" s="7"/>
      <c r="C5" s="7"/>
      <c r="D5" s="8"/>
      <c r="E5" s="9" t="str">
        <f>IF(D5="","",IF(COUNTIFS(Statement!$D$5:$D$154,D5)&gt;0,"Yes","No"))</f>
        <v/>
      </c>
      <c r="F5" s="10" t="str">
        <f>IF(E5="","",IF(E5="No","",IFERROR(INDEX(Statement!$C$5:$C$154,MATCH(D5,Statement!$D$5:$D$154,0)),"")))</f>
        <v/>
      </c>
    </row>
    <row r="6" spans="1:6" x14ac:dyDescent="0.3">
      <c r="A6" s="11"/>
      <c r="B6" s="12"/>
      <c r="C6" s="12"/>
      <c r="D6" s="13"/>
      <c r="E6" s="14" t="str">
        <f>IF(D6="","",IF(COUNTIFS(Statement!$D$5:$D$154,D6)&gt;0,"Yes","No"))</f>
        <v/>
      </c>
      <c r="F6" s="15" t="str">
        <f>IF(E6="","",IF(E6="No","",IFERROR(INDEX(Statement!$C$5:$C$154,MATCH(D6,Statement!$D$5:$D$154,0)),"")))</f>
        <v/>
      </c>
    </row>
    <row r="7" spans="1:6" x14ac:dyDescent="0.3">
      <c r="A7" s="6"/>
      <c r="B7" s="7"/>
      <c r="C7" s="7"/>
      <c r="D7" s="8"/>
      <c r="E7" s="9" t="str">
        <f>IF(D7="","",IF(COUNTIFS(Statement!$D$5:$D$154,D7)&gt;0,"Yes","No"))</f>
        <v/>
      </c>
      <c r="F7" s="10" t="str">
        <f>IF(E7="","",IF(E7="No","",IFERROR(INDEX(Statement!$C$5:$C$154,MATCH(D7,Statement!$D$5:$D$154,0)),"")))</f>
        <v/>
      </c>
    </row>
    <row r="8" spans="1:6" x14ac:dyDescent="0.3">
      <c r="A8" s="11"/>
      <c r="B8" s="12"/>
      <c r="C8" s="12"/>
      <c r="D8" s="13"/>
      <c r="E8" s="14" t="str">
        <f>IF(D8="","",IF(COUNTIFS(Statement!$D$5:$D$154,D8)&gt;0,"Yes","No"))</f>
        <v/>
      </c>
      <c r="F8" s="15" t="str">
        <f>IF(E8="","",IF(E8="No","",IFERROR(INDEX(Statement!$C$5:$C$154,MATCH(D8,Statement!$D$5:$D$154,0)),"")))</f>
        <v/>
      </c>
    </row>
    <row r="9" spans="1:6" x14ac:dyDescent="0.3">
      <c r="A9" s="6"/>
      <c r="B9" s="7"/>
      <c r="C9" s="7"/>
      <c r="D9" s="8"/>
      <c r="E9" s="9" t="str">
        <f>IF(D9="","",IF(COUNTIFS(Statement!$D$5:$D$154,D9)&gt;0,"Yes","No"))</f>
        <v/>
      </c>
      <c r="F9" s="10" t="str">
        <f>IF(E9="","",IF(E9="No","",IFERROR(INDEX(Statement!$C$5:$C$154,MATCH(D9,Statement!$D$5:$D$154,0)),"")))</f>
        <v/>
      </c>
    </row>
    <row r="10" spans="1:6" x14ac:dyDescent="0.3">
      <c r="A10" s="11"/>
      <c r="B10" s="12"/>
      <c r="C10" s="12"/>
      <c r="D10" s="13"/>
      <c r="E10" s="14" t="str">
        <f>IF(D10="","",IF(COUNTIFS(Statement!$D$5:$D$154,D10)&gt;0,"Yes","No"))</f>
        <v/>
      </c>
      <c r="F10" s="15" t="str">
        <f>IF(E10="","",IF(E10="No","",IFERROR(INDEX(Statement!$C$5:$C$154,MATCH(D10,Statement!$D$5:$D$154,0)),"")))</f>
        <v/>
      </c>
    </row>
    <row r="11" spans="1:6" x14ac:dyDescent="0.3">
      <c r="A11" s="6"/>
      <c r="B11" s="7"/>
      <c r="C11" s="7"/>
      <c r="D11" s="8"/>
      <c r="E11" s="9" t="str">
        <f>IF(D11="","",IF(COUNTIFS(Statement!$D$5:$D$154,D11)&gt;0,"Yes","No"))</f>
        <v/>
      </c>
      <c r="F11" s="10" t="str">
        <f>IF(E11="","",IF(E11="No","",IFERROR(INDEX(Statement!$C$5:$C$154,MATCH(D11,Statement!$D$5:$D$154,0)),"")))</f>
        <v/>
      </c>
    </row>
    <row r="12" spans="1:6" x14ac:dyDescent="0.3">
      <c r="A12" s="11"/>
      <c r="B12" s="12"/>
      <c r="C12" s="12"/>
      <c r="D12" s="13"/>
      <c r="E12" s="14" t="str">
        <f>IF(D12="","",IF(COUNTIFS(Statement!$D$5:$D$154,D12)&gt;0,"Yes","No"))</f>
        <v/>
      </c>
      <c r="F12" s="15" t="str">
        <f>IF(E12="","",IF(E12="No","",IFERROR(INDEX(Statement!$C$5:$C$154,MATCH(D12,Statement!$D$5:$D$154,0)),"")))</f>
        <v/>
      </c>
    </row>
    <row r="13" spans="1:6" x14ac:dyDescent="0.3">
      <c r="A13" s="6"/>
      <c r="B13" s="7"/>
      <c r="C13" s="7"/>
      <c r="D13" s="8"/>
      <c r="E13" s="9" t="str">
        <f>IF(D13="","",IF(COUNTIFS(Statement!$D$5:$D$154,D13)&gt;0,"Yes","No"))</f>
        <v/>
      </c>
      <c r="F13" s="10" t="str">
        <f>IF(E13="","",IF(E13="No","",IFERROR(INDEX(Statement!$C$5:$C$154,MATCH(D13,Statement!$D$5:$D$154,0)),"")))</f>
        <v/>
      </c>
    </row>
    <row r="14" spans="1:6" x14ac:dyDescent="0.3">
      <c r="A14" s="11"/>
      <c r="B14" s="12"/>
      <c r="C14" s="12"/>
      <c r="D14" s="13"/>
      <c r="E14" s="14" t="str">
        <f>IF(D14="","",IF(COUNTIFS(Statement!$D$5:$D$154,D14)&gt;0,"Yes","No"))</f>
        <v/>
      </c>
      <c r="F14" s="15" t="str">
        <f>IF(E14="","",IF(E14="No","",IFERROR(INDEX(Statement!$C$5:$C$154,MATCH(D14,Statement!$D$5:$D$154,0)),"")))</f>
        <v/>
      </c>
    </row>
    <row r="15" spans="1:6" x14ac:dyDescent="0.3">
      <c r="A15" s="6"/>
      <c r="B15" s="7"/>
      <c r="C15" s="7"/>
      <c r="D15" s="8"/>
      <c r="E15" s="9" t="str">
        <f>IF(D15="","",IF(COUNTIFS(Statement!$D$5:$D$154,D15)&gt;0,"Yes","No"))</f>
        <v/>
      </c>
      <c r="F15" s="10" t="str">
        <f>IF(E15="","",IF(E15="No","",IFERROR(INDEX(Statement!$C$5:$C$154,MATCH(D15,Statement!$D$5:$D$154,0)),"")))</f>
        <v/>
      </c>
    </row>
    <row r="16" spans="1:6" x14ac:dyDescent="0.3">
      <c r="A16" s="11"/>
      <c r="B16" s="12"/>
      <c r="C16" s="12"/>
      <c r="D16" s="13"/>
      <c r="E16" s="14" t="str">
        <f>IF(D16="","",IF(COUNTIFS(Statement!$D$5:$D$154,D16)&gt;0,"Yes","No"))</f>
        <v/>
      </c>
      <c r="F16" s="15" t="str">
        <f>IF(E16="","",IF(E16="No","",IFERROR(INDEX(Statement!$C$5:$C$154,MATCH(D16,Statement!$D$5:$D$154,0)),"")))</f>
        <v/>
      </c>
    </row>
    <row r="17" spans="1:6" x14ac:dyDescent="0.3">
      <c r="A17" s="6"/>
      <c r="B17" s="7"/>
      <c r="C17" s="7"/>
      <c r="D17" s="8"/>
      <c r="E17" s="9" t="str">
        <f>IF(D17="","",IF(COUNTIFS(Statement!$D$5:$D$154,D17)&gt;0,"Yes","No"))</f>
        <v/>
      </c>
      <c r="F17" s="10" t="str">
        <f>IF(E17="","",IF(E17="No","",IFERROR(INDEX(Statement!$C$5:$C$154,MATCH(D17,Statement!$D$5:$D$154,0)),"")))</f>
        <v/>
      </c>
    </row>
    <row r="18" spans="1:6" x14ac:dyDescent="0.3">
      <c r="A18" s="11"/>
      <c r="B18" s="12"/>
      <c r="C18" s="12"/>
      <c r="D18" s="13"/>
      <c r="E18" s="14" t="str">
        <f>IF(D18="","",IF(COUNTIFS(Statement!$D$5:$D$154,D18)&gt;0,"Yes","No"))</f>
        <v/>
      </c>
      <c r="F18" s="15" t="str">
        <f>IF(E18="","",IF(E18="No","",IFERROR(INDEX(Statement!$C$5:$C$154,MATCH(D18,Statement!$D$5:$D$154,0)),"")))</f>
        <v/>
      </c>
    </row>
    <row r="19" spans="1:6" x14ac:dyDescent="0.3">
      <c r="A19" s="6"/>
      <c r="B19" s="7"/>
      <c r="C19" s="7"/>
      <c r="D19" s="8"/>
      <c r="E19" s="9" t="str">
        <f>IF(D19="","",IF(COUNTIFS(Statement!$D$5:$D$154,D19)&gt;0,"Yes","No"))</f>
        <v/>
      </c>
      <c r="F19" s="10" t="str">
        <f>IF(E19="","",IF(E19="No","",IFERROR(INDEX(Statement!$C$5:$C$154,MATCH(D19,Statement!$D$5:$D$154,0)),"")))</f>
        <v/>
      </c>
    </row>
    <row r="20" spans="1:6" x14ac:dyDescent="0.3">
      <c r="A20" s="11"/>
      <c r="B20" s="12"/>
      <c r="C20" s="12"/>
      <c r="D20" s="13"/>
      <c r="E20" s="14" t="str">
        <f>IF(D20="","",IF(COUNTIFS(Statement!$D$5:$D$154,D20)&gt;0,"Yes","No"))</f>
        <v/>
      </c>
      <c r="F20" s="15" t="str">
        <f>IF(E20="","",IF(E20="No","",IFERROR(INDEX(Statement!$C$5:$C$154,MATCH(D20,Statement!$D$5:$D$154,0)),"")))</f>
        <v/>
      </c>
    </row>
    <row r="21" spans="1:6" x14ac:dyDescent="0.3">
      <c r="A21" s="6"/>
      <c r="B21" s="7"/>
      <c r="C21" s="7"/>
      <c r="D21" s="8"/>
      <c r="E21" s="9" t="str">
        <f>IF(D21="","",IF(COUNTIFS(Statement!$D$5:$D$154,D21)&gt;0,"Yes","No"))</f>
        <v/>
      </c>
      <c r="F21" s="10" t="str">
        <f>IF(E21="","",IF(E21="No","",IFERROR(INDEX(Statement!$C$5:$C$154,MATCH(D21,Statement!$D$5:$D$154,0)),"")))</f>
        <v/>
      </c>
    </row>
    <row r="22" spans="1:6" x14ac:dyDescent="0.3">
      <c r="A22" s="11"/>
      <c r="B22" s="12"/>
      <c r="C22" s="12"/>
      <c r="D22" s="13"/>
      <c r="E22" s="14" t="str">
        <f>IF(D22="","",IF(COUNTIFS(Statement!$D$5:$D$154,D22)&gt;0,"Yes","No"))</f>
        <v/>
      </c>
      <c r="F22" s="15" t="str">
        <f>IF(E22="","",IF(E22="No","",IFERROR(INDEX(Statement!$C$5:$C$154,MATCH(D22,Statement!$D$5:$D$154,0)),"")))</f>
        <v/>
      </c>
    </row>
    <row r="23" spans="1:6" x14ac:dyDescent="0.3">
      <c r="A23" s="6"/>
      <c r="B23" s="7"/>
      <c r="C23" s="7"/>
      <c r="D23" s="8"/>
      <c r="E23" s="9" t="str">
        <f>IF(D23="","",IF(COUNTIFS(Statement!$D$5:$D$154,D23)&gt;0,"Yes","No"))</f>
        <v/>
      </c>
      <c r="F23" s="10" t="str">
        <f>IF(E23="","",IF(E23="No","",IFERROR(INDEX(Statement!$C$5:$C$154,MATCH(D23,Statement!$D$5:$D$154,0)),"")))</f>
        <v/>
      </c>
    </row>
    <row r="24" spans="1:6" x14ac:dyDescent="0.3">
      <c r="A24" s="11"/>
      <c r="B24" s="12"/>
      <c r="C24" s="12"/>
      <c r="D24" s="13"/>
      <c r="E24" s="14" t="str">
        <f>IF(D24="","",IF(COUNTIFS(Statement!$D$5:$D$154,D24)&gt;0,"Yes","No"))</f>
        <v/>
      </c>
      <c r="F24" s="15" t="str">
        <f>IF(E24="","",IF(E24="No","",IFERROR(INDEX(Statement!$C$5:$C$154,MATCH(D24,Statement!$D$5:$D$154,0)),"")))</f>
        <v/>
      </c>
    </row>
    <row r="25" spans="1:6" x14ac:dyDescent="0.3">
      <c r="A25" s="6"/>
      <c r="B25" s="7"/>
      <c r="C25" s="7"/>
      <c r="D25" s="8"/>
      <c r="E25" s="9" t="str">
        <f>IF(D25="","",IF(COUNTIFS(Statement!$D$5:$D$154,D25)&gt;0,"Yes","No"))</f>
        <v/>
      </c>
      <c r="F25" s="10" t="str">
        <f>IF(E25="","",IF(E25="No","",IFERROR(INDEX(Statement!$C$5:$C$154,MATCH(D25,Statement!$D$5:$D$154,0)),"")))</f>
        <v/>
      </c>
    </row>
    <row r="26" spans="1:6" x14ac:dyDescent="0.3">
      <c r="A26" s="11"/>
      <c r="B26" s="12"/>
      <c r="C26" s="12"/>
      <c r="D26" s="13"/>
      <c r="E26" s="14" t="str">
        <f>IF(D26="","",IF(COUNTIFS(Statement!$D$5:$D$154,D26)&gt;0,"Yes","No"))</f>
        <v/>
      </c>
      <c r="F26" s="15" t="str">
        <f>IF(E26="","",IF(E26="No","",IFERROR(INDEX(Statement!$C$5:$C$154,MATCH(D26,Statement!$D$5:$D$154,0)),"")))</f>
        <v/>
      </c>
    </row>
    <row r="27" spans="1:6" x14ac:dyDescent="0.3">
      <c r="A27" s="6"/>
      <c r="B27" s="7"/>
      <c r="C27" s="7"/>
      <c r="D27" s="8"/>
      <c r="E27" s="9" t="str">
        <f>IF(D27="","",IF(COUNTIFS(Statement!$D$5:$D$154,D27)&gt;0,"Yes","No"))</f>
        <v/>
      </c>
      <c r="F27" s="10" t="str">
        <f>IF(E27="","",IF(E27="No","",IFERROR(INDEX(Statement!$C$5:$C$154,MATCH(D27,Statement!$D$5:$D$154,0)),"")))</f>
        <v/>
      </c>
    </row>
    <row r="28" spans="1:6" x14ac:dyDescent="0.3">
      <c r="A28" s="11"/>
      <c r="B28" s="12"/>
      <c r="C28" s="12"/>
      <c r="D28" s="13"/>
      <c r="E28" s="14" t="str">
        <f>IF(D28="","",IF(COUNTIFS(Statement!$D$5:$D$154,D28)&gt;0,"Yes","No"))</f>
        <v/>
      </c>
      <c r="F28" s="15" t="str">
        <f>IF(E28="","",IF(E28="No","",IFERROR(INDEX(Statement!$C$5:$C$154,MATCH(D28,Statement!$D$5:$D$154,0)),"")))</f>
        <v/>
      </c>
    </row>
    <row r="29" spans="1:6" x14ac:dyDescent="0.3">
      <c r="A29" s="6"/>
      <c r="B29" s="7"/>
      <c r="C29" s="7"/>
      <c r="D29" s="8"/>
      <c r="E29" s="9" t="str">
        <f>IF(D29="","",IF(COUNTIFS(Statement!$D$5:$D$154,D29)&gt;0,"Yes","No"))</f>
        <v/>
      </c>
      <c r="F29" s="10" t="str">
        <f>IF(E29="","",IF(E29="No","",IFERROR(INDEX(Statement!$C$5:$C$154,MATCH(D29,Statement!$D$5:$D$154,0)),"")))</f>
        <v/>
      </c>
    </row>
    <row r="30" spans="1:6" x14ac:dyDescent="0.3">
      <c r="A30" s="11"/>
      <c r="B30" s="12"/>
      <c r="C30" s="12"/>
      <c r="D30" s="13"/>
      <c r="E30" s="14" t="str">
        <f>IF(D30="","",IF(COUNTIFS(Statement!$D$5:$D$154,D30)&gt;0,"Yes","No"))</f>
        <v/>
      </c>
      <c r="F30" s="15" t="str">
        <f>IF(E30="","",IF(E30="No","",IFERROR(INDEX(Statement!$C$5:$C$154,MATCH(D30,Statement!$D$5:$D$154,0)),"")))</f>
        <v/>
      </c>
    </row>
    <row r="31" spans="1:6" x14ac:dyDescent="0.3">
      <c r="A31" s="6"/>
      <c r="B31" s="7"/>
      <c r="C31" s="7"/>
      <c r="D31" s="8"/>
      <c r="E31" s="9" t="str">
        <f>IF(D31="","",IF(COUNTIFS(Statement!$D$5:$D$154,D31)&gt;0,"Yes","No"))</f>
        <v/>
      </c>
      <c r="F31" s="10" t="str">
        <f>IF(E31="","",IF(E31="No","",IFERROR(INDEX(Statement!$C$5:$C$154,MATCH(D31,Statement!$D$5:$D$154,0)),"")))</f>
        <v/>
      </c>
    </row>
    <row r="32" spans="1:6" x14ac:dyDescent="0.3">
      <c r="A32" s="11"/>
      <c r="B32" s="12"/>
      <c r="C32" s="12"/>
      <c r="D32" s="13"/>
      <c r="E32" s="14" t="str">
        <f>IF(D32="","",IF(COUNTIFS(Statement!$D$5:$D$154,D32)&gt;0,"Yes","No"))</f>
        <v/>
      </c>
      <c r="F32" s="15" t="str">
        <f>IF(E32="","",IF(E32="No","",IFERROR(INDEX(Statement!$C$5:$C$154,MATCH(D32,Statement!$D$5:$D$154,0)),"")))</f>
        <v/>
      </c>
    </row>
    <row r="33" spans="1:6" x14ac:dyDescent="0.3">
      <c r="A33" s="6"/>
      <c r="B33" s="7"/>
      <c r="C33" s="7"/>
      <c r="D33" s="8"/>
      <c r="E33" s="9" t="str">
        <f>IF(D33="","",IF(COUNTIFS(Statement!$D$5:$D$154,D33)&gt;0,"Yes","No"))</f>
        <v/>
      </c>
      <c r="F33" s="10" t="str">
        <f>IF(E33="","",IF(E33="No","",IFERROR(INDEX(Statement!$C$5:$C$154,MATCH(D33,Statement!$D$5:$D$154,0)),"")))</f>
        <v/>
      </c>
    </row>
    <row r="34" spans="1:6" x14ac:dyDescent="0.3">
      <c r="A34" s="11"/>
      <c r="B34" s="12"/>
      <c r="C34" s="12"/>
      <c r="D34" s="13"/>
      <c r="E34" s="14" t="str">
        <f>IF(D34="","",IF(COUNTIFS(Statement!$D$5:$D$154,D34)&gt;0,"Yes","No"))</f>
        <v/>
      </c>
      <c r="F34" s="15" t="str">
        <f>IF(E34="","",IF(E34="No","",IFERROR(INDEX(Statement!$C$5:$C$154,MATCH(D34,Statement!$D$5:$D$154,0)),"")))</f>
        <v/>
      </c>
    </row>
    <row r="35" spans="1:6" x14ac:dyDescent="0.3">
      <c r="A35" s="6"/>
      <c r="B35" s="7"/>
      <c r="C35" s="7"/>
      <c r="D35" s="8"/>
      <c r="E35" s="9" t="str">
        <f>IF(D35="","",IF(COUNTIFS(Statement!$D$5:$D$154,D35)&gt;0,"Yes","No"))</f>
        <v/>
      </c>
      <c r="F35" s="10" t="str">
        <f>IF(E35="","",IF(E35="No","",IFERROR(INDEX(Statement!$C$5:$C$154,MATCH(D35,Statement!$D$5:$D$154,0)),"")))</f>
        <v/>
      </c>
    </row>
    <row r="36" spans="1:6" x14ac:dyDescent="0.3">
      <c r="A36" s="11"/>
      <c r="B36" s="12"/>
      <c r="C36" s="12"/>
      <c r="D36" s="13"/>
      <c r="E36" s="14" t="str">
        <f>IF(D36="","",IF(COUNTIFS(Statement!$D$5:$D$154,D36)&gt;0,"Yes","No"))</f>
        <v/>
      </c>
      <c r="F36" s="15" t="str">
        <f>IF(E36="","",IF(E36="No","",IFERROR(INDEX(Statement!$C$5:$C$154,MATCH(D36,Statement!$D$5:$D$154,0)),"")))</f>
        <v/>
      </c>
    </row>
    <row r="37" spans="1:6" x14ac:dyDescent="0.3">
      <c r="A37" s="6"/>
      <c r="B37" s="7"/>
      <c r="C37" s="7"/>
      <c r="D37" s="8"/>
      <c r="E37" s="9" t="str">
        <f>IF(D37="","",IF(COUNTIFS(Statement!$D$5:$D$154,D37)&gt;0,"Yes","No"))</f>
        <v/>
      </c>
      <c r="F37" s="10" t="str">
        <f>IF(E37="","",IF(E37="No","",IFERROR(INDEX(Statement!$C$5:$C$154,MATCH(D37,Statement!$D$5:$D$154,0)),"")))</f>
        <v/>
      </c>
    </row>
    <row r="38" spans="1:6" x14ac:dyDescent="0.3">
      <c r="A38" s="11"/>
      <c r="B38" s="12"/>
      <c r="C38" s="12"/>
      <c r="D38" s="13"/>
      <c r="E38" s="14" t="str">
        <f>IF(D38="","",IF(COUNTIFS(Statement!$D$5:$D$154,D38)&gt;0,"Yes","No"))</f>
        <v/>
      </c>
      <c r="F38" s="15" t="str">
        <f>IF(E38="","",IF(E38="No","",IFERROR(INDEX(Statement!$C$5:$C$154,MATCH(D38,Statement!$D$5:$D$154,0)),"")))</f>
        <v/>
      </c>
    </row>
    <row r="39" spans="1:6" x14ac:dyDescent="0.3">
      <c r="A39" s="6"/>
      <c r="B39" s="7"/>
      <c r="C39" s="7"/>
      <c r="D39" s="8"/>
      <c r="E39" s="9" t="str">
        <f>IF(D39="","",IF(COUNTIFS(Statement!$D$5:$D$154,D39)&gt;0,"Yes","No"))</f>
        <v/>
      </c>
      <c r="F39" s="10" t="str">
        <f>IF(E39="","",IF(E39="No","",IFERROR(INDEX(Statement!$C$5:$C$154,MATCH(D39,Statement!$D$5:$D$154,0)),"")))</f>
        <v/>
      </c>
    </row>
    <row r="40" spans="1:6" x14ac:dyDescent="0.3">
      <c r="A40" s="11"/>
      <c r="B40" s="12"/>
      <c r="C40" s="12"/>
      <c r="D40" s="13"/>
      <c r="E40" s="14" t="str">
        <f>IF(D40="","",IF(COUNTIFS(Statement!$D$5:$D$154,D40)&gt;0,"Yes","No"))</f>
        <v/>
      </c>
      <c r="F40" s="15" t="str">
        <f>IF(E40="","",IF(E40="No","",IFERROR(INDEX(Statement!$C$5:$C$154,MATCH(D40,Statement!$D$5:$D$154,0)),"")))</f>
        <v/>
      </c>
    </row>
    <row r="41" spans="1:6" x14ac:dyDescent="0.3">
      <c r="A41" s="6"/>
      <c r="B41" s="7"/>
      <c r="C41" s="7"/>
      <c r="D41" s="8"/>
      <c r="E41" s="9" t="str">
        <f>IF(D41="","",IF(COUNTIFS(Statement!$D$5:$D$154,D41)&gt;0,"Yes","No"))</f>
        <v/>
      </c>
      <c r="F41" s="10" t="str">
        <f>IF(E41="","",IF(E41="No","",IFERROR(INDEX(Statement!$C$5:$C$154,MATCH(D41,Statement!$D$5:$D$154,0)),"")))</f>
        <v/>
      </c>
    </row>
    <row r="42" spans="1:6" x14ac:dyDescent="0.3">
      <c r="A42" s="11"/>
      <c r="B42" s="12"/>
      <c r="C42" s="12"/>
      <c r="D42" s="13"/>
      <c r="E42" s="14" t="str">
        <f>IF(D42="","",IF(COUNTIFS(Statement!$D$5:$D$154,D42)&gt;0,"Yes","No"))</f>
        <v/>
      </c>
      <c r="F42" s="15" t="str">
        <f>IF(E42="","",IF(E42="No","",IFERROR(INDEX(Statement!$C$5:$C$154,MATCH(D42,Statement!$D$5:$D$154,0)),"")))</f>
        <v/>
      </c>
    </row>
    <row r="43" spans="1:6" x14ac:dyDescent="0.3">
      <c r="A43" s="6"/>
      <c r="B43" s="7"/>
      <c r="C43" s="7"/>
      <c r="D43" s="8"/>
      <c r="E43" s="9" t="str">
        <f>IF(D43="","",IF(COUNTIFS(Statement!$D$5:$D$154,D43)&gt;0,"Yes","No"))</f>
        <v/>
      </c>
      <c r="F43" s="10" t="str">
        <f>IF(E43="","",IF(E43="No","",IFERROR(INDEX(Statement!$C$5:$C$154,MATCH(D43,Statement!$D$5:$D$154,0)),"")))</f>
        <v/>
      </c>
    </row>
    <row r="44" spans="1:6" x14ac:dyDescent="0.3">
      <c r="A44" s="11"/>
      <c r="B44" s="12"/>
      <c r="C44" s="12"/>
      <c r="D44" s="13"/>
      <c r="E44" s="14" t="str">
        <f>IF(D44="","",IF(COUNTIFS(Statement!$D$5:$D$154,D44)&gt;0,"Yes","No"))</f>
        <v/>
      </c>
      <c r="F44" s="15" t="str">
        <f>IF(E44="","",IF(E44="No","",IFERROR(INDEX(Statement!$C$5:$C$154,MATCH(D44,Statement!$D$5:$D$154,0)),"")))</f>
        <v/>
      </c>
    </row>
    <row r="45" spans="1:6" x14ac:dyDescent="0.3">
      <c r="A45" s="6"/>
      <c r="B45" s="7"/>
      <c r="C45" s="7"/>
      <c r="D45" s="8"/>
      <c r="E45" s="9" t="str">
        <f>IF(D45="","",IF(COUNTIFS(Statement!$D$5:$D$154,D45)&gt;0,"Yes","No"))</f>
        <v/>
      </c>
      <c r="F45" s="10" t="str">
        <f>IF(E45="","",IF(E45="No","",IFERROR(INDEX(Statement!$C$5:$C$154,MATCH(D45,Statement!$D$5:$D$154,0)),"")))</f>
        <v/>
      </c>
    </row>
    <row r="46" spans="1:6" x14ac:dyDescent="0.3">
      <c r="A46" s="11"/>
      <c r="B46" s="12"/>
      <c r="C46" s="12"/>
      <c r="D46" s="13"/>
      <c r="E46" s="14" t="str">
        <f>IF(D46="","",IF(COUNTIFS(Statement!$D$5:$D$154,D46)&gt;0,"Yes","No"))</f>
        <v/>
      </c>
      <c r="F46" s="15" t="str">
        <f>IF(E46="","",IF(E46="No","",IFERROR(INDEX(Statement!$C$5:$C$154,MATCH(D46,Statement!$D$5:$D$154,0)),"")))</f>
        <v/>
      </c>
    </row>
    <row r="47" spans="1:6" x14ac:dyDescent="0.3">
      <c r="A47" s="6"/>
      <c r="B47" s="7"/>
      <c r="C47" s="7"/>
      <c r="D47" s="8"/>
      <c r="E47" s="9" t="str">
        <f>IF(D47="","",IF(COUNTIFS(Statement!$D$5:$D$154,D47)&gt;0,"Yes","No"))</f>
        <v/>
      </c>
      <c r="F47" s="10" t="str">
        <f>IF(E47="","",IF(E47="No","",IFERROR(INDEX(Statement!$C$5:$C$154,MATCH(D47,Statement!$D$5:$D$154,0)),"")))</f>
        <v/>
      </c>
    </row>
    <row r="48" spans="1:6" x14ac:dyDescent="0.3">
      <c r="A48" s="11"/>
      <c r="B48" s="12"/>
      <c r="C48" s="12"/>
      <c r="D48" s="13"/>
      <c r="E48" s="14" t="str">
        <f>IF(D48="","",IF(COUNTIFS(Statement!$D$5:$D$154,D48)&gt;0,"Yes","No"))</f>
        <v/>
      </c>
      <c r="F48" s="15" t="str">
        <f>IF(E48="","",IF(E48="No","",IFERROR(INDEX(Statement!$C$5:$C$154,MATCH(D48,Statement!$D$5:$D$154,0)),"")))</f>
        <v/>
      </c>
    </row>
    <row r="49" spans="1:6" x14ac:dyDescent="0.3">
      <c r="A49" s="6"/>
      <c r="B49" s="7"/>
      <c r="C49" s="7"/>
      <c r="D49" s="8"/>
      <c r="E49" s="9" t="str">
        <f>IF(D49="","",IF(COUNTIFS(Statement!$D$5:$D$154,D49)&gt;0,"Yes","No"))</f>
        <v/>
      </c>
      <c r="F49" s="10" t="str">
        <f>IF(E49="","",IF(E49="No","",IFERROR(INDEX(Statement!$C$5:$C$154,MATCH(D49,Statement!$D$5:$D$154,0)),"")))</f>
        <v/>
      </c>
    </row>
    <row r="50" spans="1:6" x14ac:dyDescent="0.3">
      <c r="A50" s="11"/>
      <c r="B50" s="12"/>
      <c r="C50" s="12"/>
      <c r="D50" s="13"/>
      <c r="E50" s="14" t="str">
        <f>IF(D50="","",IF(COUNTIFS(Statement!$D$5:$D$154,D50)&gt;0,"Yes","No"))</f>
        <v/>
      </c>
      <c r="F50" s="15" t="str">
        <f>IF(E50="","",IF(E50="No","",IFERROR(INDEX(Statement!$C$5:$C$154,MATCH(D50,Statement!$D$5:$D$154,0)),"")))</f>
        <v/>
      </c>
    </row>
    <row r="51" spans="1:6" x14ac:dyDescent="0.3">
      <c r="A51" s="6"/>
      <c r="B51" s="7"/>
      <c r="C51" s="7"/>
      <c r="D51" s="8"/>
      <c r="E51" s="9" t="str">
        <f>IF(D51="","",IF(COUNTIFS(Statement!$D$5:$D$154,D51)&gt;0,"Yes","No"))</f>
        <v/>
      </c>
      <c r="F51" s="10" t="str">
        <f>IF(E51="","",IF(E51="No","",IFERROR(INDEX(Statement!$C$5:$C$154,MATCH(D51,Statement!$D$5:$D$154,0)),"")))</f>
        <v/>
      </c>
    </row>
    <row r="52" spans="1:6" x14ac:dyDescent="0.3">
      <c r="A52" s="11"/>
      <c r="B52" s="12"/>
      <c r="C52" s="12"/>
      <c r="D52" s="13"/>
      <c r="E52" s="14" t="str">
        <f>IF(D52="","",IF(COUNTIFS(Statement!$D$5:$D$154,D52)&gt;0,"Yes","No"))</f>
        <v/>
      </c>
      <c r="F52" s="15" t="str">
        <f>IF(E52="","",IF(E52="No","",IFERROR(INDEX(Statement!$C$5:$C$154,MATCH(D52,Statement!$D$5:$D$154,0)),"")))</f>
        <v/>
      </c>
    </row>
    <row r="53" spans="1:6" x14ac:dyDescent="0.3">
      <c r="A53" s="6"/>
      <c r="B53" s="7"/>
      <c r="C53" s="7"/>
      <c r="D53" s="8"/>
      <c r="E53" s="9" t="str">
        <f>IF(D53="","",IF(COUNTIFS(Statement!$D$5:$D$154,D53)&gt;0,"Yes","No"))</f>
        <v/>
      </c>
      <c r="F53" s="10" t="str">
        <f>IF(E53="","",IF(E53="No","",IFERROR(INDEX(Statement!$C$5:$C$154,MATCH(D53,Statement!$D$5:$D$154,0)),"")))</f>
        <v/>
      </c>
    </row>
    <row r="54" spans="1:6" x14ac:dyDescent="0.3">
      <c r="A54" s="11"/>
      <c r="B54" s="12"/>
      <c r="C54" s="12"/>
      <c r="D54" s="13"/>
      <c r="E54" s="14" t="str">
        <f>IF(D54="","",IF(COUNTIFS(Statement!$D$5:$D$154,D54)&gt;0,"Yes","No"))</f>
        <v/>
      </c>
      <c r="F54" s="15" t="str">
        <f>IF(E54="","",IF(E54="No","",IFERROR(INDEX(Statement!$C$5:$C$154,MATCH(D54,Statement!$D$5:$D$154,0)),"")))</f>
        <v/>
      </c>
    </row>
    <row r="55" spans="1:6" x14ac:dyDescent="0.3">
      <c r="A55" s="6"/>
      <c r="B55" s="7"/>
      <c r="C55" s="7"/>
      <c r="D55" s="8"/>
      <c r="E55" s="9" t="str">
        <f>IF(D55="","",IF(COUNTIFS(Statement!$D$5:$D$154,D55)&gt;0,"Yes","No"))</f>
        <v/>
      </c>
      <c r="F55" s="10" t="str">
        <f>IF(E55="","",IF(E55="No","",IFERROR(INDEX(Statement!$C$5:$C$154,MATCH(D55,Statement!$D$5:$D$154,0)),"")))</f>
        <v/>
      </c>
    </row>
    <row r="56" spans="1:6" x14ac:dyDescent="0.3">
      <c r="A56" s="11"/>
      <c r="B56" s="12"/>
      <c r="C56" s="12"/>
      <c r="D56" s="13"/>
      <c r="E56" s="14" t="str">
        <f>IF(D56="","",IF(COUNTIFS(Statement!$D$5:$D$154,D56)&gt;0,"Yes","No"))</f>
        <v/>
      </c>
      <c r="F56" s="15" t="str">
        <f>IF(E56="","",IF(E56="No","",IFERROR(INDEX(Statement!$C$5:$C$154,MATCH(D56,Statement!$D$5:$D$154,0)),"")))</f>
        <v/>
      </c>
    </row>
    <row r="57" spans="1:6" x14ac:dyDescent="0.3">
      <c r="A57" s="6"/>
      <c r="B57" s="7"/>
      <c r="C57" s="7"/>
      <c r="D57" s="8"/>
      <c r="E57" s="9" t="str">
        <f>IF(D57="","",IF(COUNTIFS(Statement!$D$5:$D$154,D57)&gt;0,"Yes","No"))</f>
        <v/>
      </c>
      <c r="F57" s="10" t="str">
        <f>IF(E57="","",IF(E57="No","",IFERROR(INDEX(Statement!$C$5:$C$154,MATCH(D57,Statement!$D$5:$D$154,0)),"")))</f>
        <v/>
      </c>
    </row>
    <row r="58" spans="1:6" x14ac:dyDescent="0.3">
      <c r="A58" s="11"/>
      <c r="B58" s="12"/>
      <c r="C58" s="12"/>
      <c r="D58" s="13"/>
      <c r="E58" s="14" t="str">
        <f>IF(D58="","",IF(COUNTIFS(Statement!$D$5:$D$154,D58)&gt;0,"Yes","No"))</f>
        <v/>
      </c>
      <c r="F58" s="15" t="str">
        <f>IF(E58="","",IF(E58="No","",IFERROR(INDEX(Statement!$C$5:$C$154,MATCH(D58,Statement!$D$5:$D$154,0)),"")))</f>
        <v/>
      </c>
    </row>
    <row r="59" spans="1:6" x14ac:dyDescent="0.3">
      <c r="A59" s="6"/>
      <c r="B59" s="7"/>
      <c r="C59" s="7"/>
      <c r="D59" s="8"/>
      <c r="E59" s="9" t="str">
        <f>IF(D59="","",IF(COUNTIFS(Statement!$D$5:$D$154,D59)&gt;0,"Yes","No"))</f>
        <v/>
      </c>
      <c r="F59" s="10" t="str">
        <f>IF(E59="","",IF(E59="No","",IFERROR(INDEX(Statement!$C$5:$C$154,MATCH(D59,Statement!$D$5:$D$154,0)),"")))</f>
        <v/>
      </c>
    </row>
    <row r="60" spans="1:6" x14ac:dyDescent="0.3">
      <c r="A60" s="11"/>
      <c r="B60" s="12"/>
      <c r="C60" s="12"/>
      <c r="D60" s="13"/>
      <c r="E60" s="14" t="str">
        <f>IF(D60="","",IF(COUNTIFS(Statement!$D$5:$D$154,D60)&gt;0,"Yes","No"))</f>
        <v/>
      </c>
      <c r="F60" s="15" t="str">
        <f>IF(E60="","",IF(E60="No","",IFERROR(INDEX(Statement!$C$5:$C$154,MATCH(D60,Statement!$D$5:$D$154,0)),"")))</f>
        <v/>
      </c>
    </row>
    <row r="61" spans="1:6" x14ac:dyDescent="0.3">
      <c r="A61" s="6"/>
      <c r="B61" s="7"/>
      <c r="C61" s="7"/>
      <c r="D61" s="8"/>
      <c r="E61" s="9" t="str">
        <f>IF(D61="","",IF(COUNTIFS(Statement!$D$5:$D$154,D61)&gt;0,"Yes","No"))</f>
        <v/>
      </c>
      <c r="F61" s="10" t="str">
        <f>IF(E61="","",IF(E61="No","",IFERROR(INDEX(Statement!$C$5:$C$154,MATCH(D61,Statement!$D$5:$D$154,0)),"")))</f>
        <v/>
      </c>
    </row>
    <row r="62" spans="1:6" x14ac:dyDescent="0.3">
      <c r="A62" s="11"/>
      <c r="B62" s="12"/>
      <c r="C62" s="12"/>
      <c r="D62" s="13"/>
      <c r="E62" s="14" t="str">
        <f>IF(D62="","",IF(COUNTIFS(Statement!$D$5:$D$154,D62)&gt;0,"Yes","No"))</f>
        <v/>
      </c>
      <c r="F62" s="15" t="str">
        <f>IF(E62="","",IF(E62="No","",IFERROR(INDEX(Statement!$C$5:$C$154,MATCH(D62,Statement!$D$5:$D$154,0)),"")))</f>
        <v/>
      </c>
    </row>
    <row r="63" spans="1:6" x14ac:dyDescent="0.3">
      <c r="A63" s="6"/>
      <c r="B63" s="7"/>
      <c r="C63" s="7"/>
      <c r="D63" s="8"/>
      <c r="E63" s="9" t="str">
        <f>IF(D63="","",IF(COUNTIFS(Statement!$D$5:$D$154,D63)&gt;0,"Yes","No"))</f>
        <v/>
      </c>
      <c r="F63" s="10" t="str">
        <f>IF(E63="","",IF(E63="No","",IFERROR(INDEX(Statement!$C$5:$C$154,MATCH(D63,Statement!$D$5:$D$154,0)),"")))</f>
        <v/>
      </c>
    </row>
    <row r="64" spans="1:6" x14ac:dyDescent="0.3">
      <c r="A64" s="11"/>
      <c r="B64" s="12"/>
      <c r="C64" s="12"/>
      <c r="D64" s="13"/>
      <c r="E64" s="14" t="str">
        <f>IF(D64="","",IF(COUNTIFS(Statement!$D$5:$D$154,D64)&gt;0,"Yes","No"))</f>
        <v/>
      </c>
      <c r="F64" s="15" t="str">
        <f>IF(E64="","",IF(E64="No","",IFERROR(INDEX(Statement!$C$5:$C$154,MATCH(D64,Statement!$D$5:$D$154,0)),"")))</f>
        <v/>
      </c>
    </row>
    <row r="65" spans="1:6" x14ac:dyDescent="0.3">
      <c r="A65" s="6"/>
      <c r="B65" s="7"/>
      <c r="C65" s="7"/>
      <c r="D65" s="8"/>
      <c r="E65" s="9" t="str">
        <f>IF(D65="","",IF(COUNTIFS(Statement!$D$5:$D$154,D65)&gt;0,"Yes","No"))</f>
        <v/>
      </c>
      <c r="F65" s="10" t="str">
        <f>IF(E65="","",IF(E65="No","",IFERROR(INDEX(Statement!$C$5:$C$154,MATCH(D65,Statement!$D$5:$D$154,0)),"")))</f>
        <v/>
      </c>
    </row>
    <row r="66" spans="1:6" x14ac:dyDescent="0.3">
      <c r="A66" s="11"/>
      <c r="B66" s="12"/>
      <c r="C66" s="12"/>
      <c r="D66" s="13"/>
      <c r="E66" s="14" t="str">
        <f>IF(D66="","",IF(COUNTIFS(Statement!$D$5:$D$154,D66)&gt;0,"Yes","No"))</f>
        <v/>
      </c>
      <c r="F66" s="15" t="str">
        <f>IF(E66="","",IF(E66="No","",IFERROR(INDEX(Statement!$C$5:$C$154,MATCH(D66,Statement!$D$5:$D$154,0)),"")))</f>
        <v/>
      </c>
    </row>
    <row r="67" spans="1:6" x14ac:dyDescent="0.3">
      <c r="A67" s="6"/>
      <c r="B67" s="7"/>
      <c r="C67" s="7"/>
      <c r="D67" s="8"/>
      <c r="E67" s="9" t="str">
        <f>IF(D67="","",IF(COUNTIFS(Statement!$D$5:$D$154,D67)&gt;0,"Yes","No"))</f>
        <v/>
      </c>
      <c r="F67" s="10" t="str">
        <f>IF(E67="","",IF(E67="No","",IFERROR(INDEX(Statement!$C$5:$C$154,MATCH(D67,Statement!$D$5:$D$154,0)),"")))</f>
        <v/>
      </c>
    </row>
    <row r="68" spans="1:6" x14ac:dyDescent="0.3">
      <c r="A68" s="11"/>
      <c r="B68" s="12"/>
      <c r="C68" s="12"/>
      <c r="D68" s="13"/>
      <c r="E68" s="14" t="str">
        <f>IF(D68="","",IF(COUNTIFS(Statement!$D$5:$D$154,D68)&gt;0,"Yes","No"))</f>
        <v/>
      </c>
      <c r="F68" s="15" t="str">
        <f>IF(E68="","",IF(E68="No","",IFERROR(INDEX(Statement!$C$5:$C$154,MATCH(D68,Statement!$D$5:$D$154,0)),"")))</f>
        <v/>
      </c>
    </row>
    <row r="69" spans="1:6" x14ac:dyDescent="0.3">
      <c r="A69" s="6"/>
      <c r="B69" s="7"/>
      <c r="C69" s="7"/>
      <c r="D69" s="8"/>
      <c r="E69" s="9" t="str">
        <f>IF(D69="","",IF(COUNTIFS(Statement!$D$5:$D$154,D69)&gt;0,"Yes","No"))</f>
        <v/>
      </c>
      <c r="F69" s="10" t="str">
        <f>IF(E69="","",IF(E69="No","",IFERROR(INDEX(Statement!$C$5:$C$154,MATCH(D69,Statement!$D$5:$D$154,0)),"")))</f>
        <v/>
      </c>
    </row>
    <row r="70" spans="1:6" x14ac:dyDescent="0.3">
      <c r="A70" s="11"/>
      <c r="B70" s="12"/>
      <c r="C70" s="12"/>
      <c r="D70" s="13"/>
      <c r="E70" s="14" t="str">
        <f>IF(D70="","",IF(COUNTIFS(Statement!$D$5:$D$154,D70)&gt;0,"Yes","No"))</f>
        <v/>
      </c>
      <c r="F70" s="15" t="str">
        <f>IF(E70="","",IF(E70="No","",IFERROR(INDEX(Statement!$C$5:$C$154,MATCH(D70,Statement!$D$5:$D$154,0)),"")))</f>
        <v/>
      </c>
    </row>
    <row r="71" spans="1:6" x14ac:dyDescent="0.3">
      <c r="A71" s="6"/>
      <c r="B71" s="7"/>
      <c r="C71" s="7"/>
      <c r="D71" s="8"/>
      <c r="E71" s="9" t="str">
        <f>IF(D71="","",IF(COUNTIFS(Statement!$D$5:$D$154,D71)&gt;0,"Yes","No"))</f>
        <v/>
      </c>
      <c r="F71" s="10" t="str">
        <f>IF(E71="","",IF(E71="No","",IFERROR(INDEX(Statement!$C$5:$C$154,MATCH(D71,Statement!$D$5:$D$154,0)),"")))</f>
        <v/>
      </c>
    </row>
    <row r="72" spans="1:6" x14ac:dyDescent="0.3">
      <c r="A72" s="11"/>
      <c r="B72" s="12"/>
      <c r="C72" s="12"/>
      <c r="D72" s="13"/>
      <c r="E72" s="14" t="str">
        <f>IF(D72="","",IF(COUNTIFS(Statement!$D$5:$D$154,D72)&gt;0,"Yes","No"))</f>
        <v/>
      </c>
      <c r="F72" s="15" t="str">
        <f>IF(E72="","",IF(E72="No","",IFERROR(INDEX(Statement!$C$5:$C$154,MATCH(D72,Statement!$D$5:$D$154,0)),"")))</f>
        <v/>
      </c>
    </row>
    <row r="73" spans="1:6" x14ac:dyDescent="0.3">
      <c r="A73" s="6"/>
      <c r="B73" s="7"/>
      <c r="C73" s="7"/>
      <c r="D73" s="8"/>
      <c r="E73" s="9" t="str">
        <f>IF(D73="","",IF(COUNTIFS(Statement!$D$5:$D$154,D73)&gt;0,"Yes","No"))</f>
        <v/>
      </c>
      <c r="F73" s="10" t="str">
        <f>IF(E73="","",IF(E73="No","",IFERROR(INDEX(Statement!$C$5:$C$154,MATCH(D73,Statement!$D$5:$D$154,0)),"")))</f>
        <v/>
      </c>
    </row>
    <row r="74" spans="1:6" x14ac:dyDescent="0.3">
      <c r="A74" s="11"/>
      <c r="B74" s="12"/>
      <c r="C74" s="12"/>
      <c r="D74" s="13"/>
      <c r="E74" s="14" t="str">
        <f>IF(D74="","",IF(COUNTIFS(Statement!$D$5:$D$154,D74)&gt;0,"Yes","No"))</f>
        <v/>
      </c>
      <c r="F74" s="15" t="str">
        <f>IF(E74="","",IF(E74="No","",IFERROR(INDEX(Statement!$C$5:$C$154,MATCH(D74,Statement!$D$5:$D$154,0)),"")))</f>
        <v/>
      </c>
    </row>
    <row r="75" spans="1:6" x14ac:dyDescent="0.3">
      <c r="A75" s="6"/>
      <c r="B75" s="7"/>
      <c r="C75" s="7"/>
      <c r="D75" s="8"/>
      <c r="E75" s="9" t="str">
        <f>IF(D75="","",IF(COUNTIFS(Statement!$D$5:$D$154,D75)&gt;0,"Yes","No"))</f>
        <v/>
      </c>
      <c r="F75" s="10" t="str">
        <f>IF(E75="","",IF(E75="No","",IFERROR(INDEX(Statement!$C$5:$C$154,MATCH(D75,Statement!$D$5:$D$154,0)),"")))</f>
        <v/>
      </c>
    </row>
    <row r="76" spans="1:6" x14ac:dyDescent="0.3">
      <c r="A76" s="11"/>
      <c r="B76" s="12"/>
      <c r="C76" s="12"/>
      <c r="D76" s="13"/>
      <c r="E76" s="14" t="str">
        <f>IF(D76="","",IF(COUNTIFS(Statement!$D$5:$D$154,D76)&gt;0,"Yes","No"))</f>
        <v/>
      </c>
      <c r="F76" s="15" t="str">
        <f>IF(E76="","",IF(E76="No","",IFERROR(INDEX(Statement!$C$5:$C$154,MATCH(D76,Statement!$D$5:$D$154,0)),"")))</f>
        <v/>
      </c>
    </row>
    <row r="77" spans="1:6" x14ac:dyDescent="0.3">
      <c r="A77" s="6"/>
      <c r="B77" s="7"/>
      <c r="C77" s="7"/>
      <c r="D77" s="8"/>
      <c r="E77" s="9" t="str">
        <f>IF(D77="","",IF(COUNTIFS(Statement!$D$5:$D$154,D77)&gt;0,"Yes","No"))</f>
        <v/>
      </c>
      <c r="F77" s="10" t="str">
        <f>IF(E77="","",IF(E77="No","",IFERROR(INDEX(Statement!$C$5:$C$154,MATCH(D77,Statement!$D$5:$D$154,0)),"")))</f>
        <v/>
      </c>
    </row>
    <row r="78" spans="1:6" x14ac:dyDescent="0.3">
      <c r="A78" s="11"/>
      <c r="B78" s="12"/>
      <c r="C78" s="12"/>
      <c r="D78" s="13"/>
      <c r="E78" s="14" t="str">
        <f>IF(D78="","",IF(COUNTIFS(Statement!$D$5:$D$154,D78)&gt;0,"Yes","No"))</f>
        <v/>
      </c>
      <c r="F78" s="15" t="str">
        <f>IF(E78="","",IF(E78="No","",IFERROR(INDEX(Statement!$C$5:$C$154,MATCH(D78,Statement!$D$5:$D$154,0)),"")))</f>
        <v/>
      </c>
    </row>
    <row r="79" spans="1:6" x14ac:dyDescent="0.3">
      <c r="A79" s="6"/>
      <c r="B79" s="7"/>
      <c r="C79" s="7"/>
      <c r="D79" s="8"/>
      <c r="E79" s="9" t="str">
        <f>IF(D79="","",IF(COUNTIFS(Statement!$D$5:$D$154,D79)&gt;0,"Yes","No"))</f>
        <v/>
      </c>
      <c r="F79" s="10" t="str">
        <f>IF(E79="","",IF(E79="No","",IFERROR(INDEX(Statement!$C$5:$C$154,MATCH(D79,Statement!$D$5:$D$154,0)),"")))</f>
        <v/>
      </c>
    </row>
    <row r="80" spans="1:6" x14ac:dyDescent="0.3">
      <c r="A80" s="11"/>
      <c r="B80" s="12"/>
      <c r="C80" s="12"/>
      <c r="D80" s="13"/>
      <c r="E80" s="14" t="str">
        <f>IF(D80="","",IF(COUNTIFS(Statement!$D$5:$D$154,D80)&gt;0,"Yes","No"))</f>
        <v/>
      </c>
      <c r="F80" s="15" t="str">
        <f>IF(E80="","",IF(E80="No","",IFERROR(INDEX(Statement!$C$5:$C$154,MATCH(D80,Statement!$D$5:$D$154,0)),"")))</f>
        <v/>
      </c>
    </row>
    <row r="81" spans="1:6" x14ac:dyDescent="0.3">
      <c r="A81" s="6"/>
      <c r="B81" s="7"/>
      <c r="C81" s="7"/>
      <c r="D81" s="8"/>
      <c r="E81" s="9" t="str">
        <f>IF(D81="","",IF(COUNTIFS(Statement!$D$5:$D$154,D81)&gt;0,"Yes","No"))</f>
        <v/>
      </c>
      <c r="F81" s="10" t="str">
        <f>IF(E81="","",IF(E81="No","",IFERROR(INDEX(Statement!$C$5:$C$154,MATCH(D81,Statement!$D$5:$D$154,0)),"")))</f>
        <v/>
      </c>
    </row>
    <row r="82" spans="1:6" x14ac:dyDescent="0.3">
      <c r="A82" s="11"/>
      <c r="B82" s="12"/>
      <c r="C82" s="12"/>
      <c r="D82" s="13"/>
      <c r="E82" s="14" t="str">
        <f>IF(D82="","",IF(COUNTIFS(Statement!$D$5:$D$154,D82)&gt;0,"Yes","No"))</f>
        <v/>
      </c>
      <c r="F82" s="15" t="str">
        <f>IF(E82="","",IF(E82="No","",IFERROR(INDEX(Statement!$C$5:$C$154,MATCH(D82,Statement!$D$5:$D$154,0)),"")))</f>
        <v/>
      </c>
    </row>
    <row r="83" spans="1:6" x14ac:dyDescent="0.3">
      <c r="A83" s="6"/>
      <c r="B83" s="7"/>
      <c r="C83" s="7"/>
      <c r="D83" s="8"/>
      <c r="E83" s="9" t="str">
        <f>IF(D83="","",IF(COUNTIFS(Statement!$D$5:$D$154,D83)&gt;0,"Yes","No"))</f>
        <v/>
      </c>
      <c r="F83" s="10" t="str">
        <f>IF(E83="","",IF(E83="No","",IFERROR(INDEX(Statement!$C$5:$C$154,MATCH(D83,Statement!$D$5:$D$154,0)),"")))</f>
        <v/>
      </c>
    </row>
    <row r="84" spans="1:6" x14ac:dyDescent="0.3">
      <c r="A84" s="11"/>
      <c r="B84" s="12"/>
      <c r="C84" s="12"/>
      <c r="D84" s="13"/>
      <c r="E84" s="14" t="str">
        <f>IF(D84="","",IF(COUNTIFS(Statement!$D$5:$D$154,D84)&gt;0,"Yes","No"))</f>
        <v/>
      </c>
      <c r="F84" s="15" t="str">
        <f>IF(E84="","",IF(E84="No","",IFERROR(INDEX(Statement!$C$5:$C$154,MATCH(D84,Statement!$D$5:$D$154,0)),"")))</f>
        <v/>
      </c>
    </row>
    <row r="85" spans="1:6" x14ac:dyDescent="0.3">
      <c r="A85" s="6"/>
      <c r="B85" s="7"/>
      <c r="C85" s="7"/>
      <c r="D85" s="8"/>
      <c r="E85" s="9" t="str">
        <f>IF(D85="","",IF(COUNTIFS(Statement!$D$5:$D$154,D85)&gt;0,"Yes","No"))</f>
        <v/>
      </c>
      <c r="F85" s="10" t="str">
        <f>IF(E85="","",IF(E85="No","",IFERROR(INDEX(Statement!$C$5:$C$154,MATCH(D85,Statement!$D$5:$D$154,0)),"")))</f>
        <v/>
      </c>
    </row>
    <row r="86" spans="1:6" x14ac:dyDescent="0.3">
      <c r="A86" s="11"/>
      <c r="B86" s="12"/>
      <c r="C86" s="12"/>
      <c r="D86" s="13"/>
      <c r="E86" s="14" t="str">
        <f>IF(D86="","",IF(COUNTIFS(Statement!$D$5:$D$154,D86)&gt;0,"Yes","No"))</f>
        <v/>
      </c>
      <c r="F86" s="15" t="str">
        <f>IF(E86="","",IF(E86="No","",IFERROR(INDEX(Statement!$C$5:$C$154,MATCH(D86,Statement!$D$5:$D$154,0)),"")))</f>
        <v/>
      </c>
    </row>
    <row r="87" spans="1:6" x14ac:dyDescent="0.3">
      <c r="A87" s="6"/>
      <c r="B87" s="7"/>
      <c r="C87" s="7"/>
      <c r="D87" s="8"/>
      <c r="E87" s="9" t="str">
        <f>IF(D87="","",IF(COUNTIFS(Statement!$D$5:$D$154,D87)&gt;0,"Yes","No"))</f>
        <v/>
      </c>
      <c r="F87" s="10" t="str">
        <f>IF(E87="","",IF(E87="No","",IFERROR(INDEX(Statement!$C$5:$C$154,MATCH(D87,Statement!$D$5:$D$154,0)),"")))</f>
        <v/>
      </c>
    </row>
    <row r="88" spans="1:6" x14ac:dyDescent="0.3">
      <c r="A88" s="11"/>
      <c r="B88" s="12"/>
      <c r="C88" s="12"/>
      <c r="D88" s="13"/>
      <c r="E88" s="14" t="str">
        <f>IF(D88="","",IF(COUNTIFS(Statement!$D$5:$D$154,D88)&gt;0,"Yes","No"))</f>
        <v/>
      </c>
      <c r="F88" s="15" t="str">
        <f>IF(E88="","",IF(E88="No","",IFERROR(INDEX(Statement!$C$5:$C$154,MATCH(D88,Statement!$D$5:$D$154,0)),"")))</f>
        <v/>
      </c>
    </row>
    <row r="89" spans="1:6" x14ac:dyDescent="0.3">
      <c r="A89" s="6"/>
      <c r="B89" s="7"/>
      <c r="C89" s="7"/>
      <c r="D89" s="8"/>
      <c r="E89" s="9" t="str">
        <f>IF(D89="","",IF(COUNTIFS(Statement!$D$5:$D$154,D89)&gt;0,"Yes","No"))</f>
        <v/>
      </c>
      <c r="F89" s="10" t="str">
        <f>IF(E89="","",IF(E89="No","",IFERROR(INDEX(Statement!$C$5:$C$154,MATCH(D89,Statement!$D$5:$D$154,0)),"")))</f>
        <v/>
      </c>
    </row>
    <row r="90" spans="1:6" x14ac:dyDescent="0.3">
      <c r="A90" s="11"/>
      <c r="B90" s="12"/>
      <c r="C90" s="12"/>
      <c r="D90" s="13"/>
      <c r="E90" s="14" t="str">
        <f>IF(D90="","",IF(COUNTIFS(Statement!$D$5:$D$154,D90)&gt;0,"Yes","No"))</f>
        <v/>
      </c>
      <c r="F90" s="15" t="str">
        <f>IF(E90="","",IF(E90="No","",IFERROR(INDEX(Statement!$C$5:$C$154,MATCH(D90,Statement!$D$5:$D$154,0)),"")))</f>
        <v/>
      </c>
    </row>
    <row r="91" spans="1:6" x14ac:dyDescent="0.3">
      <c r="A91" s="6"/>
      <c r="B91" s="7"/>
      <c r="C91" s="7"/>
      <c r="D91" s="8"/>
      <c r="E91" s="9" t="str">
        <f>IF(D91="","",IF(COUNTIFS(Statement!$D$5:$D$154,D91)&gt;0,"Yes","No"))</f>
        <v/>
      </c>
      <c r="F91" s="10" t="str">
        <f>IF(E91="","",IF(E91="No","",IFERROR(INDEX(Statement!$C$5:$C$154,MATCH(D91,Statement!$D$5:$D$154,0)),"")))</f>
        <v/>
      </c>
    </row>
    <row r="92" spans="1:6" x14ac:dyDescent="0.3">
      <c r="A92" s="11"/>
      <c r="B92" s="12"/>
      <c r="C92" s="12"/>
      <c r="D92" s="13"/>
      <c r="E92" s="14" t="str">
        <f>IF(D92="","",IF(COUNTIFS(Statement!$D$5:$D$154,D92)&gt;0,"Yes","No"))</f>
        <v/>
      </c>
      <c r="F92" s="15" t="str">
        <f>IF(E92="","",IF(E92="No","",IFERROR(INDEX(Statement!$C$5:$C$154,MATCH(D92,Statement!$D$5:$D$154,0)),"")))</f>
        <v/>
      </c>
    </row>
    <row r="93" spans="1:6" x14ac:dyDescent="0.3">
      <c r="A93" s="6"/>
      <c r="B93" s="7"/>
      <c r="C93" s="7"/>
      <c r="D93" s="8"/>
      <c r="E93" s="9" t="str">
        <f>IF(D93="","",IF(COUNTIFS(Statement!$D$5:$D$154,D93)&gt;0,"Yes","No"))</f>
        <v/>
      </c>
      <c r="F93" s="10" t="str">
        <f>IF(E93="","",IF(E93="No","",IFERROR(INDEX(Statement!$C$5:$C$154,MATCH(D93,Statement!$D$5:$D$154,0)),"")))</f>
        <v/>
      </c>
    </row>
    <row r="94" spans="1:6" x14ac:dyDescent="0.3">
      <c r="A94" s="11"/>
      <c r="B94" s="12"/>
      <c r="C94" s="12"/>
      <c r="D94" s="13"/>
      <c r="E94" s="14" t="str">
        <f>IF(D94="","",IF(COUNTIFS(Statement!$D$5:$D$154,D94)&gt;0,"Yes","No"))</f>
        <v/>
      </c>
      <c r="F94" s="15" t="str">
        <f>IF(E94="","",IF(E94="No","",IFERROR(INDEX(Statement!$C$5:$C$154,MATCH(D94,Statement!$D$5:$D$154,0)),"")))</f>
        <v/>
      </c>
    </row>
    <row r="95" spans="1:6" x14ac:dyDescent="0.3">
      <c r="A95" s="6"/>
      <c r="B95" s="7"/>
      <c r="C95" s="7"/>
      <c r="D95" s="8"/>
      <c r="E95" s="9" t="str">
        <f>IF(D95="","",IF(COUNTIFS(Statement!$D$5:$D$154,D95)&gt;0,"Yes","No"))</f>
        <v/>
      </c>
      <c r="F95" s="10" t="str">
        <f>IF(E95="","",IF(E95="No","",IFERROR(INDEX(Statement!$C$5:$C$154,MATCH(D95,Statement!$D$5:$D$154,0)),"")))</f>
        <v/>
      </c>
    </row>
    <row r="96" spans="1:6" x14ac:dyDescent="0.3">
      <c r="A96" s="11"/>
      <c r="B96" s="12"/>
      <c r="C96" s="12"/>
      <c r="D96" s="13"/>
      <c r="E96" s="14" t="str">
        <f>IF(D96="","",IF(COUNTIFS(Statement!$D$5:$D$154,D96)&gt;0,"Yes","No"))</f>
        <v/>
      </c>
      <c r="F96" s="15" t="str">
        <f>IF(E96="","",IF(E96="No","",IFERROR(INDEX(Statement!$C$5:$C$154,MATCH(D96,Statement!$D$5:$D$154,0)),"")))</f>
        <v/>
      </c>
    </row>
    <row r="97" spans="1:6" x14ac:dyDescent="0.3">
      <c r="A97" s="6"/>
      <c r="B97" s="7"/>
      <c r="C97" s="7"/>
      <c r="D97" s="8"/>
      <c r="E97" s="9" t="str">
        <f>IF(D97="","",IF(COUNTIFS(Statement!$D$5:$D$154,D97)&gt;0,"Yes","No"))</f>
        <v/>
      </c>
      <c r="F97" s="10" t="str">
        <f>IF(E97="","",IF(E97="No","",IFERROR(INDEX(Statement!$C$5:$C$154,MATCH(D97,Statement!$D$5:$D$154,0)),"")))</f>
        <v/>
      </c>
    </row>
    <row r="98" spans="1:6" x14ac:dyDescent="0.3">
      <c r="A98" s="11"/>
      <c r="B98" s="12"/>
      <c r="C98" s="12"/>
      <c r="D98" s="13"/>
      <c r="E98" s="14" t="str">
        <f>IF(D98="","",IF(COUNTIFS(Statement!$D$5:$D$154,D98)&gt;0,"Yes","No"))</f>
        <v/>
      </c>
      <c r="F98" s="15" t="str">
        <f>IF(E98="","",IF(E98="No","",IFERROR(INDEX(Statement!$C$5:$C$154,MATCH(D98,Statement!$D$5:$D$154,0)),"")))</f>
        <v/>
      </c>
    </row>
    <row r="99" spans="1:6" x14ac:dyDescent="0.3">
      <c r="A99" s="6"/>
      <c r="B99" s="7"/>
      <c r="C99" s="7"/>
      <c r="D99" s="8"/>
      <c r="E99" s="9" t="str">
        <f>IF(D99="","",IF(COUNTIFS(Statement!$D$5:$D$154,D99)&gt;0,"Yes","No"))</f>
        <v/>
      </c>
      <c r="F99" s="10" t="str">
        <f>IF(E99="","",IF(E99="No","",IFERROR(INDEX(Statement!$C$5:$C$154,MATCH(D99,Statement!$D$5:$D$154,0)),"")))</f>
        <v/>
      </c>
    </row>
    <row r="100" spans="1:6" x14ac:dyDescent="0.3">
      <c r="A100" s="11"/>
      <c r="B100" s="12"/>
      <c r="C100" s="12"/>
      <c r="D100" s="13"/>
      <c r="E100" s="14" t="str">
        <f>IF(D100="","",IF(COUNTIFS(Statement!$D$5:$D$154,D100)&gt;0,"Yes","No"))</f>
        <v/>
      </c>
      <c r="F100" s="15" t="str">
        <f>IF(E100="","",IF(E100="No","",IFERROR(INDEX(Statement!$C$5:$C$154,MATCH(D100,Statement!$D$5:$D$154,0)),"")))</f>
        <v/>
      </c>
    </row>
    <row r="101" spans="1:6" x14ac:dyDescent="0.3">
      <c r="A101" s="6"/>
      <c r="B101" s="7"/>
      <c r="C101" s="7"/>
      <c r="D101" s="8"/>
      <c r="E101" s="9" t="str">
        <f>IF(D101="","",IF(COUNTIFS(Statement!$D$5:$D$154,D101)&gt;0,"Yes","No"))</f>
        <v/>
      </c>
      <c r="F101" s="10" t="str">
        <f>IF(E101="","",IF(E101="No","",IFERROR(INDEX(Statement!$C$5:$C$154,MATCH(D101,Statement!$D$5:$D$154,0)),"")))</f>
        <v/>
      </c>
    </row>
    <row r="102" spans="1:6" x14ac:dyDescent="0.3">
      <c r="A102" s="11"/>
      <c r="B102" s="12"/>
      <c r="C102" s="12"/>
      <c r="D102" s="13"/>
      <c r="E102" s="14" t="str">
        <f>IF(D102="","",IF(COUNTIFS(Statement!$D$5:$D$154,D102)&gt;0,"Yes","No"))</f>
        <v/>
      </c>
      <c r="F102" s="15" t="str">
        <f>IF(E102="","",IF(E102="No","",IFERROR(INDEX(Statement!$C$5:$C$154,MATCH(D102,Statement!$D$5:$D$154,0)),"")))</f>
        <v/>
      </c>
    </row>
    <row r="103" spans="1:6" x14ac:dyDescent="0.3">
      <c r="A103" s="6"/>
      <c r="B103" s="7"/>
      <c r="C103" s="7"/>
      <c r="D103" s="8"/>
      <c r="E103" s="9" t="str">
        <f>IF(D103="","",IF(COUNTIFS(Statement!$D$5:$D$154,D103)&gt;0,"Yes","No"))</f>
        <v/>
      </c>
      <c r="F103" s="10" t="str">
        <f>IF(E103="","",IF(E103="No","",IFERROR(INDEX(Statement!$C$5:$C$154,MATCH(D103,Statement!$D$5:$D$154,0)),"")))</f>
        <v/>
      </c>
    </row>
    <row r="104" spans="1:6" x14ac:dyDescent="0.3">
      <c r="A104" s="11"/>
      <c r="B104" s="12"/>
      <c r="C104" s="12"/>
      <c r="D104" s="13"/>
      <c r="E104" s="14" t="str">
        <f>IF(D104="","",IF(COUNTIFS(Statement!$D$5:$D$154,D104)&gt;0,"Yes","No"))</f>
        <v/>
      </c>
      <c r="F104" s="15" t="str">
        <f>IF(E104="","",IF(E104="No","",IFERROR(INDEX(Statement!$C$5:$C$154,MATCH(D104,Statement!$D$5:$D$154,0)),"")))</f>
        <v/>
      </c>
    </row>
    <row r="105" spans="1:6" x14ac:dyDescent="0.3">
      <c r="A105" s="6"/>
      <c r="B105" s="7"/>
      <c r="C105" s="7"/>
      <c r="D105" s="8"/>
      <c r="E105" s="9" t="str">
        <f>IF(D105="","",IF(COUNTIFS(Statement!$D$5:$D$154,D105)&gt;0,"Yes","No"))</f>
        <v/>
      </c>
      <c r="F105" s="10" t="str">
        <f>IF(E105="","",IF(E105="No","",IFERROR(INDEX(Statement!$C$5:$C$154,MATCH(D105,Statement!$D$5:$D$154,0)),"")))</f>
        <v/>
      </c>
    </row>
    <row r="106" spans="1:6" x14ac:dyDescent="0.3">
      <c r="A106" s="11"/>
      <c r="B106" s="12"/>
      <c r="C106" s="12"/>
      <c r="D106" s="13"/>
      <c r="E106" s="14" t="str">
        <f>IF(D106="","",IF(COUNTIFS(Statement!$D$5:$D$154,D106)&gt;0,"Yes","No"))</f>
        <v/>
      </c>
      <c r="F106" s="15" t="str">
        <f>IF(E106="","",IF(E106="No","",IFERROR(INDEX(Statement!$C$5:$C$154,MATCH(D106,Statement!$D$5:$D$154,0)),"")))</f>
        <v/>
      </c>
    </row>
    <row r="107" spans="1:6" x14ac:dyDescent="0.3">
      <c r="A107" s="6"/>
      <c r="B107" s="7"/>
      <c r="C107" s="7"/>
      <c r="D107" s="8"/>
      <c r="E107" s="9" t="str">
        <f>IF(D107="","",IF(COUNTIFS(Statement!$D$5:$D$154,D107)&gt;0,"Yes","No"))</f>
        <v/>
      </c>
      <c r="F107" s="10" t="str">
        <f>IF(E107="","",IF(E107="No","",IFERROR(INDEX(Statement!$C$5:$C$154,MATCH(D107,Statement!$D$5:$D$154,0)),"")))</f>
        <v/>
      </c>
    </row>
    <row r="108" spans="1:6" x14ac:dyDescent="0.3">
      <c r="A108" s="11"/>
      <c r="B108" s="12"/>
      <c r="C108" s="12"/>
      <c r="D108" s="13"/>
      <c r="E108" s="14" t="str">
        <f>IF(D108="","",IF(COUNTIFS(Statement!$D$5:$D$154,D108)&gt;0,"Yes","No"))</f>
        <v/>
      </c>
      <c r="F108" s="15" t="str">
        <f>IF(E108="","",IF(E108="No","",IFERROR(INDEX(Statement!$C$5:$C$154,MATCH(D108,Statement!$D$5:$D$154,0)),"")))</f>
        <v/>
      </c>
    </row>
    <row r="109" spans="1:6" x14ac:dyDescent="0.3">
      <c r="A109" s="6"/>
      <c r="B109" s="7"/>
      <c r="C109" s="7"/>
      <c r="D109" s="8"/>
      <c r="E109" s="9" t="str">
        <f>IF(D109="","",IF(COUNTIFS(Statement!$D$5:$D$154,D109)&gt;0,"Yes","No"))</f>
        <v/>
      </c>
      <c r="F109" s="10" t="str">
        <f>IF(E109="","",IF(E109="No","",IFERROR(INDEX(Statement!$C$5:$C$154,MATCH(D109,Statement!$D$5:$D$154,0)),"")))</f>
        <v/>
      </c>
    </row>
    <row r="110" spans="1:6" x14ac:dyDescent="0.3">
      <c r="A110" s="11"/>
      <c r="B110" s="12"/>
      <c r="C110" s="12"/>
      <c r="D110" s="13"/>
      <c r="E110" s="14" t="str">
        <f>IF(D110="","",IF(COUNTIFS(Statement!$D$5:$D$154,D110)&gt;0,"Yes","No"))</f>
        <v/>
      </c>
      <c r="F110" s="15" t="str">
        <f>IF(E110="","",IF(E110="No","",IFERROR(INDEX(Statement!$C$5:$C$154,MATCH(D110,Statement!$D$5:$D$154,0)),"")))</f>
        <v/>
      </c>
    </row>
    <row r="111" spans="1:6" x14ac:dyDescent="0.3">
      <c r="A111" s="6"/>
      <c r="B111" s="7"/>
      <c r="C111" s="7"/>
      <c r="D111" s="8"/>
      <c r="E111" s="9" t="str">
        <f>IF(D111="","",IF(COUNTIFS(Statement!$D$5:$D$154,D111)&gt;0,"Yes","No"))</f>
        <v/>
      </c>
      <c r="F111" s="10" t="str">
        <f>IF(E111="","",IF(E111="No","",IFERROR(INDEX(Statement!$C$5:$C$154,MATCH(D111,Statement!$D$5:$D$154,0)),"")))</f>
        <v/>
      </c>
    </row>
    <row r="112" spans="1:6" x14ac:dyDescent="0.3">
      <c r="A112" s="11"/>
      <c r="B112" s="12"/>
      <c r="C112" s="12"/>
      <c r="D112" s="13"/>
      <c r="E112" s="14" t="str">
        <f>IF(D112="","",IF(COUNTIFS(Statement!$D$5:$D$154,D112)&gt;0,"Yes","No"))</f>
        <v/>
      </c>
      <c r="F112" s="15" t="str">
        <f>IF(E112="","",IF(E112="No","",IFERROR(INDEX(Statement!$C$5:$C$154,MATCH(D112,Statement!$D$5:$D$154,0)),"")))</f>
        <v/>
      </c>
    </row>
    <row r="113" spans="1:6" x14ac:dyDescent="0.3">
      <c r="A113" s="6"/>
      <c r="B113" s="7"/>
      <c r="C113" s="7"/>
      <c r="D113" s="8"/>
      <c r="E113" s="9" t="str">
        <f>IF(D113="","",IF(COUNTIFS(Statement!$D$5:$D$154,D113)&gt;0,"Yes","No"))</f>
        <v/>
      </c>
      <c r="F113" s="10" t="str">
        <f>IF(E113="","",IF(E113="No","",IFERROR(INDEX(Statement!$C$5:$C$154,MATCH(D113,Statement!$D$5:$D$154,0)),"")))</f>
        <v/>
      </c>
    </row>
    <row r="114" spans="1:6" x14ac:dyDescent="0.3">
      <c r="A114" s="11"/>
      <c r="B114" s="12"/>
      <c r="C114" s="12"/>
      <c r="D114" s="13"/>
      <c r="E114" s="14" t="str">
        <f>IF(D114="","",IF(COUNTIFS(Statement!$D$5:$D$154,D114)&gt;0,"Yes","No"))</f>
        <v/>
      </c>
      <c r="F114" s="15" t="str">
        <f>IF(E114="","",IF(E114="No","",IFERROR(INDEX(Statement!$C$5:$C$154,MATCH(D114,Statement!$D$5:$D$154,0)),"")))</f>
        <v/>
      </c>
    </row>
    <row r="115" spans="1:6" x14ac:dyDescent="0.3">
      <c r="A115" s="6"/>
      <c r="B115" s="7"/>
      <c r="C115" s="7"/>
      <c r="D115" s="8"/>
      <c r="E115" s="9" t="str">
        <f>IF(D115="","",IF(COUNTIFS(Statement!$D$5:$D$154,D115)&gt;0,"Yes","No"))</f>
        <v/>
      </c>
      <c r="F115" s="10" t="str">
        <f>IF(E115="","",IF(E115="No","",IFERROR(INDEX(Statement!$C$5:$C$154,MATCH(D115,Statement!$D$5:$D$154,0)),"")))</f>
        <v/>
      </c>
    </row>
    <row r="116" spans="1:6" x14ac:dyDescent="0.3">
      <c r="A116" s="11"/>
      <c r="B116" s="12"/>
      <c r="C116" s="12"/>
      <c r="D116" s="13"/>
      <c r="E116" s="14" t="str">
        <f>IF(D116="","",IF(COUNTIFS(Statement!$D$5:$D$154,D116)&gt;0,"Yes","No"))</f>
        <v/>
      </c>
      <c r="F116" s="15" t="str">
        <f>IF(E116="","",IF(E116="No","",IFERROR(INDEX(Statement!$C$5:$C$154,MATCH(D116,Statement!$D$5:$D$154,0)),"")))</f>
        <v/>
      </c>
    </row>
    <row r="117" spans="1:6" x14ac:dyDescent="0.3">
      <c r="A117" s="6"/>
      <c r="B117" s="7"/>
      <c r="C117" s="7"/>
      <c r="D117" s="8"/>
      <c r="E117" s="9" t="str">
        <f>IF(D117="","",IF(COUNTIFS(Statement!$D$5:$D$154,D117)&gt;0,"Yes","No"))</f>
        <v/>
      </c>
      <c r="F117" s="10" t="str">
        <f>IF(E117="","",IF(E117="No","",IFERROR(INDEX(Statement!$C$5:$C$154,MATCH(D117,Statement!$D$5:$D$154,0)),"")))</f>
        <v/>
      </c>
    </row>
    <row r="118" spans="1:6" x14ac:dyDescent="0.3">
      <c r="A118" s="11"/>
      <c r="B118" s="12"/>
      <c r="C118" s="12"/>
      <c r="D118" s="13"/>
      <c r="E118" s="14" t="str">
        <f>IF(D118="","",IF(COUNTIFS(Statement!$D$5:$D$154,D118)&gt;0,"Yes","No"))</f>
        <v/>
      </c>
      <c r="F118" s="15" t="str">
        <f>IF(E118="","",IF(E118="No","",IFERROR(INDEX(Statement!$C$5:$C$154,MATCH(D118,Statement!$D$5:$D$154,0)),"")))</f>
        <v/>
      </c>
    </row>
    <row r="119" spans="1:6" x14ac:dyDescent="0.3">
      <c r="A119" s="6"/>
      <c r="B119" s="7"/>
      <c r="C119" s="7"/>
      <c r="D119" s="8"/>
      <c r="E119" s="9" t="str">
        <f>IF(D119="","",IF(COUNTIFS(Statement!$D$5:$D$154,D119)&gt;0,"Yes","No"))</f>
        <v/>
      </c>
      <c r="F119" s="10" t="str">
        <f>IF(E119="","",IF(E119="No","",IFERROR(INDEX(Statement!$C$5:$C$154,MATCH(D119,Statement!$D$5:$D$154,0)),"")))</f>
        <v/>
      </c>
    </row>
    <row r="120" spans="1:6" x14ac:dyDescent="0.3">
      <c r="A120" s="11"/>
      <c r="B120" s="12"/>
      <c r="C120" s="12"/>
      <c r="D120" s="13"/>
      <c r="E120" s="14" t="str">
        <f>IF(D120="","",IF(COUNTIFS(Statement!$D$5:$D$154,D120)&gt;0,"Yes","No"))</f>
        <v/>
      </c>
      <c r="F120" s="15" t="str">
        <f>IF(E120="","",IF(E120="No","",IFERROR(INDEX(Statement!$C$5:$C$154,MATCH(D120,Statement!$D$5:$D$154,0)),"")))</f>
        <v/>
      </c>
    </row>
    <row r="121" spans="1:6" x14ac:dyDescent="0.3">
      <c r="A121" s="6"/>
      <c r="B121" s="7"/>
      <c r="C121" s="7"/>
      <c r="D121" s="8"/>
      <c r="E121" s="9" t="str">
        <f>IF(D121="","",IF(COUNTIFS(Statement!$D$5:$D$154,D121)&gt;0,"Yes","No"))</f>
        <v/>
      </c>
      <c r="F121" s="10" t="str">
        <f>IF(E121="","",IF(E121="No","",IFERROR(INDEX(Statement!$C$5:$C$154,MATCH(D121,Statement!$D$5:$D$154,0)),"")))</f>
        <v/>
      </c>
    </row>
    <row r="122" spans="1:6" x14ac:dyDescent="0.3">
      <c r="A122" s="11"/>
      <c r="B122" s="12"/>
      <c r="C122" s="12"/>
      <c r="D122" s="13"/>
      <c r="E122" s="14" t="str">
        <f>IF(D122="","",IF(COUNTIFS(Statement!$D$5:$D$154,D122)&gt;0,"Yes","No"))</f>
        <v/>
      </c>
      <c r="F122" s="15" t="str">
        <f>IF(E122="","",IF(E122="No","",IFERROR(INDEX(Statement!$C$5:$C$154,MATCH(D122,Statement!$D$5:$D$154,0)),"")))</f>
        <v/>
      </c>
    </row>
    <row r="123" spans="1:6" x14ac:dyDescent="0.3">
      <c r="A123" s="6"/>
      <c r="B123" s="7"/>
      <c r="C123" s="7"/>
      <c r="D123" s="8"/>
      <c r="E123" s="9" t="str">
        <f>IF(D123="","",IF(COUNTIFS(Statement!$D$5:$D$154,D123)&gt;0,"Yes","No"))</f>
        <v/>
      </c>
      <c r="F123" s="10" t="str">
        <f>IF(E123="","",IF(E123="No","",IFERROR(INDEX(Statement!$C$5:$C$154,MATCH(D123,Statement!$D$5:$D$154,0)),"")))</f>
        <v/>
      </c>
    </row>
    <row r="124" spans="1:6" x14ac:dyDescent="0.3">
      <c r="A124" s="11"/>
      <c r="B124" s="12"/>
      <c r="C124" s="12"/>
      <c r="D124" s="13"/>
      <c r="E124" s="14" t="str">
        <f>IF(D124="","",IF(COUNTIFS(Statement!$D$5:$D$154,D124)&gt;0,"Yes","No"))</f>
        <v/>
      </c>
      <c r="F124" s="15" t="str">
        <f>IF(E124="","",IF(E124="No","",IFERROR(INDEX(Statement!$C$5:$C$154,MATCH(D124,Statement!$D$5:$D$154,0)),"")))</f>
        <v/>
      </c>
    </row>
    <row r="125" spans="1:6" x14ac:dyDescent="0.3">
      <c r="A125" s="6"/>
      <c r="B125" s="7"/>
      <c r="C125" s="7"/>
      <c r="D125" s="8"/>
      <c r="E125" s="9" t="str">
        <f>IF(D125="","",IF(COUNTIFS(Statement!$D$5:$D$154,D125)&gt;0,"Yes","No"))</f>
        <v/>
      </c>
      <c r="F125" s="10" t="str">
        <f>IF(E125="","",IF(E125="No","",IFERROR(INDEX(Statement!$C$5:$C$154,MATCH(D125,Statement!$D$5:$D$154,0)),"")))</f>
        <v/>
      </c>
    </row>
    <row r="126" spans="1:6" x14ac:dyDescent="0.3">
      <c r="A126" s="11"/>
      <c r="B126" s="12"/>
      <c r="C126" s="12"/>
      <c r="D126" s="13"/>
      <c r="E126" s="14" t="str">
        <f>IF(D126="","",IF(COUNTIFS(Statement!$D$5:$D$154,D126)&gt;0,"Yes","No"))</f>
        <v/>
      </c>
      <c r="F126" s="15" t="str">
        <f>IF(E126="","",IF(E126="No","",IFERROR(INDEX(Statement!$C$5:$C$154,MATCH(D126,Statement!$D$5:$D$154,0)),"")))</f>
        <v/>
      </c>
    </row>
    <row r="127" spans="1:6" x14ac:dyDescent="0.3">
      <c r="A127" s="6"/>
      <c r="B127" s="7"/>
      <c r="C127" s="7"/>
      <c r="D127" s="8"/>
      <c r="E127" s="9" t="str">
        <f>IF(D127="","",IF(COUNTIFS(Statement!$D$5:$D$154,D127)&gt;0,"Yes","No"))</f>
        <v/>
      </c>
      <c r="F127" s="10" t="str">
        <f>IF(E127="","",IF(E127="No","",IFERROR(INDEX(Statement!$C$5:$C$154,MATCH(D127,Statement!$D$5:$D$154,0)),"")))</f>
        <v/>
      </c>
    </row>
    <row r="128" spans="1:6" x14ac:dyDescent="0.3">
      <c r="A128" s="11"/>
      <c r="B128" s="12"/>
      <c r="C128" s="12"/>
      <c r="D128" s="13"/>
      <c r="E128" s="14" t="str">
        <f>IF(D128="","",IF(COUNTIFS(Statement!$D$5:$D$154,D128)&gt;0,"Yes","No"))</f>
        <v/>
      </c>
      <c r="F128" s="15" t="str">
        <f>IF(E128="","",IF(E128="No","",IFERROR(INDEX(Statement!$C$5:$C$154,MATCH(D128,Statement!$D$5:$D$154,0)),"")))</f>
        <v/>
      </c>
    </row>
    <row r="129" spans="1:6" x14ac:dyDescent="0.3">
      <c r="A129" s="6"/>
      <c r="B129" s="7"/>
      <c r="C129" s="7"/>
      <c r="D129" s="8"/>
      <c r="E129" s="9" t="str">
        <f>IF(D129="","",IF(COUNTIFS(Statement!$D$5:$D$154,D129)&gt;0,"Yes","No"))</f>
        <v/>
      </c>
      <c r="F129" s="10" t="str">
        <f>IF(E129="","",IF(E129="No","",IFERROR(INDEX(Statement!$C$5:$C$154,MATCH(D129,Statement!$D$5:$D$154,0)),"")))</f>
        <v/>
      </c>
    </row>
    <row r="130" spans="1:6" x14ac:dyDescent="0.3">
      <c r="A130" s="11"/>
      <c r="B130" s="12"/>
      <c r="C130" s="12"/>
      <c r="D130" s="13"/>
      <c r="E130" s="14" t="str">
        <f>IF(D130="","",IF(COUNTIFS(Statement!$D$5:$D$154,D130)&gt;0,"Yes","No"))</f>
        <v/>
      </c>
      <c r="F130" s="15" t="str">
        <f>IF(E130="","",IF(E130="No","",IFERROR(INDEX(Statement!$C$5:$C$154,MATCH(D130,Statement!$D$5:$D$154,0)),"")))</f>
        <v/>
      </c>
    </row>
    <row r="131" spans="1:6" x14ac:dyDescent="0.3">
      <c r="A131" s="6"/>
      <c r="B131" s="7"/>
      <c r="C131" s="7"/>
      <c r="D131" s="8"/>
      <c r="E131" s="9" t="str">
        <f>IF(D131="","",IF(COUNTIFS(Statement!$D$5:$D$154,D131)&gt;0,"Yes","No"))</f>
        <v/>
      </c>
      <c r="F131" s="10" t="str">
        <f>IF(E131="","",IF(E131="No","",IFERROR(INDEX(Statement!$C$5:$C$154,MATCH(D131,Statement!$D$5:$D$154,0)),"")))</f>
        <v/>
      </c>
    </row>
    <row r="132" spans="1:6" x14ac:dyDescent="0.3">
      <c r="A132" s="11"/>
      <c r="B132" s="12"/>
      <c r="C132" s="12"/>
      <c r="D132" s="13"/>
      <c r="E132" s="14" t="str">
        <f>IF(D132="","",IF(COUNTIFS(Statement!$D$5:$D$154,D132)&gt;0,"Yes","No"))</f>
        <v/>
      </c>
      <c r="F132" s="15" t="str">
        <f>IF(E132="","",IF(E132="No","",IFERROR(INDEX(Statement!$C$5:$C$154,MATCH(D132,Statement!$D$5:$D$154,0)),"")))</f>
        <v/>
      </c>
    </row>
    <row r="133" spans="1:6" x14ac:dyDescent="0.3">
      <c r="A133" s="6"/>
      <c r="B133" s="7"/>
      <c r="C133" s="7"/>
      <c r="D133" s="8"/>
      <c r="E133" s="9" t="str">
        <f>IF(D133="","",IF(COUNTIFS(Statement!$D$5:$D$154,D133)&gt;0,"Yes","No"))</f>
        <v/>
      </c>
      <c r="F133" s="10" t="str">
        <f>IF(E133="","",IF(E133="No","",IFERROR(INDEX(Statement!$C$5:$C$154,MATCH(D133,Statement!$D$5:$D$154,0)),"")))</f>
        <v/>
      </c>
    </row>
    <row r="134" spans="1:6" x14ac:dyDescent="0.3">
      <c r="A134" s="11"/>
      <c r="B134" s="12"/>
      <c r="C134" s="12"/>
      <c r="D134" s="13"/>
      <c r="E134" s="14" t="str">
        <f>IF(D134="","",IF(COUNTIFS(Statement!$D$5:$D$154,D134)&gt;0,"Yes","No"))</f>
        <v/>
      </c>
      <c r="F134" s="15" t="str">
        <f>IF(E134="","",IF(E134="No","",IFERROR(INDEX(Statement!$C$5:$C$154,MATCH(D134,Statement!$D$5:$D$154,0)),"")))</f>
        <v/>
      </c>
    </row>
    <row r="135" spans="1:6" x14ac:dyDescent="0.3">
      <c r="A135" s="6"/>
      <c r="B135" s="7"/>
      <c r="C135" s="7"/>
      <c r="D135" s="8"/>
      <c r="E135" s="9" t="str">
        <f>IF(D135="","",IF(COUNTIFS(Statement!$D$5:$D$154,D135)&gt;0,"Yes","No"))</f>
        <v/>
      </c>
      <c r="F135" s="10" t="str">
        <f>IF(E135="","",IF(E135="No","",IFERROR(INDEX(Statement!$C$5:$C$154,MATCH(D135,Statement!$D$5:$D$154,0)),"")))</f>
        <v/>
      </c>
    </row>
    <row r="136" spans="1:6" x14ac:dyDescent="0.3">
      <c r="A136" s="11"/>
      <c r="B136" s="12"/>
      <c r="C136" s="12"/>
      <c r="D136" s="13"/>
      <c r="E136" s="14" t="str">
        <f>IF(D136="","",IF(COUNTIFS(Statement!$D$5:$D$154,D136)&gt;0,"Yes","No"))</f>
        <v/>
      </c>
      <c r="F136" s="15" t="str">
        <f>IF(E136="","",IF(E136="No","",IFERROR(INDEX(Statement!$C$5:$C$154,MATCH(D136,Statement!$D$5:$D$154,0)),"")))</f>
        <v/>
      </c>
    </row>
    <row r="137" spans="1:6" x14ac:dyDescent="0.3">
      <c r="A137" s="6"/>
      <c r="B137" s="7"/>
      <c r="C137" s="7"/>
      <c r="D137" s="8"/>
      <c r="E137" s="9" t="str">
        <f>IF(D137="","",IF(COUNTIFS(Statement!$D$5:$D$154,D137)&gt;0,"Yes","No"))</f>
        <v/>
      </c>
      <c r="F137" s="10" t="str">
        <f>IF(E137="","",IF(E137="No","",IFERROR(INDEX(Statement!$C$5:$C$154,MATCH(D137,Statement!$D$5:$D$154,0)),"")))</f>
        <v/>
      </c>
    </row>
    <row r="138" spans="1:6" x14ac:dyDescent="0.3">
      <c r="A138" s="11"/>
      <c r="B138" s="12"/>
      <c r="C138" s="12"/>
      <c r="D138" s="13"/>
      <c r="E138" s="14" t="str">
        <f>IF(D138="","",IF(COUNTIFS(Statement!$D$5:$D$154,D138)&gt;0,"Yes","No"))</f>
        <v/>
      </c>
      <c r="F138" s="15" t="str">
        <f>IF(E138="","",IF(E138="No","",IFERROR(INDEX(Statement!$C$5:$C$154,MATCH(D138,Statement!$D$5:$D$154,0)),"")))</f>
        <v/>
      </c>
    </row>
    <row r="139" spans="1:6" x14ac:dyDescent="0.3">
      <c r="A139" s="6"/>
      <c r="B139" s="7"/>
      <c r="C139" s="7"/>
      <c r="D139" s="8"/>
      <c r="E139" s="9" t="str">
        <f>IF(D139="","",IF(COUNTIFS(Statement!$D$5:$D$154,D139)&gt;0,"Yes","No"))</f>
        <v/>
      </c>
      <c r="F139" s="10" t="str">
        <f>IF(E139="","",IF(E139="No","",IFERROR(INDEX(Statement!$C$5:$C$154,MATCH(D139,Statement!$D$5:$D$154,0)),"")))</f>
        <v/>
      </c>
    </row>
    <row r="140" spans="1:6" x14ac:dyDescent="0.3">
      <c r="A140" s="11"/>
      <c r="B140" s="12"/>
      <c r="C140" s="12"/>
      <c r="D140" s="13"/>
      <c r="E140" s="14" t="str">
        <f>IF(D140="","",IF(COUNTIFS(Statement!$D$5:$D$154,D140)&gt;0,"Yes","No"))</f>
        <v/>
      </c>
      <c r="F140" s="15" t="str">
        <f>IF(E140="","",IF(E140="No","",IFERROR(INDEX(Statement!$C$5:$C$154,MATCH(D140,Statement!$D$5:$D$154,0)),"")))</f>
        <v/>
      </c>
    </row>
    <row r="141" spans="1:6" x14ac:dyDescent="0.3">
      <c r="A141" s="6"/>
      <c r="B141" s="7"/>
      <c r="C141" s="7"/>
      <c r="D141" s="8"/>
      <c r="E141" s="9" t="str">
        <f>IF(D141="","",IF(COUNTIFS(Statement!$D$5:$D$154,D141)&gt;0,"Yes","No"))</f>
        <v/>
      </c>
      <c r="F141" s="10" t="str">
        <f>IF(E141="","",IF(E141="No","",IFERROR(INDEX(Statement!$C$5:$C$154,MATCH(D141,Statement!$D$5:$D$154,0)),"")))</f>
        <v/>
      </c>
    </row>
    <row r="142" spans="1:6" x14ac:dyDescent="0.3">
      <c r="A142" s="11"/>
      <c r="B142" s="12"/>
      <c r="C142" s="12"/>
      <c r="D142" s="13"/>
      <c r="E142" s="14" t="str">
        <f>IF(D142="","",IF(COUNTIFS(Statement!$D$5:$D$154,D142)&gt;0,"Yes","No"))</f>
        <v/>
      </c>
      <c r="F142" s="15" t="str">
        <f>IF(E142="","",IF(E142="No","",IFERROR(INDEX(Statement!$C$5:$C$154,MATCH(D142,Statement!$D$5:$D$154,0)),"")))</f>
        <v/>
      </c>
    </row>
    <row r="143" spans="1:6" x14ac:dyDescent="0.3">
      <c r="A143" s="6"/>
      <c r="B143" s="7"/>
      <c r="C143" s="7"/>
      <c r="D143" s="8"/>
      <c r="E143" s="9" t="str">
        <f>IF(D143="","",IF(COUNTIFS(Statement!$D$5:$D$154,D143)&gt;0,"Yes","No"))</f>
        <v/>
      </c>
      <c r="F143" s="10" t="str">
        <f>IF(E143="","",IF(E143="No","",IFERROR(INDEX(Statement!$C$5:$C$154,MATCH(D143,Statement!$D$5:$D$154,0)),"")))</f>
        <v/>
      </c>
    </row>
    <row r="144" spans="1:6" x14ac:dyDescent="0.3">
      <c r="A144" s="11"/>
      <c r="B144" s="12"/>
      <c r="C144" s="12"/>
      <c r="D144" s="13"/>
      <c r="E144" s="14" t="str">
        <f>IF(D144="","",IF(COUNTIFS(Statement!$D$5:$D$154,D144)&gt;0,"Yes","No"))</f>
        <v/>
      </c>
      <c r="F144" s="15" t="str">
        <f>IF(E144="","",IF(E144="No","",IFERROR(INDEX(Statement!$C$5:$C$154,MATCH(D144,Statement!$D$5:$D$154,0)),"")))</f>
        <v/>
      </c>
    </row>
    <row r="145" spans="1:6" x14ac:dyDescent="0.3">
      <c r="A145" s="6"/>
      <c r="B145" s="7"/>
      <c r="C145" s="7"/>
      <c r="D145" s="8"/>
      <c r="E145" s="9" t="str">
        <f>IF(D145="","",IF(COUNTIFS(Statement!$D$5:$D$154,D145)&gt;0,"Yes","No"))</f>
        <v/>
      </c>
      <c r="F145" s="10" t="str">
        <f>IF(E145="","",IF(E145="No","",IFERROR(INDEX(Statement!$C$5:$C$154,MATCH(D145,Statement!$D$5:$D$154,0)),"")))</f>
        <v/>
      </c>
    </row>
    <row r="146" spans="1:6" x14ac:dyDescent="0.3">
      <c r="A146" s="11"/>
      <c r="B146" s="12"/>
      <c r="C146" s="12"/>
      <c r="D146" s="13"/>
      <c r="E146" s="14" t="str">
        <f>IF(D146="","",IF(COUNTIFS(Statement!$D$5:$D$154,D146)&gt;0,"Yes","No"))</f>
        <v/>
      </c>
      <c r="F146" s="15" t="str">
        <f>IF(E146="","",IF(E146="No","",IFERROR(INDEX(Statement!$C$5:$C$154,MATCH(D146,Statement!$D$5:$D$154,0)),"")))</f>
        <v/>
      </c>
    </row>
    <row r="147" spans="1:6" x14ac:dyDescent="0.3">
      <c r="A147" s="6"/>
      <c r="B147" s="7"/>
      <c r="C147" s="7"/>
      <c r="D147" s="8"/>
      <c r="E147" s="9" t="str">
        <f>IF(D147="","",IF(COUNTIFS(Statement!$D$5:$D$154,D147)&gt;0,"Yes","No"))</f>
        <v/>
      </c>
      <c r="F147" s="10" t="str">
        <f>IF(E147="","",IF(E147="No","",IFERROR(INDEX(Statement!$C$5:$C$154,MATCH(D147,Statement!$D$5:$D$154,0)),"")))</f>
        <v/>
      </c>
    </row>
    <row r="148" spans="1:6" x14ac:dyDescent="0.3">
      <c r="A148" s="11"/>
      <c r="B148" s="12"/>
      <c r="C148" s="12"/>
      <c r="D148" s="13"/>
      <c r="E148" s="14" t="str">
        <f>IF(D148="","",IF(COUNTIFS(Statement!$D$5:$D$154,D148)&gt;0,"Yes","No"))</f>
        <v/>
      </c>
      <c r="F148" s="15" t="str">
        <f>IF(E148="","",IF(E148="No","",IFERROR(INDEX(Statement!$C$5:$C$154,MATCH(D148,Statement!$D$5:$D$154,0)),"")))</f>
        <v/>
      </c>
    </row>
    <row r="149" spans="1:6" x14ac:dyDescent="0.3">
      <c r="A149" s="6"/>
      <c r="B149" s="7"/>
      <c r="C149" s="7"/>
      <c r="D149" s="8"/>
      <c r="E149" s="9" t="str">
        <f>IF(D149="","",IF(COUNTIFS(Statement!$D$5:$D$154,D149)&gt;0,"Yes","No"))</f>
        <v/>
      </c>
      <c r="F149" s="10" t="str">
        <f>IF(E149="","",IF(E149="No","",IFERROR(INDEX(Statement!$C$5:$C$154,MATCH(D149,Statement!$D$5:$D$154,0)),"")))</f>
        <v/>
      </c>
    </row>
    <row r="150" spans="1:6" x14ac:dyDescent="0.3">
      <c r="A150" s="11"/>
      <c r="B150" s="12"/>
      <c r="C150" s="12"/>
      <c r="D150" s="13"/>
      <c r="E150" s="14" t="str">
        <f>IF(D150="","",IF(COUNTIFS(Statement!$D$5:$D$154,D150)&gt;0,"Yes","No"))</f>
        <v/>
      </c>
      <c r="F150" s="15" t="str">
        <f>IF(E150="","",IF(E150="No","",IFERROR(INDEX(Statement!$C$5:$C$154,MATCH(D150,Statement!$D$5:$D$154,0)),"")))</f>
        <v/>
      </c>
    </row>
    <row r="151" spans="1:6" x14ac:dyDescent="0.3">
      <c r="A151" s="6"/>
      <c r="B151" s="7"/>
      <c r="C151" s="7"/>
      <c r="D151" s="8"/>
      <c r="E151" s="9" t="str">
        <f>IF(D151="","",IF(COUNTIFS(Statement!$D$5:$D$154,D151)&gt;0,"Yes","No"))</f>
        <v/>
      </c>
      <c r="F151" s="10" t="str">
        <f>IF(E151="","",IF(E151="No","",IFERROR(INDEX(Statement!$C$5:$C$154,MATCH(D151,Statement!$D$5:$D$154,0)),"")))</f>
        <v/>
      </c>
    </row>
    <row r="152" spans="1:6" x14ac:dyDescent="0.3">
      <c r="A152" s="11"/>
      <c r="B152" s="12"/>
      <c r="C152" s="12"/>
      <c r="D152" s="13"/>
      <c r="E152" s="14" t="str">
        <f>IF(D152="","",IF(COUNTIFS(Statement!$D$5:$D$154,D152)&gt;0,"Yes","No"))</f>
        <v/>
      </c>
      <c r="F152" s="15" t="str">
        <f>IF(E152="","",IF(E152="No","",IFERROR(INDEX(Statement!$C$5:$C$154,MATCH(D152,Statement!$D$5:$D$154,0)),"")))</f>
        <v/>
      </c>
    </row>
    <row r="153" spans="1:6" x14ac:dyDescent="0.3">
      <c r="A153" s="6"/>
      <c r="B153" s="7"/>
      <c r="C153" s="7"/>
      <c r="D153" s="8"/>
      <c r="E153" s="9" t="str">
        <f>IF(D153="","",IF(COUNTIFS(Statement!$D$5:$D$154,D153)&gt;0,"Yes","No"))</f>
        <v/>
      </c>
      <c r="F153" s="10" t="str">
        <f>IF(E153="","",IF(E153="No","",IFERROR(INDEX(Statement!$C$5:$C$154,MATCH(D153,Statement!$D$5:$D$154,0)),"")))</f>
        <v/>
      </c>
    </row>
    <row r="154" spans="1:6" x14ac:dyDescent="0.3">
      <c r="A154" s="11"/>
      <c r="B154" s="12"/>
      <c r="C154" s="12"/>
      <c r="D154" s="13"/>
      <c r="E154" s="14" t="str">
        <f>IF(D154="","",IF(COUNTIFS(Statement!$D$5:$D$154,D154)&gt;0,"Yes","No"))</f>
        <v/>
      </c>
      <c r="F154" s="15" t="str">
        <f>IF(E154="","",IF(E154="No","",IFERROR(INDEX(Statement!$C$5:$C$154,MATCH(D154,Statement!$D$5:$D$154,0)),"")))</f>
        <v/>
      </c>
    </row>
  </sheetData>
  <autoFilter ref="A4:F154" xr:uid="{00000000-0009-0000-0000-000001000000}"/>
  <mergeCells count="2">
    <mergeCell ref="A1:F1"/>
    <mergeCell ref="A2:F2"/>
  </mergeCells>
  <conditionalFormatting sqref="E5:E154">
    <cfRule type="expression" dxfId="1" priority="2">
      <formula>$E5="No"</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0"/>
  <sheetViews>
    <sheetView showGridLines="0" zoomScaleNormal="100" workbookViewId="0">
      <selection sqref="A1:D1"/>
    </sheetView>
  </sheetViews>
  <sheetFormatPr defaultColWidth="8.6640625" defaultRowHeight="14.4" x14ac:dyDescent="0.3"/>
  <cols>
    <col min="1" max="1" width="32" customWidth="1"/>
    <col min="2" max="2" width="11" customWidth="1"/>
    <col min="3" max="3" width="16" customWidth="1"/>
    <col min="4" max="4" width="52" customWidth="1"/>
  </cols>
  <sheetData>
    <row r="1" spans="1:4" ht="25.5" customHeight="1" x14ac:dyDescent="0.3">
      <c r="A1" s="4" t="s">
        <v>10</v>
      </c>
      <c r="B1" s="4"/>
      <c r="C1" s="4"/>
      <c r="D1" s="4"/>
    </row>
    <row r="2" spans="1:4" ht="15" customHeight="1" x14ac:dyDescent="0.3">
      <c r="A2" s="3" t="s">
        <v>11</v>
      </c>
      <c r="B2" s="3"/>
      <c r="C2" s="3"/>
      <c r="D2" s="3"/>
    </row>
    <row r="5" spans="1:4" x14ac:dyDescent="0.3">
      <c r="A5" s="16" t="s">
        <v>12</v>
      </c>
      <c r="C5" s="17">
        <f>SUM(Statement!D5:D154)</f>
        <v>0</v>
      </c>
      <c r="D5" s="18" t="s">
        <v>13</v>
      </c>
    </row>
    <row r="7" spans="1:4" x14ac:dyDescent="0.3">
      <c r="A7" s="19" t="s">
        <v>14</v>
      </c>
      <c r="C7" s="20">
        <f>SUMIFS(Ledger!$D$5:$D$154,Ledger!$E$5:$E$154,"No",Ledger!$D$5:$D$154,"&gt;0")</f>
        <v>0</v>
      </c>
      <c r="D7" s="18" t="s">
        <v>15</v>
      </c>
    </row>
    <row r="8" spans="1:4" x14ac:dyDescent="0.3">
      <c r="A8" s="19" t="s">
        <v>16</v>
      </c>
      <c r="C8" s="20">
        <f>SUMIFS(Ledger!$D$5:$D$154,Ledger!$E$5:$E$154,"No",Ledger!$D$5:$D$154,"&lt;0")</f>
        <v>0</v>
      </c>
      <c r="D8" s="18" t="s">
        <v>17</v>
      </c>
    </row>
    <row r="9" spans="1:4" x14ac:dyDescent="0.3">
      <c r="A9" s="19" t="s">
        <v>18</v>
      </c>
      <c r="C9" s="20">
        <f>-SUMIFS(Statement!$D$5:$D$154,Statement!$E$5:$E$154,"No")</f>
        <v>0</v>
      </c>
      <c r="D9" s="18" t="s">
        <v>19</v>
      </c>
    </row>
    <row r="11" spans="1:4" x14ac:dyDescent="0.3">
      <c r="A11" s="16" t="s">
        <v>20</v>
      </c>
      <c r="C11" s="17">
        <f>C5+C7+C8+C9</f>
        <v>0</v>
      </c>
      <c r="D11" s="18" t="s">
        <v>21</v>
      </c>
    </row>
    <row r="13" spans="1:4" x14ac:dyDescent="0.3">
      <c r="A13" s="16" t="s">
        <v>22</v>
      </c>
      <c r="C13" s="17">
        <f>SUM(Ledger!D5:D154)</f>
        <v>0</v>
      </c>
      <c r="D13" s="18" t="s">
        <v>23</v>
      </c>
    </row>
    <row r="15" spans="1:4" x14ac:dyDescent="0.3">
      <c r="A15" s="16" t="s">
        <v>24</v>
      </c>
      <c r="C15" s="17">
        <f>C11-C13</f>
        <v>0</v>
      </c>
      <c r="D15" s="18" t="s">
        <v>25</v>
      </c>
    </row>
    <row r="17" spans="1:4" x14ac:dyDescent="0.3">
      <c r="A17" s="21" t="s">
        <v>26</v>
      </c>
    </row>
    <row r="18" spans="1:4" ht="24" customHeight="1" x14ac:dyDescent="0.3">
      <c r="A18" s="5"/>
      <c r="B18" s="5" t="s">
        <v>27</v>
      </c>
      <c r="C18" s="5" t="s">
        <v>28</v>
      </c>
      <c r="D18" s="5"/>
    </row>
    <row r="19" spans="1:4" x14ac:dyDescent="0.3">
      <c r="A19" s="10" t="s">
        <v>29</v>
      </c>
      <c r="B19" s="22">
        <f>COUNTIFS(Statement!$E$5:$E$154,"No")</f>
        <v>0</v>
      </c>
      <c r="C19" s="20">
        <f>SUMIFS(Statement!$D$5:$D$154,Statement!$E$5:$E$154,"No")</f>
        <v>0</v>
      </c>
    </row>
    <row r="20" spans="1:4" x14ac:dyDescent="0.3">
      <c r="A20" s="10" t="s">
        <v>30</v>
      </c>
      <c r="B20" s="22">
        <f>COUNTIFS(Ledger!$E$5:$E$154,"No")</f>
        <v>0</v>
      </c>
      <c r="C20" s="20">
        <f>SUMIFS(Ledger!$D$5:$D$154,Ledger!$E$5:$E$154,"No")</f>
        <v>0</v>
      </c>
    </row>
  </sheetData>
  <mergeCells count="2">
    <mergeCell ref="A1:D1"/>
    <mergeCell ref="A2:D2"/>
  </mergeCells>
  <conditionalFormatting sqref="C15">
    <cfRule type="cellIs" dxfId="0" priority="2" operator="notEqual">
      <formula>0</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7"/>
  <sheetViews>
    <sheetView showGridLines="0" zoomScaleNormal="100" workbookViewId="0">
      <selection sqref="A1:C1"/>
    </sheetView>
  </sheetViews>
  <sheetFormatPr defaultColWidth="8.6640625" defaultRowHeight="14.4" x14ac:dyDescent="0.3"/>
  <cols>
    <col min="1" max="1" width="40" customWidth="1"/>
    <col min="2" max="3" width="30" customWidth="1"/>
  </cols>
  <sheetData>
    <row r="1" spans="1:3" ht="25.5" customHeight="1" x14ac:dyDescent="0.3">
      <c r="A1" s="4" t="s">
        <v>31</v>
      </c>
      <c r="B1" s="4"/>
      <c r="C1" s="4"/>
    </row>
    <row r="2" spans="1:3" ht="15" customHeight="1" x14ac:dyDescent="0.3">
      <c r="A2" s="3" t="s">
        <v>32</v>
      </c>
      <c r="B2" s="3"/>
      <c r="C2" s="3"/>
    </row>
    <row r="4" spans="1:3" ht="15" customHeight="1" x14ac:dyDescent="0.3">
      <c r="A4" s="2" t="s">
        <v>33</v>
      </c>
      <c r="B4" s="2"/>
      <c r="C4" s="2"/>
    </row>
    <row r="5" spans="1:3" ht="33.75" customHeight="1" x14ac:dyDescent="0.3">
      <c r="A5" s="1" t="s">
        <v>34</v>
      </c>
      <c r="B5" s="1"/>
      <c r="C5" s="1"/>
    </row>
    <row r="7" spans="1:3" ht="15" customHeight="1" x14ac:dyDescent="0.3">
      <c r="A7" s="2" t="s">
        <v>35</v>
      </c>
      <c r="B7" s="2"/>
      <c r="C7" s="2"/>
    </row>
    <row r="8" spans="1:3" ht="33.75" customHeight="1" x14ac:dyDescent="0.3">
      <c r="A8" s="1" t="s">
        <v>36</v>
      </c>
      <c r="B8" s="1"/>
      <c r="C8" s="1"/>
    </row>
    <row r="10" spans="1:3" ht="15" customHeight="1" x14ac:dyDescent="0.3">
      <c r="A10" s="2" t="s">
        <v>37</v>
      </c>
      <c r="B10" s="2"/>
      <c r="C10" s="2"/>
    </row>
    <row r="11" spans="1:3" ht="33.75" customHeight="1" x14ac:dyDescent="0.3">
      <c r="A11" s="1" t="s">
        <v>38</v>
      </c>
      <c r="B11" s="1"/>
      <c r="C11" s="1"/>
    </row>
    <row r="13" spans="1:3" ht="15" customHeight="1" x14ac:dyDescent="0.3">
      <c r="A13" s="2" t="s">
        <v>39</v>
      </c>
      <c r="B13" s="2"/>
      <c r="C13" s="2"/>
    </row>
    <row r="14" spans="1:3" ht="33.75" customHeight="1" x14ac:dyDescent="0.3">
      <c r="A14" s="1" t="s">
        <v>40</v>
      </c>
      <c r="B14" s="1"/>
      <c r="C14" s="1"/>
    </row>
    <row r="16" spans="1:3" ht="15" customHeight="1" x14ac:dyDescent="0.3">
      <c r="A16" s="2" t="s">
        <v>41</v>
      </c>
      <c r="B16" s="2"/>
      <c r="C16" s="2"/>
    </row>
    <row r="17" spans="1:3" ht="33.75" customHeight="1" x14ac:dyDescent="0.3">
      <c r="A17" s="1" t="s">
        <v>42</v>
      </c>
      <c r="B17" s="1"/>
      <c r="C17" s="1"/>
    </row>
  </sheetData>
  <mergeCells count="12">
    <mergeCell ref="A16:C16"/>
    <mergeCell ref="A17:C17"/>
    <mergeCell ref="A8:C8"/>
    <mergeCell ref="A10:C10"/>
    <mergeCell ref="A11:C11"/>
    <mergeCell ref="A13:C13"/>
    <mergeCell ref="A14:C14"/>
    <mergeCell ref="A1:C1"/>
    <mergeCell ref="A2:C2"/>
    <mergeCell ref="A4:C4"/>
    <mergeCell ref="A5:C5"/>
    <mergeCell ref="A7:C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Statement</vt:lpstr>
      <vt:lpstr>Ledger</vt:lpstr>
      <vt:lpstr>Reconciliation</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Waseem Ahmad Khan</cp:lastModifiedBy>
  <cp:revision>0</cp:revision>
  <dcterms:created xsi:type="dcterms:W3CDTF">2026-07-23T18:22:55Z</dcterms:created>
  <dcterms:modified xsi:type="dcterms:W3CDTF">2026-08-02T10:57:43Z</dcterms:modified>
  <dc:language>en-US</dc:language>
</cp:coreProperties>
</file>