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gister" sheetId="1" state="visible" r:id="rId3"/>
    <sheet name="Summary" sheetId="2" state="visible" r:id="rId4"/>
    <sheet name="Read me" sheetId="3" state="visible" r:id="rId5"/>
  </sheets>
  <definedNames>
    <definedName function="false" hidden="true" localSheetId="0" name="_xlnm._FilterDatabase" vbProcedure="false">Register!$A$6:$L$206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<sst xmlns="http://schemas.openxmlformats.org/spreadsheetml/2006/main" count="60" uniqueCount="59">
  <si>
    <t xml:space="preserve">Invoice Register</t>
  </si>
  <si>
    <t xml:space="preserve">Explore Excel  ·  exploreexcel.com  ·  Ageing calculates automatically from the due date</t>
  </si>
  <si>
    <t xml:space="preserve">Today's date</t>
  </si>
  <si>
    <t xml:space="preserve">Ageing is measured against this. It updates every time you open the file.</t>
  </si>
  <si>
    <t xml:space="preserve">Invoice no.</t>
  </si>
  <si>
    <t xml:space="preserve">Customer</t>
  </si>
  <si>
    <t xml:space="preserve">Invoice date</t>
  </si>
  <si>
    <t xml:space="preserve">Due date</t>
  </si>
  <si>
    <t xml:space="preserve">Amount</t>
  </si>
  <si>
    <t xml:space="preserve">Paid</t>
  </si>
  <si>
    <t xml:space="preserve">Outstanding</t>
  </si>
  <si>
    <t xml:space="preserve">Days overdue</t>
  </si>
  <si>
    <t xml:space="preserve">Ageing bucket</t>
  </si>
  <si>
    <t xml:space="preserve">Follow up</t>
  </si>
  <si>
    <t xml:space="preserve">Status</t>
  </si>
  <si>
    <t xml:space="preserve">Notes</t>
  </si>
  <si>
    <t xml:space="preserve">EXAMPLE — delete this row before use</t>
  </si>
  <si>
    <t xml:space="preserve">INV-1042</t>
  </si>
  <si>
    <t xml:space="preserve">Northgate Ltd</t>
  </si>
  <si>
    <t xml:space="preserve">2026-05-14</t>
  </si>
  <si>
    <t xml:space="preserve">2026-06-13</t>
  </si>
  <si>
    <t xml:space="preserve">Receivables Summary</t>
  </si>
  <si>
    <t xml:space="preserve">All figures pull from the Register sheet.</t>
  </si>
  <si>
    <t xml:space="preserve">Ageing profile</t>
  </si>
  <si>
    <t xml:space="preserve">Bucket</t>
  </si>
  <si>
    <t xml:space="preserve">Invoices</t>
  </si>
  <si>
    <t xml:space="preserve">% of total</t>
  </si>
  <si>
    <t xml:space="preserve">Current</t>
  </si>
  <si>
    <t xml:space="preserve">1-30 days</t>
  </si>
  <si>
    <t xml:space="preserve">31-60 days</t>
  </si>
  <si>
    <t xml:space="preserve">61-90 days</t>
  </si>
  <si>
    <t xml:space="preserve">90+ days</t>
  </si>
  <si>
    <t xml:space="preserve">Total outstanding</t>
  </si>
  <si>
    <t xml:space="preserve">Key figures</t>
  </si>
  <si>
    <t xml:space="preserve">Invoices raised</t>
  </si>
  <si>
    <t xml:space="preserve">Every row with an invoice number.</t>
  </si>
  <si>
    <t xml:space="preserve">Settled</t>
  </si>
  <si>
    <t xml:space="preserve">Outstanding is zero or less.</t>
  </si>
  <si>
    <t xml:space="preserve">Needing a chase today</t>
  </si>
  <si>
    <t xml:space="preserve">Past the follow-up date and still unpaid.</t>
  </si>
  <si>
    <t xml:space="preserve">Overdue value</t>
  </si>
  <si>
    <t xml:space="preserve">Everything past its due date.</t>
  </si>
  <si>
    <t xml:space="preserve">Largest single exposure</t>
  </si>
  <si>
    <t xml:space="preserve">Worth knowing which one customer could hurt you.</t>
  </si>
  <si>
    <t xml:space="preserve">The 90+ bucket is the one to watch. Debt that old rarely improves on its own.</t>
  </si>
  <si>
    <t xml:space="preserve">How this workbook works</t>
  </si>
  <si>
    <t xml:space="preserve">Explore Excel  ·  exploreexcel.com</t>
  </si>
  <si>
    <t xml:space="preserve">What this is</t>
  </si>
  <si>
    <t xml:space="preserve">A receivables register that ages itself. Enter an invoice and its due date; the bucket, days overdue, follow-up date and status all calculate.</t>
  </si>
  <si>
    <t xml:space="preserve">Filling it in</t>
  </si>
  <si>
    <t xml:space="preserve">Only the blue columns need typing: invoice number, customer, invoice date, due date, amount, and what has been paid so far. Everything from Outstanding rightwards is calculated.</t>
  </si>
  <si>
    <t xml:space="preserve">The Status column</t>
  </si>
  <si>
    <t xml:space="preserve">Settled means paid in full. Awaiting means not yet past the follow-up date. Chase now means the follow-up date has passed and money is still outstanding — filter on this column each Monday and you have your call list.</t>
  </si>
  <si>
    <t xml:space="preserve">Why the follow-up date is due date plus seven</t>
  </si>
  <si>
    <t xml:space="preserve">A week's grace is long enough to be reasonable and short enough that the invoice is still fresh in the customer's mind. Change the +7 in column J if your terms differ.</t>
  </si>
  <si>
    <t xml:space="preserve">Capacity</t>
  </si>
  <si>
    <t xml:space="preserve">Two hundred rows are pre-formatted. To extend, select the last row and drag down — the formulas and formatting copy. The Summary sheet already covers the full range.</t>
  </si>
  <si>
    <t xml:space="preserve">A note on ageing</t>
  </si>
  <si>
    <t xml:space="preserve">Ageing runs from the due date, not the invoice date. An invoice on 60-day terms is not overdue on day 31. Getting this backwards is the most common error in homemade receivables trackers, and it makes the whole report misleading.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</si>
</sst>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-mmm\-yy"/>
    <numFmt numFmtId="166" formatCode="#,##0.00;\(#,##0.00\);\-"/>
    <numFmt numFmtId="167" formatCode="#,##0;\(#,##0\);\-"/>
    <numFmt numFmtId="168" formatCode="0.0%;\(0.0%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9"/>
      <color rgb="FFC6E4D9"/>
      <name val="Arial"/>
      <family val="0"/>
      <charset val="1"/>
    </font>
    <font>
      <b val="true"/>
      <sz val="11"/>
      <color rgb="FF0A4A3A"/>
      <name val="Arial"/>
      <family val="0"/>
      <charset val="1"/>
    </font>
    <font>
      <sz val="10"/>
      <color rgb="FF141414"/>
      <name val="Arial"/>
      <family val="0"/>
      <charset val="1"/>
    </font>
    <font>
      <i val="true"/>
      <sz val="9"/>
      <color rgb="FF4A4A4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A4A3A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AFAF8"/>
        <bgColor rgb="FFFFFFFF"/>
      </patternFill>
    </fill>
    <fill>
      <patternFill patternType="solid">
        <fgColor rgb="FFE1F5EE"/>
        <bgColor rgb="FFE4E4E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4E4E0"/>
      </left>
      <right style="thin">
        <color rgb="FFE4E4E0"/>
      </right>
      <top style="thin">
        <color rgb="FFE4E4E0"/>
      </top>
      <bottom style="thin">
        <color rgb="FFE4E4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0F6E56"/>
          <bgColor rgb="FF000000"/>
        </patternFill>
      </fill>
    </dxf>
    <dxf>
      <fill>
        <patternFill patternType="solid">
          <fgColor rgb="FFFAFA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41414"/>
          <bgColor rgb="FF000000"/>
        </patternFill>
      </fill>
    </dxf>
    <dxf>
      <font>
        <name val="Arial"/>
        <charset val="1"/>
        <family val="0"/>
        <b val="1"/>
        <color rgb="FF7A2020"/>
        <sz val="10"/>
      </font>
      <fill>
        <patternFill>
          <bgColor rgb="FFFCECEC"/>
        </patternFill>
      </fill>
    </dxf>
    <dxf>
      <font>
        <name val="Arial"/>
        <charset val="1"/>
        <family val="0"/>
        <color rgb="FF7A5410"/>
        <sz val="10"/>
      </font>
      <fill>
        <patternFill>
          <bgColor rgb="FFFDF4E3"/>
        </patternFill>
      </fill>
    </dxf>
    <dxf>
      <font>
        <name val="Arial"/>
        <charset val="1"/>
        <family val="0"/>
        <color rgb="FF0A4A3A"/>
        <sz val="10"/>
      </font>
      <fill>
        <patternFill>
          <bgColor rgb="FFE1F5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5410"/>
      <rgbColor rgb="FF800080"/>
      <rgbColor rgb="FF0F6E56"/>
      <rgbColor rgb="FFC0C0C0"/>
      <rgbColor rgb="FF808080"/>
      <rgbColor rgb="FF9999FF"/>
      <rgbColor rgb="FF993366"/>
      <rgbColor rgb="FFFDF4E3"/>
      <rgbColor rgb="FFE1F5EE"/>
      <rgbColor rgb="FF660066"/>
      <rgbColor rgb="FFFF8080"/>
      <rgbColor rgb="FF0066CC"/>
      <rgbColor rgb="FFE4E4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AFAF8"/>
      <rgbColor rgb="FFC6E4D9"/>
      <rgbColor rgb="FFFCEC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A4A3A"/>
      <rgbColor rgb="FF339966"/>
      <rgbColor rgb="FF141414"/>
      <rgbColor rgb="FF333300"/>
      <rgbColor rgb="FF7A2020"/>
      <rgbColor rgb="FF993366"/>
      <rgbColor rgb="FF333399"/>
      <rgbColor rgb="FF4A4A4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5" min="3" style="0" width="12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1" min="10" style="0" width="12"/>
    <col collapsed="false" customWidth="true" hidden="false" outlineLevel="0" max="12" min="12" style="0" width="3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false" outlineLevel="0" collapsed="false">
      <c r="A4" s="3" t="s">
        <v>2</v>
      </c>
      <c r="C4" s="4" t="n">
        <f aca="true">TODAY()</f>
        <v>46226</v>
      </c>
      <c r="D4" s="5" t="s">
        <v>3</v>
      </c>
    </row>
    <row r="6" customFormat="false" ht="24" hidden="false" customHeight="true" outlineLevel="0" collapsed="false">
      <c r="A6" s="6" t="s">
        <v>4</v>
      </c>
      <c r="B6" s="6" t="s">
        <v>5</v>
      </c>
      <c r="C6" s="6" t="s">
        <v>6</v>
      </c>
      <c r="D6" s="6" t="s">
        <v>7</v>
      </c>
      <c r="E6" s="6" t="s">
        <v>8</v>
      </c>
      <c r="F6" s="6" t="s">
        <v>9</v>
      </c>
      <c r="G6" s="6" t="s">
        <v>10</v>
      </c>
      <c r="H6" s="6" t="s">
        <v>11</v>
      </c>
      <c r="I6" s="6" t="s">
        <v>12</v>
      </c>
      <c r="J6" s="6" t="s">
        <v>13</v>
      </c>
      <c r="K6" s="6" t="s">
        <v>14</v>
      </c>
      <c r="L6" s="6" t="s">
        <v>15</v>
      </c>
    </row>
    <row r="7" customFormat="false" ht="15" hidden="false" customHeight="false" outlineLevel="0" collapsed="false">
      <c r="A7" s="7"/>
      <c r="B7" s="7"/>
      <c r="C7" s="8"/>
      <c r="D7" s="8"/>
      <c r="E7" s="9"/>
      <c r="F7" s="9"/>
      <c r="G7" s="10" t="str">
        <f aca="false">IF(E7="","",E7-N(F7))</f>
        <v/>
      </c>
      <c r="H7" s="11" t="str">
        <f aca="false">IF(OR(D7="",G7=""),"",IF(G7&lt;=0,0,MAX(0,$C$4-D7)))</f>
        <v/>
      </c>
      <c r="I7" s="12" t="str">
        <f aca="false">IF(H7="","",IF(G7&lt;=0,"Paid",IF(H7=0,"Current",IF(H7&lt;=30,"1-30 days",IF(H7&lt;=60,"31-60 days",IF(H7&lt;=90,"61-90 days","90+ days"))))))</f>
        <v/>
      </c>
      <c r="J7" s="13" t="str">
        <f aca="false">IF(OR(D7="",G7&lt;=0),"",D7+7)</f>
        <v/>
      </c>
      <c r="K7" s="12" t="str">
        <f aca="false">IF(E7="","",IF(G7&lt;=0,"Settled",IF($C$4&gt;J7,"Chase now","Awaiting")))</f>
        <v/>
      </c>
      <c r="L7" s="7"/>
    </row>
    <row r="8" customFormat="false" ht="15" hidden="false" customHeight="false" outlineLevel="0" collapsed="false">
      <c r="A8" s="14"/>
      <c r="B8" s="14"/>
      <c r="C8" s="15"/>
      <c r="D8" s="15"/>
      <c r="E8" s="16"/>
      <c r="F8" s="16"/>
      <c r="G8" s="17" t="str">
        <f aca="false">IF(E8="","",E8-N(F8))</f>
        <v/>
      </c>
      <c r="H8" s="18" t="str">
        <f aca="false">IF(OR(D8="",G8=""),"",IF(G8&lt;=0,0,MAX(0,$C$4-D8)))</f>
        <v/>
      </c>
      <c r="I8" s="19" t="str">
        <f aca="false">IF(H8="","",IF(G8&lt;=0,"Paid",IF(H8=0,"Current",IF(H8&lt;=30,"1-30 days",IF(H8&lt;=60,"31-60 days",IF(H8&lt;=90,"61-90 days","90+ days"))))))</f>
        <v/>
      </c>
      <c r="J8" s="20" t="str">
        <f aca="false">IF(OR(D8="",G8&lt;=0),"",D8+7)</f>
        <v/>
      </c>
      <c r="K8" s="19" t="str">
        <f aca="false">IF(E8="","",IF(G8&lt;=0,"Settled",IF($C$4&gt;J8,"Chase now","Awaiting")))</f>
        <v/>
      </c>
      <c r="L8" s="14"/>
    </row>
    <row r="9" customFormat="false" ht="15" hidden="false" customHeight="false" outlineLevel="0" collapsed="false">
      <c r="A9" s="7"/>
      <c r="B9" s="7"/>
      <c r="C9" s="8"/>
      <c r="D9" s="8"/>
      <c r="E9" s="9"/>
      <c r="F9" s="9"/>
      <c r="G9" s="10" t="str">
        <f aca="false">IF(E9="","",E9-N(F9))</f>
        <v/>
      </c>
      <c r="H9" s="11" t="str">
        <f aca="false">IF(OR(D9="",G9=""),"",IF(G9&lt;=0,0,MAX(0,$C$4-D9)))</f>
        <v/>
      </c>
      <c r="I9" s="12" t="str">
        <f aca="false">IF(H9="","",IF(G9&lt;=0,"Paid",IF(H9=0,"Current",IF(H9&lt;=30,"1-30 days",IF(H9&lt;=60,"31-60 days",IF(H9&lt;=90,"61-90 days","90+ days"))))))</f>
        <v/>
      </c>
      <c r="J9" s="13" t="str">
        <f aca="false">IF(OR(D9="",G9&lt;=0),"",D9+7)</f>
        <v/>
      </c>
      <c r="K9" s="12" t="str">
        <f aca="false">IF(E9="","",IF(G9&lt;=0,"Settled",IF($C$4&gt;J9,"Chase now","Awaiting")))</f>
        <v/>
      </c>
      <c r="L9" s="7"/>
    </row>
    <row r="10" customFormat="false" ht="15" hidden="false" customHeight="false" outlineLevel="0" collapsed="false">
      <c r="A10" s="14"/>
      <c r="B10" s="14"/>
      <c r="C10" s="15"/>
      <c r="D10" s="15"/>
      <c r="E10" s="16"/>
      <c r="F10" s="16"/>
      <c r="G10" s="17" t="str">
        <f aca="false">IF(E10="","",E10-N(F10))</f>
        <v/>
      </c>
      <c r="H10" s="18" t="str">
        <f aca="false">IF(OR(D10="",G10=""),"",IF(G10&lt;=0,0,MAX(0,$C$4-D10)))</f>
        <v/>
      </c>
      <c r="I10" s="19" t="str">
        <f aca="false">IF(H10="","",IF(G10&lt;=0,"Paid",IF(H10=0,"Current",IF(H10&lt;=30,"1-30 days",IF(H10&lt;=60,"31-60 days",IF(H10&lt;=90,"61-90 days","90+ days"))))))</f>
        <v/>
      </c>
      <c r="J10" s="20" t="str">
        <f aca="false">IF(OR(D10="",G10&lt;=0),"",D10+7)</f>
        <v/>
      </c>
      <c r="K10" s="19" t="str">
        <f aca="false">IF(E10="","",IF(G10&lt;=0,"Settled",IF($C$4&gt;J10,"Chase now","Awaiting")))</f>
        <v/>
      </c>
      <c r="L10" s="14"/>
    </row>
    <row r="11" customFormat="false" ht="15" hidden="false" customHeight="false" outlineLevel="0" collapsed="false">
      <c r="A11" s="7"/>
      <c r="B11" s="7"/>
      <c r="C11" s="8"/>
      <c r="D11" s="8"/>
      <c r="E11" s="9"/>
      <c r="F11" s="9"/>
      <c r="G11" s="10" t="str">
        <f aca="false">IF(E11="","",E11-N(F11))</f>
        <v/>
      </c>
      <c r="H11" s="11" t="str">
        <f aca="false">IF(OR(D11="",G11=""),"",IF(G11&lt;=0,0,MAX(0,$C$4-D11)))</f>
        <v/>
      </c>
      <c r="I11" s="12" t="str">
        <f aca="false">IF(H11="","",IF(G11&lt;=0,"Paid",IF(H11=0,"Current",IF(H11&lt;=30,"1-30 days",IF(H11&lt;=60,"31-60 days",IF(H11&lt;=90,"61-90 days","90+ days"))))))</f>
        <v/>
      </c>
      <c r="J11" s="13" t="str">
        <f aca="false">IF(OR(D11="",G11&lt;=0),"",D11+7)</f>
        <v/>
      </c>
      <c r="K11" s="12" t="str">
        <f aca="false">IF(E11="","",IF(G11&lt;=0,"Settled",IF($C$4&gt;J11,"Chase now","Awaiting")))</f>
        <v/>
      </c>
      <c r="L11" s="7"/>
    </row>
    <row r="12" customFormat="false" ht="15" hidden="false" customHeight="false" outlineLevel="0" collapsed="false">
      <c r="A12" s="14"/>
      <c r="B12" s="14"/>
      <c r="C12" s="15"/>
      <c r="D12" s="15"/>
      <c r="E12" s="16"/>
      <c r="F12" s="16"/>
      <c r="G12" s="17" t="str">
        <f aca="false">IF(E12="","",E12-N(F12))</f>
        <v/>
      </c>
      <c r="H12" s="18" t="str">
        <f aca="false">IF(OR(D12="",G12=""),"",IF(G12&lt;=0,0,MAX(0,$C$4-D12)))</f>
        <v/>
      </c>
      <c r="I12" s="19" t="str">
        <f aca="false">IF(H12="","",IF(G12&lt;=0,"Paid",IF(H12=0,"Current",IF(H12&lt;=30,"1-30 days",IF(H12&lt;=60,"31-60 days",IF(H12&lt;=90,"61-90 days","90+ days"))))))</f>
        <v/>
      </c>
      <c r="J12" s="20" t="str">
        <f aca="false">IF(OR(D12="",G12&lt;=0),"",D12+7)</f>
        <v/>
      </c>
      <c r="K12" s="19" t="str">
        <f aca="false">IF(E12="","",IF(G12&lt;=0,"Settled",IF($C$4&gt;J12,"Chase now","Awaiting")))</f>
        <v/>
      </c>
      <c r="L12" s="14"/>
    </row>
    <row r="13" customFormat="false" ht="15" hidden="false" customHeight="false" outlineLevel="0" collapsed="false">
      <c r="A13" s="7"/>
      <c r="B13" s="7"/>
      <c r="C13" s="8"/>
      <c r="D13" s="8"/>
      <c r="E13" s="9"/>
      <c r="F13" s="9"/>
      <c r="G13" s="10" t="str">
        <f aca="false">IF(E13="","",E13-N(F13))</f>
        <v/>
      </c>
      <c r="H13" s="11" t="str">
        <f aca="false">IF(OR(D13="",G13=""),"",IF(G13&lt;=0,0,MAX(0,$C$4-D13)))</f>
        <v/>
      </c>
      <c r="I13" s="12" t="str">
        <f aca="false">IF(H13="","",IF(G13&lt;=0,"Paid",IF(H13=0,"Current",IF(H13&lt;=30,"1-30 days",IF(H13&lt;=60,"31-60 days",IF(H13&lt;=90,"61-90 days","90+ days"))))))</f>
        <v/>
      </c>
      <c r="J13" s="13" t="str">
        <f aca="false">IF(OR(D13="",G13&lt;=0),"",D13+7)</f>
        <v/>
      </c>
      <c r="K13" s="12" t="str">
        <f aca="false">IF(E13="","",IF(G13&lt;=0,"Settled",IF($C$4&gt;J13,"Chase now","Awaiting")))</f>
        <v/>
      </c>
      <c r="L13" s="7"/>
    </row>
    <row r="14" customFormat="false" ht="15" hidden="false" customHeight="false" outlineLevel="0" collapsed="false">
      <c r="A14" s="14"/>
      <c r="B14" s="14"/>
      <c r="C14" s="15"/>
      <c r="D14" s="15"/>
      <c r="E14" s="16"/>
      <c r="F14" s="16"/>
      <c r="G14" s="17" t="str">
        <f aca="false">IF(E14="","",E14-N(F14))</f>
        <v/>
      </c>
      <c r="H14" s="18" t="str">
        <f aca="false">IF(OR(D14="",G14=""),"",IF(G14&lt;=0,0,MAX(0,$C$4-D14)))</f>
        <v/>
      </c>
      <c r="I14" s="19" t="str">
        <f aca="false">IF(H14="","",IF(G14&lt;=0,"Paid",IF(H14=0,"Current",IF(H14&lt;=30,"1-30 days",IF(H14&lt;=60,"31-60 days",IF(H14&lt;=90,"61-90 days","90+ days"))))))</f>
        <v/>
      </c>
      <c r="J14" s="20" t="str">
        <f aca="false">IF(OR(D14="",G14&lt;=0),"",D14+7)</f>
        <v/>
      </c>
      <c r="K14" s="19" t="str">
        <f aca="false">IF(E14="","",IF(G14&lt;=0,"Settled",IF($C$4&gt;J14,"Chase now","Awaiting")))</f>
        <v/>
      </c>
      <c r="L14" s="14"/>
    </row>
    <row r="15" customFormat="false" ht="15" hidden="false" customHeight="false" outlineLevel="0" collapsed="false">
      <c r="A15" s="7"/>
      <c r="B15" s="7"/>
      <c r="C15" s="8"/>
      <c r="D15" s="8"/>
      <c r="E15" s="9"/>
      <c r="F15" s="9"/>
      <c r="G15" s="10" t="str">
        <f aca="false">IF(E15="","",E15-N(F15))</f>
        <v/>
      </c>
      <c r="H15" s="11" t="str">
        <f aca="false">IF(OR(D15="",G15=""),"",IF(G15&lt;=0,0,MAX(0,$C$4-D15)))</f>
        <v/>
      </c>
      <c r="I15" s="12" t="str">
        <f aca="false">IF(H15="","",IF(G15&lt;=0,"Paid",IF(H15=0,"Current",IF(H15&lt;=30,"1-30 days",IF(H15&lt;=60,"31-60 days",IF(H15&lt;=90,"61-90 days","90+ days"))))))</f>
        <v/>
      </c>
      <c r="J15" s="13" t="str">
        <f aca="false">IF(OR(D15="",G15&lt;=0),"",D15+7)</f>
        <v/>
      </c>
      <c r="K15" s="12" t="str">
        <f aca="false">IF(E15="","",IF(G15&lt;=0,"Settled",IF($C$4&gt;J15,"Chase now","Awaiting")))</f>
        <v/>
      </c>
      <c r="L15" s="7"/>
    </row>
    <row r="16" customFormat="false" ht="15" hidden="false" customHeight="false" outlineLevel="0" collapsed="false">
      <c r="A16" s="14"/>
      <c r="B16" s="14"/>
      <c r="C16" s="15"/>
      <c r="D16" s="15"/>
      <c r="E16" s="16"/>
      <c r="F16" s="16"/>
      <c r="G16" s="17" t="str">
        <f aca="false">IF(E16="","",E16-N(F16))</f>
        <v/>
      </c>
      <c r="H16" s="18" t="str">
        <f aca="false">IF(OR(D16="",G16=""),"",IF(G16&lt;=0,0,MAX(0,$C$4-D16)))</f>
        <v/>
      </c>
      <c r="I16" s="19" t="str">
        <f aca="false">IF(H16="","",IF(G16&lt;=0,"Paid",IF(H16=0,"Current",IF(H16&lt;=30,"1-30 days",IF(H16&lt;=60,"31-60 days",IF(H16&lt;=90,"61-90 days","90+ days"))))))</f>
        <v/>
      </c>
      <c r="J16" s="20" t="str">
        <f aca="false">IF(OR(D16="",G16&lt;=0),"",D16+7)</f>
        <v/>
      </c>
      <c r="K16" s="19" t="str">
        <f aca="false">IF(E16="","",IF(G16&lt;=0,"Settled",IF($C$4&gt;J16,"Chase now","Awaiting")))</f>
        <v/>
      </c>
      <c r="L16" s="14"/>
    </row>
    <row r="17" customFormat="false" ht="15" hidden="false" customHeight="false" outlineLevel="0" collapsed="false">
      <c r="A17" s="7"/>
      <c r="B17" s="7"/>
      <c r="C17" s="8"/>
      <c r="D17" s="8"/>
      <c r="E17" s="9"/>
      <c r="F17" s="9"/>
      <c r="G17" s="10" t="str">
        <f aca="false">IF(E17="","",E17-N(F17))</f>
        <v/>
      </c>
      <c r="H17" s="11" t="str">
        <f aca="false">IF(OR(D17="",G17=""),"",IF(G17&lt;=0,0,MAX(0,$C$4-D17)))</f>
        <v/>
      </c>
      <c r="I17" s="12" t="str">
        <f aca="false">IF(H17="","",IF(G17&lt;=0,"Paid",IF(H17=0,"Current",IF(H17&lt;=30,"1-30 days",IF(H17&lt;=60,"31-60 days",IF(H17&lt;=90,"61-90 days","90+ days"))))))</f>
        <v/>
      </c>
      <c r="J17" s="13" t="str">
        <f aca="false">IF(OR(D17="",G17&lt;=0),"",D17+7)</f>
        <v/>
      </c>
      <c r="K17" s="12" t="str">
        <f aca="false">IF(E17="","",IF(G17&lt;=0,"Settled",IF($C$4&gt;J17,"Chase now","Awaiting")))</f>
        <v/>
      </c>
      <c r="L17" s="7"/>
    </row>
    <row r="18" customFormat="false" ht="15" hidden="false" customHeight="false" outlineLevel="0" collapsed="false">
      <c r="A18" s="14"/>
      <c r="B18" s="14"/>
      <c r="C18" s="15"/>
      <c r="D18" s="15"/>
      <c r="E18" s="16"/>
      <c r="F18" s="16"/>
      <c r="G18" s="17" t="str">
        <f aca="false">IF(E18="","",E18-N(F18))</f>
        <v/>
      </c>
      <c r="H18" s="18" t="str">
        <f aca="false">IF(OR(D18="",G18=""),"",IF(G18&lt;=0,0,MAX(0,$C$4-D18)))</f>
        <v/>
      </c>
      <c r="I18" s="19" t="str">
        <f aca="false">IF(H18="","",IF(G18&lt;=0,"Paid",IF(H18=0,"Current",IF(H18&lt;=30,"1-30 days",IF(H18&lt;=60,"31-60 days",IF(H18&lt;=90,"61-90 days","90+ days"))))))</f>
        <v/>
      </c>
      <c r="J18" s="20" t="str">
        <f aca="false">IF(OR(D18="",G18&lt;=0),"",D18+7)</f>
        <v/>
      </c>
      <c r="K18" s="19" t="str">
        <f aca="false">IF(E18="","",IF(G18&lt;=0,"Settled",IF($C$4&gt;J18,"Chase now","Awaiting")))</f>
        <v/>
      </c>
      <c r="L18" s="14"/>
    </row>
    <row r="19" customFormat="false" ht="15" hidden="false" customHeight="false" outlineLevel="0" collapsed="false">
      <c r="A19" s="7"/>
      <c r="B19" s="7"/>
      <c r="C19" s="8"/>
      <c r="D19" s="8"/>
      <c r="E19" s="9"/>
      <c r="F19" s="9"/>
      <c r="G19" s="10" t="str">
        <f aca="false">IF(E19="","",E19-N(F19))</f>
        <v/>
      </c>
      <c r="H19" s="11" t="str">
        <f aca="false">IF(OR(D19="",G19=""),"",IF(G19&lt;=0,0,MAX(0,$C$4-D19)))</f>
        <v/>
      </c>
      <c r="I19" s="12" t="str">
        <f aca="false">IF(H19="","",IF(G19&lt;=0,"Paid",IF(H19=0,"Current",IF(H19&lt;=30,"1-30 days",IF(H19&lt;=60,"31-60 days",IF(H19&lt;=90,"61-90 days","90+ days"))))))</f>
        <v/>
      </c>
      <c r="J19" s="13" t="str">
        <f aca="false">IF(OR(D19="",G19&lt;=0),"",D19+7)</f>
        <v/>
      </c>
      <c r="K19" s="12" t="str">
        <f aca="false">IF(E19="","",IF(G19&lt;=0,"Settled",IF($C$4&gt;J19,"Chase now","Awaiting")))</f>
        <v/>
      </c>
      <c r="L19" s="7"/>
    </row>
    <row r="20" customFormat="false" ht="15" hidden="false" customHeight="false" outlineLevel="0" collapsed="false">
      <c r="A20" s="14"/>
      <c r="B20" s="14"/>
      <c r="C20" s="15"/>
      <c r="D20" s="15"/>
      <c r="E20" s="16"/>
      <c r="F20" s="16"/>
      <c r="G20" s="17" t="str">
        <f aca="false">IF(E20="","",E20-N(F20))</f>
        <v/>
      </c>
      <c r="H20" s="18" t="str">
        <f aca="false">IF(OR(D20="",G20=""),"",IF(G20&lt;=0,0,MAX(0,$C$4-D20)))</f>
        <v/>
      </c>
      <c r="I20" s="19" t="str">
        <f aca="false">IF(H20="","",IF(G20&lt;=0,"Paid",IF(H20=0,"Current",IF(H20&lt;=30,"1-30 days",IF(H20&lt;=60,"31-60 days",IF(H20&lt;=90,"61-90 days","90+ days"))))))</f>
        <v/>
      </c>
      <c r="J20" s="20" t="str">
        <f aca="false">IF(OR(D20="",G20&lt;=0),"",D20+7)</f>
        <v/>
      </c>
      <c r="K20" s="19" t="str">
        <f aca="false">IF(E20="","",IF(G20&lt;=0,"Settled",IF($C$4&gt;J20,"Chase now","Awaiting")))</f>
        <v/>
      </c>
      <c r="L20" s="14"/>
    </row>
    <row r="21" customFormat="false" ht="15" hidden="false" customHeight="false" outlineLevel="0" collapsed="false">
      <c r="A21" s="7"/>
      <c r="B21" s="7"/>
      <c r="C21" s="8"/>
      <c r="D21" s="8"/>
      <c r="E21" s="9"/>
      <c r="F21" s="9"/>
      <c r="G21" s="10" t="str">
        <f aca="false">IF(E21="","",E21-N(F21))</f>
        <v/>
      </c>
      <c r="H21" s="11" t="str">
        <f aca="false">IF(OR(D21="",G21=""),"",IF(G21&lt;=0,0,MAX(0,$C$4-D21)))</f>
        <v/>
      </c>
      <c r="I21" s="12" t="str">
        <f aca="false">IF(H21="","",IF(G21&lt;=0,"Paid",IF(H21=0,"Current",IF(H21&lt;=30,"1-30 days",IF(H21&lt;=60,"31-60 days",IF(H21&lt;=90,"61-90 days","90+ days"))))))</f>
        <v/>
      </c>
      <c r="J21" s="13" t="str">
        <f aca="false">IF(OR(D21="",G21&lt;=0),"",D21+7)</f>
        <v/>
      </c>
      <c r="K21" s="12" t="str">
        <f aca="false">IF(E21="","",IF(G21&lt;=0,"Settled",IF($C$4&gt;J21,"Chase now","Awaiting")))</f>
        <v/>
      </c>
      <c r="L21" s="7"/>
    </row>
    <row r="22" customFormat="false" ht="15" hidden="false" customHeight="false" outlineLevel="0" collapsed="false">
      <c r="A22" s="14"/>
      <c r="B22" s="14"/>
      <c r="C22" s="15"/>
      <c r="D22" s="15"/>
      <c r="E22" s="16"/>
      <c r="F22" s="16"/>
      <c r="G22" s="17" t="str">
        <f aca="false">IF(E22="","",E22-N(F22))</f>
        <v/>
      </c>
      <c r="H22" s="18" t="str">
        <f aca="false">IF(OR(D22="",G22=""),"",IF(G22&lt;=0,0,MAX(0,$C$4-D22)))</f>
        <v/>
      </c>
      <c r="I22" s="19" t="str">
        <f aca="false">IF(H22="","",IF(G22&lt;=0,"Paid",IF(H22=0,"Current",IF(H22&lt;=30,"1-30 days",IF(H22&lt;=60,"31-60 days",IF(H22&lt;=90,"61-90 days","90+ days"))))))</f>
        <v/>
      </c>
      <c r="J22" s="20" t="str">
        <f aca="false">IF(OR(D22="",G22&lt;=0),"",D22+7)</f>
        <v/>
      </c>
      <c r="K22" s="19" t="str">
        <f aca="false">IF(E22="","",IF(G22&lt;=0,"Settled",IF($C$4&gt;J22,"Chase now","Awaiting")))</f>
        <v/>
      </c>
      <c r="L22" s="14"/>
    </row>
    <row r="23" customFormat="false" ht="15" hidden="false" customHeight="false" outlineLevel="0" collapsed="false">
      <c r="A23" s="7"/>
      <c r="B23" s="7"/>
      <c r="C23" s="8"/>
      <c r="D23" s="8"/>
      <c r="E23" s="9"/>
      <c r="F23" s="9"/>
      <c r="G23" s="10" t="str">
        <f aca="false">IF(E23="","",E23-N(F23))</f>
        <v/>
      </c>
      <c r="H23" s="11" t="str">
        <f aca="false">IF(OR(D23="",G23=""),"",IF(G23&lt;=0,0,MAX(0,$C$4-D23)))</f>
        <v/>
      </c>
      <c r="I23" s="12" t="str">
        <f aca="false">IF(H23="","",IF(G23&lt;=0,"Paid",IF(H23=0,"Current",IF(H23&lt;=30,"1-30 days",IF(H23&lt;=60,"31-60 days",IF(H23&lt;=90,"61-90 days","90+ days"))))))</f>
        <v/>
      </c>
      <c r="J23" s="13" t="str">
        <f aca="false">IF(OR(D23="",G23&lt;=0),"",D23+7)</f>
        <v/>
      </c>
      <c r="K23" s="12" t="str">
        <f aca="false">IF(E23="","",IF(G23&lt;=0,"Settled",IF($C$4&gt;J23,"Chase now","Awaiting")))</f>
        <v/>
      </c>
      <c r="L23" s="7"/>
    </row>
    <row r="24" customFormat="false" ht="15" hidden="false" customHeight="false" outlineLevel="0" collapsed="false">
      <c r="A24" s="14"/>
      <c r="B24" s="14"/>
      <c r="C24" s="15"/>
      <c r="D24" s="15"/>
      <c r="E24" s="16"/>
      <c r="F24" s="16"/>
      <c r="G24" s="17" t="str">
        <f aca="false">IF(E24="","",E24-N(F24))</f>
        <v/>
      </c>
      <c r="H24" s="18" t="str">
        <f aca="false">IF(OR(D24="",G24=""),"",IF(G24&lt;=0,0,MAX(0,$C$4-D24)))</f>
        <v/>
      </c>
      <c r="I24" s="19" t="str">
        <f aca="false">IF(H24="","",IF(G24&lt;=0,"Paid",IF(H24=0,"Current",IF(H24&lt;=30,"1-30 days",IF(H24&lt;=60,"31-60 days",IF(H24&lt;=90,"61-90 days","90+ days"))))))</f>
        <v/>
      </c>
      <c r="J24" s="20" t="str">
        <f aca="false">IF(OR(D24="",G24&lt;=0),"",D24+7)</f>
        <v/>
      </c>
      <c r="K24" s="19" t="str">
        <f aca="false">IF(E24="","",IF(G24&lt;=0,"Settled",IF($C$4&gt;J24,"Chase now","Awaiting")))</f>
        <v/>
      </c>
      <c r="L24" s="14"/>
    </row>
    <row r="25" customFormat="false" ht="15" hidden="false" customHeight="false" outlineLevel="0" collapsed="false">
      <c r="A25" s="7"/>
      <c r="B25" s="7"/>
      <c r="C25" s="8"/>
      <c r="D25" s="8"/>
      <c r="E25" s="9"/>
      <c r="F25" s="9"/>
      <c r="G25" s="10" t="str">
        <f aca="false">IF(E25="","",E25-N(F25))</f>
        <v/>
      </c>
      <c r="H25" s="11" t="str">
        <f aca="false">IF(OR(D25="",G25=""),"",IF(G25&lt;=0,0,MAX(0,$C$4-D25)))</f>
        <v/>
      </c>
      <c r="I25" s="12" t="str">
        <f aca="false">IF(H25="","",IF(G25&lt;=0,"Paid",IF(H25=0,"Current",IF(H25&lt;=30,"1-30 days",IF(H25&lt;=60,"31-60 days",IF(H25&lt;=90,"61-90 days","90+ days"))))))</f>
        <v/>
      </c>
      <c r="J25" s="13" t="str">
        <f aca="false">IF(OR(D25="",G25&lt;=0),"",D25+7)</f>
        <v/>
      </c>
      <c r="K25" s="12" t="str">
        <f aca="false">IF(E25="","",IF(G25&lt;=0,"Settled",IF($C$4&gt;J25,"Chase now","Awaiting")))</f>
        <v/>
      </c>
      <c r="L25" s="7"/>
    </row>
    <row r="26" customFormat="false" ht="15" hidden="false" customHeight="false" outlineLevel="0" collapsed="false">
      <c r="A26" s="14"/>
      <c r="B26" s="14"/>
      <c r="C26" s="15"/>
      <c r="D26" s="15"/>
      <c r="E26" s="16"/>
      <c r="F26" s="16"/>
      <c r="G26" s="17" t="str">
        <f aca="false">IF(E26="","",E26-N(F26))</f>
        <v/>
      </c>
      <c r="H26" s="18" t="str">
        <f aca="false">IF(OR(D26="",G26=""),"",IF(G26&lt;=0,0,MAX(0,$C$4-D26)))</f>
        <v/>
      </c>
      <c r="I26" s="19" t="str">
        <f aca="false">IF(H26="","",IF(G26&lt;=0,"Paid",IF(H26=0,"Current",IF(H26&lt;=30,"1-30 days",IF(H26&lt;=60,"31-60 days",IF(H26&lt;=90,"61-90 days","90+ days"))))))</f>
        <v/>
      </c>
      <c r="J26" s="20" t="str">
        <f aca="false">IF(OR(D26="",G26&lt;=0),"",D26+7)</f>
        <v/>
      </c>
      <c r="K26" s="19" t="str">
        <f aca="false">IF(E26="","",IF(G26&lt;=0,"Settled",IF($C$4&gt;J26,"Chase now","Awaiting")))</f>
        <v/>
      </c>
      <c r="L26" s="14"/>
    </row>
    <row r="27" customFormat="false" ht="15" hidden="false" customHeight="false" outlineLevel="0" collapsed="false">
      <c r="A27" s="7"/>
      <c r="B27" s="7"/>
      <c r="C27" s="8"/>
      <c r="D27" s="8"/>
      <c r="E27" s="9"/>
      <c r="F27" s="9"/>
      <c r="G27" s="10" t="str">
        <f aca="false">IF(E27="","",E27-N(F27))</f>
        <v/>
      </c>
      <c r="H27" s="11" t="str">
        <f aca="false">IF(OR(D27="",G27=""),"",IF(G27&lt;=0,0,MAX(0,$C$4-D27)))</f>
        <v/>
      </c>
      <c r="I27" s="12" t="str">
        <f aca="false">IF(H27="","",IF(G27&lt;=0,"Paid",IF(H27=0,"Current",IF(H27&lt;=30,"1-30 days",IF(H27&lt;=60,"31-60 days",IF(H27&lt;=90,"61-90 days","90+ days"))))))</f>
        <v/>
      </c>
      <c r="J27" s="13" t="str">
        <f aca="false">IF(OR(D27="",G27&lt;=0),"",D27+7)</f>
        <v/>
      </c>
      <c r="K27" s="12" t="str">
        <f aca="false">IF(E27="","",IF(G27&lt;=0,"Settled",IF($C$4&gt;J27,"Chase now","Awaiting")))</f>
        <v/>
      </c>
      <c r="L27" s="7"/>
    </row>
    <row r="28" customFormat="false" ht="15" hidden="false" customHeight="false" outlineLevel="0" collapsed="false">
      <c r="A28" s="14"/>
      <c r="B28" s="14"/>
      <c r="C28" s="15"/>
      <c r="D28" s="15"/>
      <c r="E28" s="16"/>
      <c r="F28" s="16"/>
      <c r="G28" s="17" t="str">
        <f aca="false">IF(E28="","",E28-N(F28))</f>
        <v/>
      </c>
      <c r="H28" s="18" t="str">
        <f aca="false">IF(OR(D28="",G28=""),"",IF(G28&lt;=0,0,MAX(0,$C$4-D28)))</f>
        <v/>
      </c>
      <c r="I28" s="19" t="str">
        <f aca="false">IF(H28="","",IF(G28&lt;=0,"Paid",IF(H28=0,"Current",IF(H28&lt;=30,"1-30 days",IF(H28&lt;=60,"31-60 days",IF(H28&lt;=90,"61-90 days","90+ days"))))))</f>
        <v/>
      </c>
      <c r="J28" s="20" t="str">
        <f aca="false">IF(OR(D28="",G28&lt;=0),"",D28+7)</f>
        <v/>
      </c>
      <c r="K28" s="19" t="str">
        <f aca="false">IF(E28="","",IF(G28&lt;=0,"Settled",IF($C$4&gt;J28,"Chase now","Awaiting")))</f>
        <v/>
      </c>
      <c r="L28" s="14"/>
    </row>
    <row r="29" customFormat="false" ht="15" hidden="false" customHeight="false" outlineLevel="0" collapsed="false">
      <c r="A29" s="7"/>
      <c r="B29" s="7"/>
      <c r="C29" s="8"/>
      <c r="D29" s="8"/>
      <c r="E29" s="9"/>
      <c r="F29" s="9"/>
      <c r="G29" s="10" t="str">
        <f aca="false">IF(E29="","",E29-N(F29))</f>
        <v/>
      </c>
      <c r="H29" s="11" t="str">
        <f aca="false">IF(OR(D29="",G29=""),"",IF(G29&lt;=0,0,MAX(0,$C$4-D29)))</f>
        <v/>
      </c>
      <c r="I29" s="12" t="str">
        <f aca="false">IF(H29="","",IF(G29&lt;=0,"Paid",IF(H29=0,"Current",IF(H29&lt;=30,"1-30 days",IF(H29&lt;=60,"31-60 days",IF(H29&lt;=90,"61-90 days","90+ days"))))))</f>
        <v/>
      </c>
      <c r="J29" s="13" t="str">
        <f aca="false">IF(OR(D29="",G29&lt;=0),"",D29+7)</f>
        <v/>
      </c>
      <c r="K29" s="12" t="str">
        <f aca="false">IF(E29="","",IF(G29&lt;=0,"Settled",IF($C$4&gt;J29,"Chase now","Awaiting")))</f>
        <v/>
      </c>
      <c r="L29" s="7"/>
    </row>
    <row r="30" customFormat="false" ht="15" hidden="false" customHeight="false" outlineLevel="0" collapsed="false">
      <c r="A30" s="14"/>
      <c r="B30" s="14"/>
      <c r="C30" s="15"/>
      <c r="D30" s="15"/>
      <c r="E30" s="16"/>
      <c r="F30" s="16"/>
      <c r="G30" s="17" t="str">
        <f aca="false">IF(E30="","",E30-N(F30))</f>
        <v/>
      </c>
      <c r="H30" s="18" t="str">
        <f aca="false">IF(OR(D30="",G30=""),"",IF(G30&lt;=0,0,MAX(0,$C$4-D30)))</f>
        <v/>
      </c>
      <c r="I30" s="19" t="str">
        <f aca="false">IF(H30="","",IF(G30&lt;=0,"Paid",IF(H30=0,"Current",IF(H30&lt;=30,"1-30 days",IF(H30&lt;=60,"31-60 days",IF(H30&lt;=90,"61-90 days","90+ days"))))))</f>
        <v/>
      </c>
      <c r="J30" s="20" t="str">
        <f aca="false">IF(OR(D30="",G30&lt;=0),"",D30+7)</f>
        <v/>
      </c>
      <c r="K30" s="19" t="str">
        <f aca="false">IF(E30="","",IF(G30&lt;=0,"Settled",IF($C$4&gt;J30,"Chase now","Awaiting")))</f>
        <v/>
      </c>
      <c r="L30" s="14"/>
    </row>
    <row r="31" customFormat="false" ht="15" hidden="false" customHeight="false" outlineLevel="0" collapsed="false">
      <c r="A31" s="7"/>
      <c r="B31" s="7"/>
      <c r="C31" s="8"/>
      <c r="D31" s="8"/>
      <c r="E31" s="9"/>
      <c r="F31" s="9"/>
      <c r="G31" s="10" t="str">
        <f aca="false">IF(E31="","",E31-N(F31))</f>
        <v/>
      </c>
      <c r="H31" s="11" t="str">
        <f aca="false">IF(OR(D31="",G31=""),"",IF(G31&lt;=0,0,MAX(0,$C$4-D31)))</f>
        <v/>
      </c>
      <c r="I31" s="12" t="str">
        <f aca="false">IF(H31="","",IF(G31&lt;=0,"Paid",IF(H31=0,"Current",IF(H31&lt;=30,"1-30 days",IF(H31&lt;=60,"31-60 days",IF(H31&lt;=90,"61-90 days","90+ days"))))))</f>
        <v/>
      </c>
      <c r="J31" s="13" t="str">
        <f aca="false">IF(OR(D31="",G31&lt;=0),"",D31+7)</f>
        <v/>
      </c>
      <c r="K31" s="12" t="str">
        <f aca="false">IF(E31="","",IF(G31&lt;=0,"Settled",IF($C$4&gt;J31,"Chase now","Awaiting")))</f>
        <v/>
      </c>
      <c r="L31" s="7"/>
    </row>
    <row r="32" customFormat="false" ht="15" hidden="false" customHeight="false" outlineLevel="0" collapsed="false">
      <c r="A32" s="14"/>
      <c r="B32" s="14"/>
      <c r="C32" s="15"/>
      <c r="D32" s="15"/>
      <c r="E32" s="16"/>
      <c r="F32" s="16"/>
      <c r="G32" s="17" t="str">
        <f aca="false">IF(E32="","",E32-N(F32))</f>
        <v/>
      </c>
      <c r="H32" s="18" t="str">
        <f aca="false">IF(OR(D32="",G32=""),"",IF(G32&lt;=0,0,MAX(0,$C$4-D32)))</f>
        <v/>
      </c>
      <c r="I32" s="19" t="str">
        <f aca="false">IF(H32="","",IF(G32&lt;=0,"Paid",IF(H32=0,"Current",IF(H32&lt;=30,"1-30 days",IF(H32&lt;=60,"31-60 days",IF(H32&lt;=90,"61-90 days","90+ days"))))))</f>
        <v/>
      </c>
      <c r="J32" s="20" t="str">
        <f aca="false">IF(OR(D32="",G32&lt;=0),"",D32+7)</f>
        <v/>
      </c>
      <c r="K32" s="19" t="str">
        <f aca="false">IF(E32="","",IF(G32&lt;=0,"Settled",IF($C$4&gt;J32,"Chase now","Awaiting")))</f>
        <v/>
      </c>
      <c r="L32" s="14"/>
    </row>
    <row r="33" customFormat="false" ht="15" hidden="false" customHeight="false" outlineLevel="0" collapsed="false">
      <c r="A33" s="7"/>
      <c r="B33" s="7"/>
      <c r="C33" s="8"/>
      <c r="D33" s="8"/>
      <c r="E33" s="9"/>
      <c r="F33" s="9"/>
      <c r="G33" s="10" t="str">
        <f aca="false">IF(E33="","",E33-N(F33))</f>
        <v/>
      </c>
      <c r="H33" s="11" t="str">
        <f aca="false">IF(OR(D33="",G33=""),"",IF(G33&lt;=0,0,MAX(0,$C$4-D33)))</f>
        <v/>
      </c>
      <c r="I33" s="12" t="str">
        <f aca="false">IF(H33="","",IF(G33&lt;=0,"Paid",IF(H33=0,"Current",IF(H33&lt;=30,"1-30 days",IF(H33&lt;=60,"31-60 days",IF(H33&lt;=90,"61-90 days","90+ days"))))))</f>
        <v/>
      </c>
      <c r="J33" s="13" t="str">
        <f aca="false">IF(OR(D33="",G33&lt;=0),"",D33+7)</f>
        <v/>
      </c>
      <c r="K33" s="12" t="str">
        <f aca="false">IF(E33="","",IF(G33&lt;=0,"Settled",IF($C$4&gt;J33,"Chase now","Awaiting")))</f>
        <v/>
      </c>
      <c r="L33" s="7"/>
    </row>
    <row r="34" customFormat="false" ht="15" hidden="false" customHeight="false" outlineLevel="0" collapsed="false">
      <c r="A34" s="14"/>
      <c r="B34" s="14"/>
      <c r="C34" s="15"/>
      <c r="D34" s="15"/>
      <c r="E34" s="16"/>
      <c r="F34" s="16"/>
      <c r="G34" s="17" t="str">
        <f aca="false">IF(E34="","",E34-N(F34))</f>
        <v/>
      </c>
      <c r="H34" s="18" t="str">
        <f aca="false">IF(OR(D34="",G34=""),"",IF(G34&lt;=0,0,MAX(0,$C$4-D34)))</f>
        <v/>
      </c>
      <c r="I34" s="19" t="str">
        <f aca="false">IF(H34="","",IF(G34&lt;=0,"Paid",IF(H34=0,"Current",IF(H34&lt;=30,"1-30 days",IF(H34&lt;=60,"31-60 days",IF(H34&lt;=90,"61-90 days","90+ days"))))))</f>
        <v/>
      </c>
      <c r="J34" s="20" t="str">
        <f aca="false">IF(OR(D34="",G34&lt;=0),"",D34+7)</f>
        <v/>
      </c>
      <c r="K34" s="19" t="str">
        <f aca="false">IF(E34="","",IF(G34&lt;=0,"Settled",IF($C$4&gt;J34,"Chase now","Awaiting")))</f>
        <v/>
      </c>
      <c r="L34" s="14"/>
    </row>
    <row r="35" customFormat="false" ht="15" hidden="false" customHeight="false" outlineLevel="0" collapsed="false">
      <c r="A35" s="7"/>
      <c r="B35" s="7"/>
      <c r="C35" s="8"/>
      <c r="D35" s="8"/>
      <c r="E35" s="9"/>
      <c r="F35" s="9"/>
      <c r="G35" s="10" t="str">
        <f aca="false">IF(E35="","",E35-N(F35))</f>
        <v/>
      </c>
      <c r="H35" s="11" t="str">
        <f aca="false">IF(OR(D35="",G35=""),"",IF(G35&lt;=0,0,MAX(0,$C$4-D35)))</f>
        <v/>
      </c>
      <c r="I35" s="12" t="str">
        <f aca="false">IF(H35="","",IF(G35&lt;=0,"Paid",IF(H35=0,"Current",IF(H35&lt;=30,"1-30 days",IF(H35&lt;=60,"31-60 days",IF(H35&lt;=90,"61-90 days","90+ days"))))))</f>
        <v/>
      </c>
      <c r="J35" s="13" t="str">
        <f aca="false">IF(OR(D35="",G35&lt;=0),"",D35+7)</f>
        <v/>
      </c>
      <c r="K35" s="12" t="str">
        <f aca="false">IF(E35="","",IF(G35&lt;=0,"Settled",IF($C$4&gt;J35,"Chase now","Awaiting")))</f>
        <v/>
      </c>
      <c r="L35" s="7"/>
    </row>
    <row r="36" customFormat="false" ht="15" hidden="false" customHeight="false" outlineLevel="0" collapsed="false">
      <c r="A36" s="14"/>
      <c r="B36" s="14"/>
      <c r="C36" s="15"/>
      <c r="D36" s="15"/>
      <c r="E36" s="16"/>
      <c r="F36" s="16"/>
      <c r="G36" s="17" t="str">
        <f aca="false">IF(E36="","",E36-N(F36))</f>
        <v/>
      </c>
      <c r="H36" s="18" t="str">
        <f aca="false">IF(OR(D36="",G36=""),"",IF(G36&lt;=0,0,MAX(0,$C$4-D36)))</f>
        <v/>
      </c>
      <c r="I36" s="19" t="str">
        <f aca="false">IF(H36="","",IF(G36&lt;=0,"Paid",IF(H36=0,"Current",IF(H36&lt;=30,"1-30 days",IF(H36&lt;=60,"31-60 days",IF(H36&lt;=90,"61-90 days","90+ days"))))))</f>
        <v/>
      </c>
      <c r="J36" s="20" t="str">
        <f aca="false">IF(OR(D36="",G36&lt;=0),"",D36+7)</f>
        <v/>
      </c>
      <c r="K36" s="19" t="str">
        <f aca="false">IF(E36="","",IF(G36&lt;=0,"Settled",IF($C$4&gt;J36,"Chase now","Awaiting")))</f>
        <v/>
      </c>
      <c r="L36" s="14"/>
    </row>
    <row r="37" customFormat="false" ht="15" hidden="false" customHeight="false" outlineLevel="0" collapsed="false">
      <c r="A37" s="7"/>
      <c r="B37" s="7"/>
      <c r="C37" s="8"/>
      <c r="D37" s="8"/>
      <c r="E37" s="9"/>
      <c r="F37" s="9"/>
      <c r="G37" s="10" t="str">
        <f aca="false">IF(E37="","",E37-N(F37))</f>
        <v/>
      </c>
      <c r="H37" s="11" t="str">
        <f aca="false">IF(OR(D37="",G37=""),"",IF(G37&lt;=0,0,MAX(0,$C$4-D37)))</f>
        <v/>
      </c>
      <c r="I37" s="12" t="str">
        <f aca="false">IF(H37="","",IF(G37&lt;=0,"Paid",IF(H37=0,"Current",IF(H37&lt;=30,"1-30 days",IF(H37&lt;=60,"31-60 days",IF(H37&lt;=90,"61-90 days","90+ days"))))))</f>
        <v/>
      </c>
      <c r="J37" s="13" t="str">
        <f aca="false">IF(OR(D37="",G37&lt;=0),"",D37+7)</f>
        <v/>
      </c>
      <c r="K37" s="12" t="str">
        <f aca="false">IF(E37="","",IF(G37&lt;=0,"Settled",IF($C$4&gt;J37,"Chase now","Awaiting")))</f>
        <v/>
      </c>
      <c r="L37" s="7"/>
    </row>
    <row r="38" customFormat="false" ht="15" hidden="false" customHeight="false" outlineLevel="0" collapsed="false">
      <c r="A38" s="14"/>
      <c r="B38" s="14"/>
      <c r="C38" s="15"/>
      <c r="D38" s="15"/>
      <c r="E38" s="16"/>
      <c r="F38" s="16"/>
      <c r="G38" s="17" t="str">
        <f aca="false">IF(E38="","",E38-N(F38))</f>
        <v/>
      </c>
      <c r="H38" s="18" t="str">
        <f aca="false">IF(OR(D38="",G38=""),"",IF(G38&lt;=0,0,MAX(0,$C$4-D38)))</f>
        <v/>
      </c>
      <c r="I38" s="19" t="str">
        <f aca="false">IF(H38="","",IF(G38&lt;=0,"Paid",IF(H38=0,"Current",IF(H38&lt;=30,"1-30 days",IF(H38&lt;=60,"31-60 days",IF(H38&lt;=90,"61-90 days","90+ days"))))))</f>
        <v/>
      </c>
      <c r="J38" s="20" t="str">
        <f aca="false">IF(OR(D38="",G38&lt;=0),"",D38+7)</f>
        <v/>
      </c>
      <c r="K38" s="19" t="str">
        <f aca="false">IF(E38="","",IF(G38&lt;=0,"Settled",IF($C$4&gt;J38,"Chase now","Awaiting")))</f>
        <v/>
      </c>
      <c r="L38" s="14"/>
    </row>
    <row r="39" customFormat="false" ht="15" hidden="false" customHeight="false" outlineLevel="0" collapsed="false">
      <c r="A39" s="7"/>
      <c r="B39" s="7"/>
      <c r="C39" s="8"/>
      <c r="D39" s="8"/>
      <c r="E39" s="9"/>
      <c r="F39" s="9"/>
      <c r="G39" s="10" t="str">
        <f aca="false">IF(E39="","",E39-N(F39))</f>
        <v/>
      </c>
      <c r="H39" s="11" t="str">
        <f aca="false">IF(OR(D39="",G39=""),"",IF(G39&lt;=0,0,MAX(0,$C$4-D39)))</f>
        <v/>
      </c>
      <c r="I39" s="12" t="str">
        <f aca="false">IF(H39="","",IF(G39&lt;=0,"Paid",IF(H39=0,"Current",IF(H39&lt;=30,"1-30 days",IF(H39&lt;=60,"31-60 days",IF(H39&lt;=90,"61-90 days","90+ days"))))))</f>
        <v/>
      </c>
      <c r="J39" s="13" t="str">
        <f aca="false">IF(OR(D39="",G39&lt;=0),"",D39+7)</f>
        <v/>
      </c>
      <c r="K39" s="12" t="str">
        <f aca="false">IF(E39="","",IF(G39&lt;=0,"Settled",IF($C$4&gt;J39,"Chase now","Awaiting")))</f>
        <v/>
      </c>
      <c r="L39" s="7"/>
    </row>
    <row r="40" customFormat="false" ht="15" hidden="false" customHeight="false" outlineLevel="0" collapsed="false">
      <c r="A40" s="14"/>
      <c r="B40" s="14"/>
      <c r="C40" s="15"/>
      <c r="D40" s="15"/>
      <c r="E40" s="16"/>
      <c r="F40" s="16"/>
      <c r="G40" s="17" t="str">
        <f aca="false">IF(E40="","",E40-N(F40))</f>
        <v/>
      </c>
      <c r="H40" s="18" t="str">
        <f aca="false">IF(OR(D40="",G40=""),"",IF(G40&lt;=0,0,MAX(0,$C$4-D40)))</f>
        <v/>
      </c>
      <c r="I40" s="19" t="str">
        <f aca="false">IF(H40="","",IF(G40&lt;=0,"Paid",IF(H40=0,"Current",IF(H40&lt;=30,"1-30 days",IF(H40&lt;=60,"31-60 days",IF(H40&lt;=90,"61-90 days","90+ days"))))))</f>
        <v/>
      </c>
      <c r="J40" s="20" t="str">
        <f aca="false">IF(OR(D40="",G40&lt;=0),"",D40+7)</f>
        <v/>
      </c>
      <c r="K40" s="19" t="str">
        <f aca="false">IF(E40="","",IF(G40&lt;=0,"Settled",IF($C$4&gt;J40,"Chase now","Awaiting")))</f>
        <v/>
      </c>
      <c r="L40" s="14"/>
    </row>
    <row r="41" customFormat="false" ht="15" hidden="false" customHeight="false" outlineLevel="0" collapsed="false">
      <c r="A41" s="7"/>
      <c r="B41" s="7"/>
      <c r="C41" s="8"/>
      <c r="D41" s="8"/>
      <c r="E41" s="9"/>
      <c r="F41" s="9"/>
      <c r="G41" s="10" t="str">
        <f aca="false">IF(E41="","",E41-N(F41))</f>
        <v/>
      </c>
      <c r="H41" s="11" t="str">
        <f aca="false">IF(OR(D41="",G41=""),"",IF(G41&lt;=0,0,MAX(0,$C$4-D41)))</f>
        <v/>
      </c>
      <c r="I41" s="12" t="str">
        <f aca="false">IF(H41="","",IF(G41&lt;=0,"Paid",IF(H41=0,"Current",IF(H41&lt;=30,"1-30 days",IF(H41&lt;=60,"31-60 days",IF(H41&lt;=90,"61-90 days","90+ days"))))))</f>
        <v/>
      </c>
      <c r="J41" s="13" t="str">
        <f aca="false">IF(OR(D41="",G41&lt;=0),"",D41+7)</f>
        <v/>
      </c>
      <c r="K41" s="12" t="str">
        <f aca="false">IF(E41="","",IF(G41&lt;=0,"Settled",IF($C$4&gt;J41,"Chase now","Awaiting")))</f>
        <v/>
      </c>
      <c r="L41" s="7"/>
    </row>
    <row r="42" customFormat="false" ht="15" hidden="false" customHeight="false" outlineLevel="0" collapsed="false">
      <c r="A42" s="14"/>
      <c r="B42" s="14"/>
      <c r="C42" s="15"/>
      <c r="D42" s="15"/>
      <c r="E42" s="16"/>
      <c r="F42" s="16"/>
      <c r="G42" s="17" t="str">
        <f aca="false">IF(E42="","",E42-N(F42))</f>
        <v/>
      </c>
      <c r="H42" s="18" t="str">
        <f aca="false">IF(OR(D42="",G42=""),"",IF(G42&lt;=0,0,MAX(0,$C$4-D42)))</f>
        <v/>
      </c>
      <c r="I42" s="19" t="str">
        <f aca="false">IF(H42="","",IF(G42&lt;=0,"Paid",IF(H42=0,"Current",IF(H42&lt;=30,"1-30 days",IF(H42&lt;=60,"31-60 days",IF(H42&lt;=90,"61-90 days","90+ days"))))))</f>
        <v/>
      </c>
      <c r="J42" s="20" t="str">
        <f aca="false">IF(OR(D42="",G42&lt;=0),"",D42+7)</f>
        <v/>
      </c>
      <c r="K42" s="19" t="str">
        <f aca="false">IF(E42="","",IF(G42&lt;=0,"Settled",IF($C$4&gt;J42,"Chase now","Awaiting")))</f>
        <v/>
      </c>
      <c r="L42" s="14"/>
    </row>
    <row r="43" customFormat="false" ht="15" hidden="false" customHeight="false" outlineLevel="0" collapsed="false">
      <c r="A43" s="7"/>
      <c r="B43" s="7"/>
      <c r="C43" s="8"/>
      <c r="D43" s="8"/>
      <c r="E43" s="9"/>
      <c r="F43" s="9"/>
      <c r="G43" s="10" t="str">
        <f aca="false">IF(E43="","",E43-N(F43))</f>
        <v/>
      </c>
      <c r="H43" s="11" t="str">
        <f aca="false">IF(OR(D43="",G43=""),"",IF(G43&lt;=0,0,MAX(0,$C$4-D43)))</f>
        <v/>
      </c>
      <c r="I43" s="12" t="str">
        <f aca="false">IF(H43="","",IF(G43&lt;=0,"Paid",IF(H43=0,"Current",IF(H43&lt;=30,"1-30 days",IF(H43&lt;=60,"31-60 days",IF(H43&lt;=90,"61-90 days","90+ days"))))))</f>
        <v/>
      </c>
      <c r="J43" s="13" t="str">
        <f aca="false">IF(OR(D43="",G43&lt;=0),"",D43+7)</f>
        <v/>
      </c>
      <c r="K43" s="12" t="str">
        <f aca="false">IF(E43="","",IF(G43&lt;=0,"Settled",IF($C$4&gt;J43,"Chase now","Awaiting")))</f>
        <v/>
      </c>
      <c r="L43" s="7"/>
    </row>
    <row r="44" customFormat="false" ht="15" hidden="false" customHeight="false" outlineLevel="0" collapsed="false">
      <c r="A44" s="14"/>
      <c r="B44" s="14"/>
      <c r="C44" s="15"/>
      <c r="D44" s="15"/>
      <c r="E44" s="16"/>
      <c r="F44" s="16"/>
      <c r="G44" s="17" t="str">
        <f aca="false">IF(E44="","",E44-N(F44))</f>
        <v/>
      </c>
      <c r="H44" s="18" t="str">
        <f aca="false">IF(OR(D44="",G44=""),"",IF(G44&lt;=0,0,MAX(0,$C$4-D44)))</f>
        <v/>
      </c>
      <c r="I44" s="19" t="str">
        <f aca="false">IF(H44="","",IF(G44&lt;=0,"Paid",IF(H44=0,"Current",IF(H44&lt;=30,"1-30 days",IF(H44&lt;=60,"31-60 days",IF(H44&lt;=90,"61-90 days","90+ days"))))))</f>
        <v/>
      </c>
      <c r="J44" s="20" t="str">
        <f aca="false">IF(OR(D44="",G44&lt;=0),"",D44+7)</f>
        <v/>
      </c>
      <c r="K44" s="19" t="str">
        <f aca="false">IF(E44="","",IF(G44&lt;=0,"Settled",IF($C$4&gt;J44,"Chase now","Awaiting")))</f>
        <v/>
      </c>
      <c r="L44" s="14"/>
    </row>
    <row r="45" customFormat="false" ht="15" hidden="false" customHeight="false" outlineLevel="0" collapsed="false">
      <c r="A45" s="7"/>
      <c r="B45" s="7"/>
      <c r="C45" s="8"/>
      <c r="D45" s="8"/>
      <c r="E45" s="9"/>
      <c r="F45" s="9"/>
      <c r="G45" s="10" t="str">
        <f aca="false">IF(E45="","",E45-N(F45))</f>
        <v/>
      </c>
      <c r="H45" s="11" t="str">
        <f aca="false">IF(OR(D45="",G45=""),"",IF(G45&lt;=0,0,MAX(0,$C$4-D45)))</f>
        <v/>
      </c>
      <c r="I45" s="12" t="str">
        <f aca="false">IF(H45="","",IF(G45&lt;=0,"Paid",IF(H45=0,"Current",IF(H45&lt;=30,"1-30 days",IF(H45&lt;=60,"31-60 days",IF(H45&lt;=90,"61-90 days","90+ days"))))))</f>
        <v/>
      </c>
      <c r="J45" s="13" t="str">
        <f aca="false">IF(OR(D45="",G45&lt;=0),"",D45+7)</f>
        <v/>
      </c>
      <c r="K45" s="12" t="str">
        <f aca="false">IF(E45="","",IF(G45&lt;=0,"Settled",IF($C$4&gt;J45,"Chase now","Awaiting")))</f>
        <v/>
      </c>
      <c r="L45" s="7"/>
    </row>
    <row r="46" customFormat="false" ht="15" hidden="false" customHeight="false" outlineLevel="0" collapsed="false">
      <c r="A46" s="14"/>
      <c r="B46" s="14"/>
      <c r="C46" s="15"/>
      <c r="D46" s="15"/>
      <c r="E46" s="16"/>
      <c r="F46" s="16"/>
      <c r="G46" s="17" t="str">
        <f aca="false">IF(E46="","",E46-N(F46))</f>
        <v/>
      </c>
      <c r="H46" s="18" t="str">
        <f aca="false">IF(OR(D46="",G46=""),"",IF(G46&lt;=0,0,MAX(0,$C$4-D46)))</f>
        <v/>
      </c>
      <c r="I46" s="19" t="str">
        <f aca="false">IF(H46="","",IF(G46&lt;=0,"Paid",IF(H46=0,"Current",IF(H46&lt;=30,"1-30 days",IF(H46&lt;=60,"31-60 days",IF(H46&lt;=90,"61-90 days","90+ days"))))))</f>
        <v/>
      </c>
      <c r="J46" s="20" t="str">
        <f aca="false">IF(OR(D46="",G46&lt;=0),"",D46+7)</f>
        <v/>
      </c>
      <c r="K46" s="19" t="str">
        <f aca="false">IF(E46="","",IF(G46&lt;=0,"Settled",IF($C$4&gt;J46,"Chase now","Awaiting")))</f>
        <v/>
      </c>
      <c r="L46" s="14"/>
    </row>
    <row r="47" customFormat="false" ht="15" hidden="false" customHeight="false" outlineLevel="0" collapsed="false">
      <c r="A47" s="7"/>
      <c r="B47" s="7"/>
      <c r="C47" s="8"/>
      <c r="D47" s="8"/>
      <c r="E47" s="9"/>
      <c r="F47" s="9"/>
      <c r="G47" s="10" t="str">
        <f aca="false">IF(E47="","",E47-N(F47))</f>
        <v/>
      </c>
      <c r="H47" s="11" t="str">
        <f aca="false">IF(OR(D47="",G47=""),"",IF(G47&lt;=0,0,MAX(0,$C$4-D47)))</f>
        <v/>
      </c>
      <c r="I47" s="12" t="str">
        <f aca="false">IF(H47="","",IF(G47&lt;=0,"Paid",IF(H47=0,"Current",IF(H47&lt;=30,"1-30 days",IF(H47&lt;=60,"31-60 days",IF(H47&lt;=90,"61-90 days","90+ days"))))))</f>
        <v/>
      </c>
      <c r="J47" s="13" t="str">
        <f aca="false">IF(OR(D47="",G47&lt;=0),"",D47+7)</f>
        <v/>
      </c>
      <c r="K47" s="12" t="str">
        <f aca="false">IF(E47="","",IF(G47&lt;=0,"Settled",IF($C$4&gt;J47,"Chase now","Awaiting")))</f>
        <v/>
      </c>
      <c r="L47" s="7"/>
    </row>
    <row r="48" customFormat="false" ht="15" hidden="false" customHeight="false" outlineLevel="0" collapsed="false">
      <c r="A48" s="14"/>
      <c r="B48" s="14"/>
      <c r="C48" s="15"/>
      <c r="D48" s="15"/>
      <c r="E48" s="16"/>
      <c r="F48" s="16"/>
      <c r="G48" s="17" t="str">
        <f aca="false">IF(E48="","",E48-N(F48))</f>
        <v/>
      </c>
      <c r="H48" s="18" t="str">
        <f aca="false">IF(OR(D48="",G48=""),"",IF(G48&lt;=0,0,MAX(0,$C$4-D48)))</f>
        <v/>
      </c>
      <c r="I48" s="19" t="str">
        <f aca="false">IF(H48="","",IF(G48&lt;=0,"Paid",IF(H48=0,"Current",IF(H48&lt;=30,"1-30 days",IF(H48&lt;=60,"31-60 days",IF(H48&lt;=90,"61-90 days","90+ days"))))))</f>
        <v/>
      </c>
      <c r="J48" s="20" t="str">
        <f aca="false">IF(OR(D48="",G48&lt;=0),"",D48+7)</f>
        <v/>
      </c>
      <c r="K48" s="19" t="str">
        <f aca="false">IF(E48="","",IF(G48&lt;=0,"Settled",IF($C$4&gt;J48,"Chase now","Awaiting")))</f>
        <v/>
      </c>
      <c r="L48" s="14"/>
    </row>
    <row r="49" customFormat="false" ht="15" hidden="false" customHeight="false" outlineLevel="0" collapsed="false">
      <c r="A49" s="7"/>
      <c r="B49" s="7"/>
      <c r="C49" s="8"/>
      <c r="D49" s="8"/>
      <c r="E49" s="9"/>
      <c r="F49" s="9"/>
      <c r="G49" s="10" t="str">
        <f aca="false">IF(E49="","",E49-N(F49))</f>
        <v/>
      </c>
      <c r="H49" s="11" t="str">
        <f aca="false">IF(OR(D49="",G49=""),"",IF(G49&lt;=0,0,MAX(0,$C$4-D49)))</f>
        <v/>
      </c>
      <c r="I49" s="12" t="str">
        <f aca="false">IF(H49="","",IF(G49&lt;=0,"Paid",IF(H49=0,"Current",IF(H49&lt;=30,"1-30 days",IF(H49&lt;=60,"31-60 days",IF(H49&lt;=90,"61-90 days","90+ days"))))))</f>
        <v/>
      </c>
      <c r="J49" s="13" t="str">
        <f aca="false">IF(OR(D49="",G49&lt;=0),"",D49+7)</f>
        <v/>
      </c>
      <c r="K49" s="12" t="str">
        <f aca="false">IF(E49="","",IF(G49&lt;=0,"Settled",IF($C$4&gt;J49,"Chase now","Awaiting")))</f>
        <v/>
      </c>
      <c r="L49" s="7"/>
    </row>
    <row r="50" customFormat="false" ht="15" hidden="false" customHeight="false" outlineLevel="0" collapsed="false">
      <c r="A50" s="14"/>
      <c r="B50" s="14"/>
      <c r="C50" s="15"/>
      <c r="D50" s="15"/>
      <c r="E50" s="16"/>
      <c r="F50" s="16"/>
      <c r="G50" s="17" t="str">
        <f aca="false">IF(E50="","",E50-N(F50))</f>
        <v/>
      </c>
      <c r="H50" s="18" t="str">
        <f aca="false">IF(OR(D50="",G50=""),"",IF(G50&lt;=0,0,MAX(0,$C$4-D50)))</f>
        <v/>
      </c>
      <c r="I50" s="19" t="str">
        <f aca="false">IF(H50="","",IF(G50&lt;=0,"Paid",IF(H50=0,"Current",IF(H50&lt;=30,"1-30 days",IF(H50&lt;=60,"31-60 days",IF(H50&lt;=90,"61-90 days","90+ days"))))))</f>
        <v/>
      </c>
      <c r="J50" s="20" t="str">
        <f aca="false">IF(OR(D50="",G50&lt;=0),"",D50+7)</f>
        <v/>
      </c>
      <c r="K50" s="19" t="str">
        <f aca="false">IF(E50="","",IF(G50&lt;=0,"Settled",IF($C$4&gt;J50,"Chase now","Awaiting")))</f>
        <v/>
      </c>
      <c r="L50" s="14"/>
    </row>
    <row r="51" customFormat="false" ht="15" hidden="false" customHeight="false" outlineLevel="0" collapsed="false">
      <c r="A51" s="7"/>
      <c r="B51" s="7"/>
      <c r="C51" s="8"/>
      <c r="D51" s="8"/>
      <c r="E51" s="9"/>
      <c r="F51" s="9"/>
      <c r="G51" s="10" t="str">
        <f aca="false">IF(E51="","",E51-N(F51))</f>
        <v/>
      </c>
      <c r="H51" s="11" t="str">
        <f aca="false">IF(OR(D51="",G51=""),"",IF(G51&lt;=0,0,MAX(0,$C$4-D51)))</f>
        <v/>
      </c>
      <c r="I51" s="12" t="str">
        <f aca="false">IF(H51="","",IF(G51&lt;=0,"Paid",IF(H51=0,"Current",IF(H51&lt;=30,"1-30 days",IF(H51&lt;=60,"31-60 days",IF(H51&lt;=90,"61-90 days","90+ days"))))))</f>
        <v/>
      </c>
      <c r="J51" s="13" t="str">
        <f aca="false">IF(OR(D51="",G51&lt;=0),"",D51+7)</f>
        <v/>
      </c>
      <c r="K51" s="12" t="str">
        <f aca="false">IF(E51="","",IF(G51&lt;=0,"Settled",IF($C$4&gt;J51,"Chase now","Awaiting")))</f>
        <v/>
      </c>
      <c r="L51" s="7"/>
    </row>
    <row r="52" customFormat="false" ht="15" hidden="false" customHeight="false" outlineLevel="0" collapsed="false">
      <c r="A52" s="14"/>
      <c r="B52" s="14"/>
      <c r="C52" s="15"/>
      <c r="D52" s="15"/>
      <c r="E52" s="16"/>
      <c r="F52" s="16"/>
      <c r="G52" s="17" t="str">
        <f aca="false">IF(E52="","",E52-N(F52))</f>
        <v/>
      </c>
      <c r="H52" s="18" t="str">
        <f aca="false">IF(OR(D52="",G52=""),"",IF(G52&lt;=0,0,MAX(0,$C$4-D52)))</f>
        <v/>
      </c>
      <c r="I52" s="19" t="str">
        <f aca="false">IF(H52="","",IF(G52&lt;=0,"Paid",IF(H52=0,"Current",IF(H52&lt;=30,"1-30 days",IF(H52&lt;=60,"31-60 days",IF(H52&lt;=90,"61-90 days","90+ days"))))))</f>
        <v/>
      </c>
      <c r="J52" s="20" t="str">
        <f aca="false">IF(OR(D52="",G52&lt;=0),"",D52+7)</f>
        <v/>
      </c>
      <c r="K52" s="19" t="str">
        <f aca="false">IF(E52="","",IF(G52&lt;=0,"Settled",IF($C$4&gt;J52,"Chase now","Awaiting")))</f>
        <v/>
      </c>
      <c r="L52" s="14"/>
    </row>
    <row r="53" customFormat="false" ht="15" hidden="false" customHeight="false" outlineLevel="0" collapsed="false">
      <c r="A53" s="7"/>
      <c r="B53" s="7"/>
      <c r="C53" s="8"/>
      <c r="D53" s="8"/>
      <c r="E53" s="9"/>
      <c r="F53" s="9"/>
      <c r="G53" s="10" t="str">
        <f aca="false">IF(E53="","",E53-N(F53))</f>
        <v/>
      </c>
      <c r="H53" s="11" t="str">
        <f aca="false">IF(OR(D53="",G53=""),"",IF(G53&lt;=0,0,MAX(0,$C$4-D53)))</f>
        <v/>
      </c>
      <c r="I53" s="12" t="str">
        <f aca="false">IF(H53="","",IF(G53&lt;=0,"Paid",IF(H53=0,"Current",IF(H53&lt;=30,"1-30 days",IF(H53&lt;=60,"31-60 days",IF(H53&lt;=90,"61-90 days","90+ days"))))))</f>
        <v/>
      </c>
      <c r="J53" s="13" t="str">
        <f aca="false">IF(OR(D53="",G53&lt;=0),"",D53+7)</f>
        <v/>
      </c>
      <c r="K53" s="12" t="str">
        <f aca="false">IF(E53="","",IF(G53&lt;=0,"Settled",IF($C$4&gt;J53,"Chase now","Awaiting")))</f>
        <v/>
      </c>
      <c r="L53" s="7"/>
    </row>
    <row r="54" customFormat="false" ht="15" hidden="false" customHeight="false" outlineLevel="0" collapsed="false">
      <c r="A54" s="14"/>
      <c r="B54" s="14"/>
      <c r="C54" s="15"/>
      <c r="D54" s="15"/>
      <c r="E54" s="16"/>
      <c r="F54" s="16"/>
      <c r="G54" s="17" t="str">
        <f aca="false">IF(E54="","",E54-N(F54))</f>
        <v/>
      </c>
      <c r="H54" s="18" t="str">
        <f aca="false">IF(OR(D54="",G54=""),"",IF(G54&lt;=0,0,MAX(0,$C$4-D54)))</f>
        <v/>
      </c>
      <c r="I54" s="19" t="str">
        <f aca="false">IF(H54="","",IF(G54&lt;=0,"Paid",IF(H54=0,"Current",IF(H54&lt;=30,"1-30 days",IF(H54&lt;=60,"31-60 days",IF(H54&lt;=90,"61-90 days","90+ days"))))))</f>
        <v/>
      </c>
      <c r="J54" s="20" t="str">
        <f aca="false">IF(OR(D54="",G54&lt;=0),"",D54+7)</f>
        <v/>
      </c>
      <c r="K54" s="19" t="str">
        <f aca="false">IF(E54="","",IF(G54&lt;=0,"Settled",IF($C$4&gt;J54,"Chase now","Awaiting")))</f>
        <v/>
      </c>
      <c r="L54" s="14"/>
    </row>
    <row r="55" customFormat="false" ht="15" hidden="false" customHeight="false" outlineLevel="0" collapsed="false">
      <c r="A55" s="7"/>
      <c r="B55" s="7"/>
      <c r="C55" s="8"/>
      <c r="D55" s="8"/>
      <c r="E55" s="9"/>
      <c r="F55" s="9"/>
      <c r="G55" s="10" t="str">
        <f aca="false">IF(E55="","",E55-N(F55))</f>
        <v/>
      </c>
      <c r="H55" s="11" t="str">
        <f aca="false">IF(OR(D55="",G55=""),"",IF(G55&lt;=0,0,MAX(0,$C$4-D55)))</f>
        <v/>
      </c>
      <c r="I55" s="12" t="str">
        <f aca="false">IF(H55="","",IF(G55&lt;=0,"Paid",IF(H55=0,"Current",IF(H55&lt;=30,"1-30 days",IF(H55&lt;=60,"31-60 days",IF(H55&lt;=90,"61-90 days","90+ days"))))))</f>
        <v/>
      </c>
      <c r="J55" s="13" t="str">
        <f aca="false">IF(OR(D55="",G55&lt;=0),"",D55+7)</f>
        <v/>
      </c>
      <c r="K55" s="12" t="str">
        <f aca="false">IF(E55="","",IF(G55&lt;=0,"Settled",IF($C$4&gt;J55,"Chase now","Awaiting")))</f>
        <v/>
      </c>
      <c r="L55" s="7"/>
    </row>
    <row r="56" customFormat="false" ht="15" hidden="false" customHeight="false" outlineLevel="0" collapsed="false">
      <c r="A56" s="14"/>
      <c r="B56" s="14"/>
      <c r="C56" s="15"/>
      <c r="D56" s="15"/>
      <c r="E56" s="16"/>
      <c r="F56" s="16"/>
      <c r="G56" s="17" t="str">
        <f aca="false">IF(E56="","",E56-N(F56))</f>
        <v/>
      </c>
      <c r="H56" s="18" t="str">
        <f aca="false">IF(OR(D56="",G56=""),"",IF(G56&lt;=0,0,MAX(0,$C$4-D56)))</f>
        <v/>
      </c>
      <c r="I56" s="19" t="str">
        <f aca="false">IF(H56="","",IF(G56&lt;=0,"Paid",IF(H56=0,"Current",IF(H56&lt;=30,"1-30 days",IF(H56&lt;=60,"31-60 days",IF(H56&lt;=90,"61-90 days","90+ days"))))))</f>
        <v/>
      </c>
      <c r="J56" s="20" t="str">
        <f aca="false">IF(OR(D56="",G56&lt;=0),"",D56+7)</f>
        <v/>
      </c>
      <c r="K56" s="19" t="str">
        <f aca="false">IF(E56="","",IF(G56&lt;=0,"Settled",IF($C$4&gt;J56,"Chase now","Awaiting")))</f>
        <v/>
      </c>
      <c r="L56" s="14"/>
    </row>
    <row r="57" customFormat="false" ht="15" hidden="false" customHeight="false" outlineLevel="0" collapsed="false">
      <c r="A57" s="7"/>
      <c r="B57" s="7"/>
      <c r="C57" s="8"/>
      <c r="D57" s="8"/>
      <c r="E57" s="9"/>
      <c r="F57" s="9"/>
      <c r="G57" s="10" t="str">
        <f aca="false">IF(E57="","",E57-N(F57))</f>
        <v/>
      </c>
      <c r="H57" s="11" t="str">
        <f aca="false">IF(OR(D57="",G57=""),"",IF(G57&lt;=0,0,MAX(0,$C$4-D57)))</f>
        <v/>
      </c>
      <c r="I57" s="12" t="str">
        <f aca="false">IF(H57="","",IF(G57&lt;=0,"Paid",IF(H57=0,"Current",IF(H57&lt;=30,"1-30 days",IF(H57&lt;=60,"31-60 days",IF(H57&lt;=90,"61-90 days","90+ days"))))))</f>
        <v/>
      </c>
      <c r="J57" s="13" t="str">
        <f aca="false">IF(OR(D57="",G57&lt;=0),"",D57+7)</f>
        <v/>
      </c>
      <c r="K57" s="12" t="str">
        <f aca="false">IF(E57="","",IF(G57&lt;=0,"Settled",IF($C$4&gt;J57,"Chase now","Awaiting")))</f>
        <v/>
      </c>
      <c r="L57" s="7"/>
    </row>
    <row r="58" customFormat="false" ht="15" hidden="false" customHeight="false" outlineLevel="0" collapsed="false">
      <c r="A58" s="14"/>
      <c r="B58" s="14"/>
      <c r="C58" s="15"/>
      <c r="D58" s="15"/>
      <c r="E58" s="16"/>
      <c r="F58" s="16"/>
      <c r="G58" s="17" t="str">
        <f aca="false">IF(E58="","",E58-N(F58))</f>
        <v/>
      </c>
      <c r="H58" s="18" t="str">
        <f aca="false">IF(OR(D58="",G58=""),"",IF(G58&lt;=0,0,MAX(0,$C$4-D58)))</f>
        <v/>
      </c>
      <c r="I58" s="19" t="str">
        <f aca="false">IF(H58="","",IF(G58&lt;=0,"Paid",IF(H58=0,"Current",IF(H58&lt;=30,"1-30 days",IF(H58&lt;=60,"31-60 days",IF(H58&lt;=90,"61-90 days","90+ days"))))))</f>
        <v/>
      </c>
      <c r="J58" s="20" t="str">
        <f aca="false">IF(OR(D58="",G58&lt;=0),"",D58+7)</f>
        <v/>
      </c>
      <c r="K58" s="19" t="str">
        <f aca="false">IF(E58="","",IF(G58&lt;=0,"Settled",IF($C$4&gt;J58,"Chase now","Awaiting")))</f>
        <v/>
      </c>
      <c r="L58" s="14"/>
    </row>
    <row r="59" customFormat="false" ht="15" hidden="false" customHeight="false" outlineLevel="0" collapsed="false">
      <c r="A59" s="7"/>
      <c r="B59" s="7"/>
      <c r="C59" s="8"/>
      <c r="D59" s="8"/>
      <c r="E59" s="9"/>
      <c r="F59" s="9"/>
      <c r="G59" s="10" t="str">
        <f aca="false">IF(E59="","",E59-N(F59))</f>
        <v/>
      </c>
      <c r="H59" s="11" t="str">
        <f aca="false">IF(OR(D59="",G59=""),"",IF(G59&lt;=0,0,MAX(0,$C$4-D59)))</f>
        <v/>
      </c>
      <c r="I59" s="12" t="str">
        <f aca="false">IF(H59="","",IF(G59&lt;=0,"Paid",IF(H59=0,"Current",IF(H59&lt;=30,"1-30 days",IF(H59&lt;=60,"31-60 days",IF(H59&lt;=90,"61-90 days","90+ days"))))))</f>
        <v/>
      </c>
      <c r="J59" s="13" t="str">
        <f aca="false">IF(OR(D59="",G59&lt;=0),"",D59+7)</f>
        <v/>
      </c>
      <c r="K59" s="12" t="str">
        <f aca="false">IF(E59="","",IF(G59&lt;=0,"Settled",IF($C$4&gt;J59,"Chase now","Awaiting")))</f>
        <v/>
      </c>
      <c r="L59" s="7"/>
    </row>
    <row r="60" customFormat="false" ht="15" hidden="false" customHeight="false" outlineLevel="0" collapsed="false">
      <c r="A60" s="14"/>
      <c r="B60" s="14"/>
      <c r="C60" s="15"/>
      <c r="D60" s="15"/>
      <c r="E60" s="16"/>
      <c r="F60" s="16"/>
      <c r="G60" s="17" t="str">
        <f aca="false">IF(E60="","",E60-N(F60))</f>
        <v/>
      </c>
      <c r="H60" s="18" t="str">
        <f aca="false">IF(OR(D60="",G60=""),"",IF(G60&lt;=0,0,MAX(0,$C$4-D60)))</f>
        <v/>
      </c>
      <c r="I60" s="19" t="str">
        <f aca="false">IF(H60="","",IF(G60&lt;=0,"Paid",IF(H60=0,"Current",IF(H60&lt;=30,"1-30 days",IF(H60&lt;=60,"31-60 days",IF(H60&lt;=90,"61-90 days","90+ days"))))))</f>
        <v/>
      </c>
      <c r="J60" s="20" t="str">
        <f aca="false">IF(OR(D60="",G60&lt;=0),"",D60+7)</f>
        <v/>
      </c>
      <c r="K60" s="19" t="str">
        <f aca="false">IF(E60="","",IF(G60&lt;=0,"Settled",IF($C$4&gt;J60,"Chase now","Awaiting")))</f>
        <v/>
      </c>
      <c r="L60" s="14"/>
    </row>
    <row r="61" customFormat="false" ht="15" hidden="false" customHeight="false" outlineLevel="0" collapsed="false">
      <c r="A61" s="7"/>
      <c r="B61" s="7"/>
      <c r="C61" s="8"/>
      <c r="D61" s="8"/>
      <c r="E61" s="9"/>
      <c r="F61" s="9"/>
      <c r="G61" s="10" t="str">
        <f aca="false">IF(E61="","",E61-N(F61))</f>
        <v/>
      </c>
      <c r="H61" s="11" t="str">
        <f aca="false">IF(OR(D61="",G61=""),"",IF(G61&lt;=0,0,MAX(0,$C$4-D61)))</f>
        <v/>
      </c>
      <c r="I61" s="12" t="str">
        <f aca="false">IF(H61="","",IF(G61&lt;=0,"Paid",IF(H61=0,"Current",IF(H61&lt;=30,"1-30 days",IF(H61&lt;=60,"31-60 days",IF(H61&lt;=90,"61-90 days","90+ days"))))))</f>
        <v/>
      </c>
      <c r="J61" s="13" t="str">
        <f aca="false">IF(OR(D61="",G61&lt;=0),"",D61+7)</f>
        <v/>
      </c>
      <c r="K61" s="12" t="str">
        <f aca="false">IF(E61="","",IF(G61&lt;=0,"Settled",IF($C$4&gt;J61,"Chase now","Awaiting")))</f>
        <v/>
      </c>
      <c r="L61" s="7"/>
    </row>
    <row r="62" customFormat="false" ht="15" hidden="false" customHeight="false" outlineLevel="0" collapsed="false">
      <c r="A62" s="14"/>
      <c r="B62" s="14"/>
      <c r="C62" s="15"/>
      <c r="D62" s="15"/>
      <c r="E62" s="16"/>
      <c r="F62" s="16"/>
      <c r="G62" s="17" t="str">
        <f aca="false">IF(E62="","",E62-N(F62))</f>
        <v/>
      </c>
      <c r="H62" s="18" t="str">
        <f aca="false">IF(OR(D62="",G62=""),"",IF(G62&lt;=0,0,MAX(0,$C$4-D62)))</f>
        <v/>
      </c>
      <c r="I62" s="19" t="str">
        <f aca="false">IF(H62="","",IF(G62&lt;=0,"Paid",IF(H62=0,"Current",IF(H62&lt;=30,"1-30 days",IF(H62&lt;=60,"31-60 days",IF(H62&lt;=90,"61-90 days","90+ days"))))))</f>
        <v/>
      </c>
      <c r="J62" s="20" t="str">
        <f aca="false">IF(OR(D62="",G62&lt;=0),"",D62+7)</f>
        <v/>
      </c>
      <c r="K62" s="19" t="str">
        <f aca="false">IF(E62="","",IF(G62&lt;=0,"Settled",IF($C$4&gt;J62,"Chase now","Awaiting")))</f>
        <v/>
      </c>
      <c r="L62" s="14"/>
    </row>
    <row r="63" customFormat="false" ht="15" hidden="false" customHeight="false" outlineLevel="0" collapsed="false">
      <c r="A63" s="7"/>
      <c r="B63" s="7"/>
      <c r="C63" s="8"/>
      <c r="D63" s="8"/>
      <c r="E63" s="9"/>
      <c r="F63" s="9"/>
      <c r="G63" s="10" t="str">
        <f aca="false">IF(E63="","",E63-N(F63))</f>
        <v/>
      </c>
      <c r="H63" s="11" t="str">
        <f aca="false">IF(OR(D63="",G63=""),"",IF(G63&lt;=0,0,MAX(0,$C$4-D63)))</f>
        <v/>
      </c>
      <c r="I63" s="12" t="str">
        <f aca="false">IF(H63="","",IF(G63&lt;=0,"Paid",IF(H63=0,"Current",IF(H63&lt;=30,"1-30 days",IF(H63&lt;=60,"31-60 days",IF(H63&lt;=90,"61-90 days","90+ days"))))))</f>
        <v/>
      </c>
      <c r="J63" s="13" t="str">
        <f aca="false">IF(OR(D63="",G63&lt;=0),"",D63+7)</f>
        <v/>
      </c>
      <c r="K63" s="12" t="str">
        <f aca="false">IF(E63="","",IF(G63&lt;=0,"Settled",IF($C$4&gt;J63,"Chase now","Awaiting")))</f>
        <v/>
      </c>
      <c r="L63" s="7"/>
    </row>
    <row r="64" customFormat="false" ht="15" hidden="false" customHeight="false" outlineLevel="0" collapsed="false">
      <c r="A64" s="14"/>
      <c r="B64" s="14"/>
      <c r="C64" s="15"/>
      <c r="D64" s="15"/>
      <c r="E64" s="16"/>
      <c r="F64" s="16"/>
      <c r="G64" s="17" t="str">
        <f aca="false">IF(E64="","",E64-N(F64))</f>
        <v/>
      </c>
      <c r="H64" s="18" t="str">
        <f aca="false">IF(OR(D64="",G64=""),"",IF(G64&lt;=0,0,MAX(0,$C$4-D64)))</f>
        <v/>
      </c>
      <c r="I64" s="19" t="str">
        <f aca="false">IF(H64="","",IF(G64&lt;=0,"Paid",IF(H64=0,"Current",IF(H64&lt;=30,"1-30 days",IF(H64&lt;=60,"31-60 days",IF(H64&lt;=90,"61-90 days","90+ days"))))))</f>
        <v/>
      </c>
      <c r="J64" s="20" t="str">
        <f aca="false">IF(OR(D64="",G64&lt;=0),"",D64+7)</f>
        <v/>
      </c>
      <c r="K64" s="19" t="str">
        <f aca="false">IF(E64="","",IF(G64&lt;=0,"Settled",IF($C$4&gt;J64,"Chase now","Awaiting")))</f>
        <v/>
      </c>
      <c r="L64" s="14"/>
    </row>
    <row r="65" customFormat="false" ht="15" hidden="false" customHeight="false" outlineLevel="0" collapsed="false">
      <c r="A65" s="7"/>
      <c r="B65" s="7"/>
      <c r="C65" s="8"/>
      <c r="D65" s="8"/>
      <c r="E65" s="9"/>
      <c r="F65" s="9"/>
      <c r="G65" s="10" t="str">
        <f aca="false">IF(E65="","",E65-N(F65))</f>
        <v/>
      </c>
      <c r="H65" s="11" t="str">
        <f aca="false">IF(OR(D65="",G65=""),"",IF(G65&lt;=0,0,MAX(0,$C$4-D65)))</f>
        <v/>
      </c>
      <c r="I65" s="12" t="str">
        <f aca="false">IF(H65="","",IF(G65&lt;=0,"Paid",IF(H65=0,"Current",IF(H65&lt;=30,"1-30 days",IF(H65&lt;=60,"31-60 days",IF(H65&lt;=90,"61-90 days","90+ days"))))))</f>
        <v/>
      </c>
      <c r="J65" s="13" t="str">
        <f aca="false">IF(OR(D65="",G65&lt;=0),"",D65+7)</f>
        <v/>
      </c>
      <c r="K65" s="12" t="str">
        <f aca="false">IF(E65="","",IF(G65&lt;=0,"Settled",IF($C$4&gt;J65,"Chase now","Awaiting")))</f>
        <v/>
      </c>
      <c r="L65" s="7"/>
    </row>
    <row r="66" customFormat="false" ht="15" hidden="false" customHeight="false" outlineLevel="0" collapsed="false">
      <c r="A66" s="14"/>
      <c r="B66" s="14"/>
      <c r="C66" s="15"/>
      <c r="D66" s="15"/>
      <c r="E66" s="16"/>
      <c r="F66" s="16"/>
      <c r="G66" s="17" t="str">
        <f aca="false">IF(E66="","",E66-N(F66))</f>
        <v/>
      </c>
      <c r="H66" s="18" t="str">
        <f aca="false">IF(OR(D66="",G66=""),"",IF(G66&lt;=0,0,MAX(0,$C$4-D66)))</f>
        <v/>
      </c>
      <c r="I66" s="19" t="str">
        <f aca="false">IF(H66="","",IF(G66&lt;=0,"Paid",IF(H66=0,"Current",IF(H66&lt;=30,"1-30 days",IF(H66&lt;=60,"31-60 days",IF(H66&lt;=90,"61-90 days","90+ days"))))))</f>
        <v/>
      </c>
      <c r="J66" s="20" t="str">
        <f aca="false">IF(OR(D66="",G66&lt;=0),"",D66+7)</f>
        <v/>
      </c>
      <c r="K66" s="19" t="str">
        <f aca="false">IF(E66="","",IF(G66&lt;=0,"Settled",IF($C$4&gt;J66,"Chase now","Awaiting")))</f>
        <v/>
      </c>
      <c r="L66" s="14"/>
    </row>
    <row r="67" customFormat="false" ht="15" hidden="false" customHeight="false" outlineLevel="0" collapsed="false">
      <c r="A67" s="7"/>
      <c r="B67" s="7"/>
      <c r="C67" s="8"/>
      <c r="D67" s="8"/>
      <c r="E67" s="9"/>
      <c r="F67" s="9"/>
      <c r="G67" s="10" t="str">
        <f aca="false">IF(E67="","",E67-N(F67))</f>
        <v/>
      </c>
      <c r="H67" s="11" t="str">
        <f aca="false">IF(OR(D67="",G67=""),"",IF(G67&lt;=0,0,MAX(0,$C$4-D67)))</f>
        <v/>
      </c>
      <c r="I67" s="12" t="str">
        <f aca="false">IF(H67="","",IF(G67&lt;=0,"Paid",IF(H67=0,"Current",IF(H67&lt;=30,"1-30 days",IF(H67&lt;=60,"31-60 days",IF(H67&lt;=90,"61-90 days","90+ days"))))))</f>
        <v/>
      </c>
      <c r="J67" s="13" t="str">
        <f aca="false">IF(OR(D67="",G67&lt;=0),"",D67+7)</f>
        <v/>
      </c>
      <c r="K67" s="12" t="str">
        <f aca="false">IF(E67="","",IF(G67&lt;=0,"Settled",IF($C$4&gt;J67,"Chase now","Awaiting")))</f>
        <v/>
      </c>
      <c r="L67" s="7"/>
    </row>
    <row r="68" customFormat="false" ht="15" hidden="false" customHeight="false" outlineLevel="0" collapsed="false">
      <c r="A68" s="14"/>
      <c r="B68" s="14"/>
      <c r="C68" s="15"/>
      <c r="D68" s="15"/>
      <c r="E68" s="16"/>
      <c r="F68" s="16"/>
      <c r="G68" s="17" t="str">
        <f aca="false">IF(E68="","",E68-N(F68))</f>
        <v/>
      </c>
      <c r="H68" s="18" t="str">
        <f aca="false">IF(OR(D68="",G68=""),"",IF(G68&lt;=0,0,MAX(0,$C$4-D68)))</f>
        <v/>
      </c>
      <c r="I68" s="19" t="str">
        <f aca="false">IF(H68="","",IF(G68&lt;=0,"Paid",IF(H68=0,"Current",IF(H68&lt;=30,"1-30 days",IF(H68&lt;=60,"31-60 days",IF(H68&lt;=90,"61-90 days","90+ days"))))))</f>
        <v/>
      </c>
      <c r="J68" s="20" t="str">
        <f aca="false">IF(OR(D68="",G68&lt;=0),"",D68+7)</f>
        <v/>
      </c>
      <c r="K68" s="19" t="str">
        <f aca="false">IF(E68="","",IF(G68&lt;=0,"Settled",IF($C$4&gt;J68,"Chase now","Awaiting")))</f>
        <v/>
      </c>
      <c r="L68" s="14"/>
    </row>
    <row r="69" customFormat="false" ht="15" hidden="false" customHeight="false" outlineLevel="0" collapsed="false">
      <c r="A69" s="7"/>
      <c r="B69" s="7"/>
      <c r="C69" s="8"/>
      <c r="D69" s="8"/>
      <c r="E69" s="9"/>
      <c r="F69" s="9"/>
      <c r="G69" s="10" t="str">
        <f aca="false">IF(E69="","",E69-N(F69))</f>
        <v/>
      </c>
      <c r="H69" s="11" t="str">
        <f aca="false">IF(OR(D69="",G69=""),"",IF(G69&lt;=0,0,MAX(0,$C$4-D69)))</f>
        <v/>
      </c>
      <c r="I69" s="12" t="str">
        <f aca="false">IF(H69="","",IF(G69&lt;=0,"Paid",IF(H69=0,"Current",IF(H69&lt;=30,"1-30 days",IF(H69&lt;=60,"31-60 days",IF(H69&lt;=90,"61-90 days","90+ days"))))))</f>
        <v/>
      </c>
      <c r="J69" s="13" t="str">
        <f aca="false">IF(OR(D69="",G69&lt;=0),"",D69+7)</f>
        <v/>
      </c>
      <c r="K69" s="12" t="str">
        <f aca="false">IF(E69="","",IF(G69&lt;=0,"Settled",IF($C$4&gt;J69,"Chase now","Awaiting")))</f>
        <v/>
      </c>
      <c r="L69" s="7"/>
    </row>
    <row r="70" customFormat="false" ht="15" hidden="false" customHeight="false" outlineLevel="0" collapsed="false">
      <c r="A70" s="14"/>
      <c r="B70" s="14"/>
      <c r="C70" s="15"/>
      <c r="D70" s="15"/>
      <c r="E70" s="16"/>
      <c r="F70" s="16"/>
      <c r="G70" s="17" t="str">
        <f aca="false">IF(E70="","",E70-N(F70))</f>
        <v/>
      </c>
      <c r="H70" s="18" t="str">
        <f aca="false">IF(OR(D70="",G70=""),"",IF(G70&lt;=0,0,MAX(0,$C$4-D70)))</f>
        <v/>
      </c>
      <c r="I70" s="19" t="str">
        <f aca="false">IF(H70="","",IF(G70&lt;=0,"Paid",IF(H70=0,"Current",IF(H70&lt;=30,"1-30 days",IF(H70&lt;=60,"31-60 days",IF(H70&lt;=90,"61-90 days","90+ days"))))))</f>
        <v/>
      </c>
      <c r="J70" s="20" t="str">
        <f aca="false">IF(OR(D70="",G70&lt;=0),"",D70+7)</f>
        <v/>
      </c>
      <c r="K70" s="19" t="str">
        <f aca="false">IF(E70="","",IF(G70&lt;=0,"Settled",IF($C$4&gt;J70,"Chase now","Awaiting")))</f>
        <v/>
      </c>
      <c r="L70" s="14"/>
    </row>
    <row r="71" customFormat="false" ht="15" hidden="false" customHeight="false" outlineLevel="0" collapsed="false">
      <c r="A71" s="7"/>
      <c r="B71" s="7"/>
      <c r="C71" s="8"/>
      <c r="D71" s="8"/>
      <c r="E71" s="9"/>
      <c r="F71" s="9"/>
      <c r="G71" s="10" t="str">
        <f aca="false">IF(E71="","",E71-N(F71))</f>
        <v/>
      </c>
      <c r="H71" s="11" t="str">
        <f aca="false">IF(OR(D71="",G71=""),"",IF(G71&lt;=0,0,MAX(0,$C$4-D71)))</f>
        <v/>
      </c>
      <c r="I71" s="12" t="str">
        <f aca="false">IF(H71="","",IF(G71&lt;=0,"Paid",IF(H71=0,"Current",IF(H71&lt;=30,"1-30 days",IF(H71&lt;=60,"31-60 days",IF(H71&lt;=90,"61-90 days","90+ days"))))))</f>
        <v/>
      </c>
      <c r="J71" s="13" t="str">
        <f aca="false">IF(OR(D71="",G71&lt;=0),"",D71+7)</f>
        <v/>
      </c>
      <c r="K71" s="12" t="str">
        <f aca="false">IF(E71="","",IF(G71&lt;=0,"Settled",IF($C$4&gt;J71,"Chase now","Awaiting")))</f>
        <v/>
      </c>
      <c r="L71" s="7"/>
    </row>
    <row r="72" customFormat="false" ht="15" hidden="false" customHeight="false" outlineLevel="0" collapsed="false">
      <c r="A72" s="14"/>
      <c r="B72" s="14"/>
      <c r="C72" s="15"/>
      <c r="D72" s="15"/>
      <c r="E72" s="16"/>
      <c r="F72" s="16"/>
      <c r="G72" s="17" t="str">
        <f aca="false">IF(E72="","",E72-N(F72))</f>
        <v/>
      </c>
      <c r="H72" s="18" t="str">
        <f aca="false">IF(OR(D72="",G72=""),"",IF(G72&lt;=0,0,MAX(0,$C$4-D72)))</f>
        <v/>
      </c>
      <c r="I72" s="19" t="str">
        <f aca="false">IF(H72="","",IF(G72&lt;=0,"Paid",IF(H72=0,"Current",IF(H72&lt;=30,"1-30 days",IF(H72&lt;=60,"31-60 days",IF(H72&lt;=90,"61-90 days","90+ days"))))))</f>
        <v/>
      </c>
      <c r="J72" s="20" t="str">
        <f aca="false">IF(OR(D72="",G72&lt;=0),"",D72+7)</f>
        <v/>
      </c>
      <c r="K72" s="19" t="str">
        <f aca="false">IF(E72="","",IF(G72&lt;=0,"Settled",IF($C$4&gt;J72,"Chase now","Awaiting")))</f>
        <v/>
      </c>
      <c r="L72" s="14"/>
    </row>
    <row r="73" customFormat="false" ht="15" hidden="false" customHeight="false" outlineLevel="0" collapsed="false">
      <c r="A73" s="7"/>
      <c r="B73" s="7"/>
      <c r="C73" s="8"/>
      <c r="D73" s="8"/>
      <c r="E73" s="9"/>
      <c r="F73" s="9"/>
      <c r="G73" s="10" t="str">
        <f aca="false">IF(E73="","",E73-N(F73))</f>
        <v/>
      </c>
      <c r="H73" s="11" t="str">
        <f aca="false">IF(OR(D73="",G73=""),"",IF(G73&lt;=0,0,MAX(0,$C$4-D73)))</f>
        <v/>
      </c>
      <c r="I73" s="12" t="str">
        <f aca="false">IF(H73="","",IF(G73&lt;=0,"Paid",IF(H73=0,"Current",IF(H73&lt;=30,"1-30 days",IF(H73&lt;=60,"31-60 days",IF(H73&lt;=90,"61-90 days","90+ days"))))))</f>
        <v/>
      </c>
      <c r="J73" s="13" t="str">
        <f aca="false">IF(OR(D73="",G73&lt;=0),"",D73+7)</f>
        <v/>
      </c>
      <c r="K73" s="12" t="str">
        <f aca="false">IF(E73="","",IF(G73&lt;=0,"Settled",IF($C$4&gt;J73,"Chase now","Awaiting")))</f>
        <v/>
      </c>
      <c r="L73" s="7"/>
    </row>
    <row r="74" customFormat="false" ht="15" hidden="false" customHeight="false" outlineLevel="0" collapsed="false">
      <c r="A74" s="14"/>
      <c r="B74" s="14"/>
      <c r="C74" s="15"/>
      <c r="D74" s="15"/>
      <c r="E74" s="16"/>
      <c r="F74" s="16"/>
      <c r="G74" s="17" t="str">
        <f aca="false">IF(E74="","",E74-N(F74))</f>
        <v/>
      </c>
      <c r="H74" s="18" t="str">
        <f aca="false">IF(OR(D74="",G74=""),"",IF(G74&lt;=0,0,MAX(0,$C$4-D74)))</f>
        <v/>
      </c>
      <c r="I74" s="19" t="str">
        <f aca="false">IF(H74="","",IF(G74&lt;=0,"Paid",IF(H74=0,"Current",IF(H74&lt;=30,"1-30 days",IF(H74&lt;=60,"31-60 days",IF(H74&lt;=90,"61-90 days","90+ days"))))))</f>
        <v/>
      </c>
      <c r="J74" s="20" t="str">
        <f aca="false">IF(OR(D74="",G74&lt;=0),"",D74+7)</f>
        <v/>
      </c>
      <c r="K74" s="19" t="str">
        <f aca="false">IF(E74="","",IF(G74&lt;=0,"Settled",IF($C$4&gt;J74,"Chase now","Awaiting")))</f>
        <v/>
      </c>
      <c r="L74" s="14"/>
    </row>
    <row r="75" customFormat="false" ht="15" hidden="false" customHeight="false" outlineLevel="0" collapsed="false">
      <c r="A75" s="7"/>
      <c r="B75" s="7"/>
      <c r="C75" s="8"/>
      <c r="D75" s="8"/>
      <c r="E75" s="9"/>
      <c r="F75" s="9"/>
      <c r="G75" s="10" t="str">
        <f aca="false">IF(E75="","",E75-N(F75))</f>
        <v/>
      </c>
      <c r="H75" s="11" t="str">
        <f aca="false">IF(OR(D75="",G75=""),"",IF(G75&lt;=0,0,MAX(0,$C$4-D75)))</f>
        <v/>
      </c>
      <c r="I75" s="12" t="str">
        <f aca="false">IF(H75="","",IF(G75&lt;=0,"Paid",IF(H75=0,"Current",IF(H75&lt;=30,"1-30 days",IF(H75&lt;=60,"31-60 days",IF(H75&lt;=90,"61-90 days","90+ days"))))))</f>
        <v/>
      </c>
      <c r="J75" s="13" t="str">
        <f aca="false">IF(OR(D75="",G75&lt;=0),"",D75+7)</f>
        <v/>
      </c>
      <c r="K75" s="12" t="str">
        <f aca="false">IF(E75="","",IF(G75&lt;=0,"Settled",IF($C$4&gt;J75,"Chase now","Awaiting")))</f>
        <v/>
      </c>
      <c r="L75" s="7"/>
    </row>
    <row r="76" customFormat="false" ht="15" hidden="false" customHeight="false" outlineLevel="0" collapsed="false">
      <c r="A76" s="14"/>
      <c r="B76" s="14"/>
      <c r="C76" s="15"/>
      <c r="D76" s="15"/>
      <c r="E76" s="16"/>
      <c r="F76" s="16"/>
      <c r="G76" s="17" t="str">
        <f aca="false">IF(E76="","",E76-N(F76))</f>
        <v/>
      </c>
      <c r="H76" s="18" t="str">
        <f aca="false">IF(OR(D76="",G76=""),"",IF(G76&lt;=0,0,MAX(0,$C$4-D76)))</f>
        <v/>
      </c>
      <c r="I76" s="19" t="str">
        <f aca="false">IF(H76="","",IF(G76&lt;=0,"Paid",IF(H76=0,"Current",IF(H76&lt;=30,"1-30 days",IF(H76&lt;=60,"31-60 days",IF(H76&lt;=90,"61-90 days","90+ days"))))))</f>
        <v/>
      </c>
      <c r="J76" s="20" t="str">
        <f aca="false">IF(OR(D76="",G76&lt;=0),"",D76+7)</f>
        <v/>
      </c>
      <c r="K76" s="19" t="str">
        <f aca="false">IF(E76="","",IF(G76&lt;=0,"Settled",IF($C$4&gt;J76,"Chase now","Awaiting")))</f>
        <v/>
      </c>
      <c r="L76" s="14"/>
    </row>
    <row r="77" customFormat="false" ht="15" hidden="false" customHeight="false" outlineLevel="0" collapsed="false">
      <c r="A77" s="7"/>
      <c r="B77" s="7"/>
      <c r="C77" s="8"/>
      <c r="D77" s="8"/>
      <c r="E77" s="9"/>
      <c r="F77" s="9"/>
      <c r="G77" s="10" t="str">
        <f aca="false">IF(E77="","",E77-N(F77))</f>
        <v/>
      </c>
      <c r="H77" s="11" t="str">
        <f aca="false">IF(OR(D77="",G77=""),"",IF(G77&lt;=0,0,MAX(0,$C$4-D77)))</f>
        <v/>
      </c>
      <c r="I77" s="12" t="str">
        <f aca="false">IF(H77="","",IF(G77&lt;=0,"Paid",IF(H77=0,"Current",IF(H77&lt;=30,"1-30 days",IF(H77&lt;=60,"31-60 days",IF(H77&lt;=90,"61-90 days","90+ days"))))))</f>
        <v/>
      </c>
      <c r="J77" s="13" t="str">
        <f aca="false">IF(OR(D77="",G77&lt;=0),"",D77+7)</f>
        <v/>
      </c>
      <c r="K77" s="12" t="str">
        <f aca="false">IF(E77="","",IF(G77&lt;=0,"Settled",IF($C$4&gt;J77,"Chase now","Awaiting")))</f>
        <v/>
      </c>
      <c r="L77" s="7"/>
    </row>
    <row r="78" customFormat="false" ht="15" hidden="false" customHeight="false" outlineLevel="0" collapsed="false">
      <c r="A78" s="14"/>
      <c r="B78" s="14"/>
      <c r="C78" s="15"/>
      <c r="D78" s="15"/>
      <c r="E78" s="16"/>
      <c r="F78" s="16"/>
      <c r="G78" s="17" t="str">
        <f aca="false">IF(E78="","",E78-N(F78))</f>
        <v/>
      </c>
      <c r="H78" s="18" t="str">
        <f aca="false">IF(OR(D78="",G78=""),"",IF(G78&lt;=0,0,MAX(0,$C$4-D78)))</f>
        <v/>
      </c>
      <c r="I78" s="19" t="str">
        <f aca="false">IF(H78="","",IF(G78&lt;=0,"Paid",IF(H78=0,"Current",IF(H78&lt;=30,"1-30 days",IF(H78&lt;=60,"31-60 days",IF(H78&lt;=90,"61-90 days","90+ days"))))))</f>
        <v/>
      </c>
      <c r="J78" s="20" t="str">
        <f aca="false">IF(OR(D78="",G78&lt;=0),"",D78+7)</f>
        <v/>
      </c>
      <c r="K78" s="19" t="str">
        <f aca="false">IF(E78="","",IF(G78&lt;=0,"Settled",IF($C$4&gt;J78,"Chase now","Awaiting")))</f>
        <v/>
      </c>
      <c r="L78" s="14"/>
    </row>
    <row r="79" customFormat="false" ht="15" hidden="false" customHeight="false" outlineLevel="0" collapsed="false">
      <c r="A79" s="7"/>
      <c r="B79" s="7"/>
      <c r="C79" s="8"/>
      <c r="D79" s="8"/>
      <c r="E79" s="9"/>
      <c r="F79" s="9"/>
      <c r="G79" s="10" t="str">
        <f aca="false">IF(E79="","",E79-N(F79))</f>
        <v/>
      </c>
      <c r="H79" s="11" t="str">
        <f aca="false">IF(OR(D79="",G79=""),"",IF(G79&lt;=0,0,MAX(0,$C$4-D79)))</f>
        <v/>
      </c>
      <c r="I79" s="12" t="str">
        <f aca="false">IF(H79="","",IF(G79&lt;=0,"Paid",IF(H79=0,"Current",IF(H79&lt;=30,"1-30 days",IF(H79&lt;=60,"31-60 days",IF(H79&lt;=90,"61-90 days","90+ days"))))))</f>
        <v/>
      </c>
      <c r="J79" s="13" t="str">
        <f aca="false">IF(OR(D79="",G79&lt;=0),"",D79+7)</f>
        <v/>
      </c>
      <c r="K79" s="12" t="str">
        <f aca="false">IF(E79="","",IF(G79&lt;=0,"Settled",IF($C$4&gt;J79,"Chase now","Awaiting")))</f>
        <v/>
      </c>
      <c r="L79" s="7"/>
    </row>
    <row r="80" customFormat="false" ht="15" hidden="false" customHeight="false" outlineLevel="0" collapsed="false">
      <c r="A80" s="14"/>
      <c r="B80" s="14"/>
      <c r="C80" s="15"/>
      <c r="D80" s="15"/>
      <c r="E80" s="16"/>
      <c r="F80" s="16"/>
      <c r="G80" s="17" t="str">
        <f aca="false">IF(E80="","",E80-N(F80))</f>
        <v/>
      </c>
      <c r="H80" s="18" t="str">
        <f aca="false">IF(OR(D80="",G80=""),"",IF(G80&lt;=0,0,MAX(0,$C$4-D80)))</f>
        <v/>
      </c>
      <c r="I80" s="19" t="str">
        <f aca="false">IF(H80="","",IF(G80&lt;=0,"Paid",IF(H80=0,"Current",IF(H80&lt;=30,"1-30 days",IF(H80&lt;=60,"31-60 days",IF(H80&lt;=90,"61-90 days","90+ days"))))))</f>
        <v/>
      </c>
      <c r="J80" s="20" t="str">
        <f aca="false">IF(OR(D80="",G80&lt;=0),"",D80+7)</f>
        <v/>
      </c>
      <c r="K80" s="19" t="str">
        <f aca="false">IF(E80="","",IF(G80&lt;=0,"Settled",IF($C$4&gt;J80,"Chase now","Awaiting")))</f>
        <v/>
      </c>
      <c r="L80" s="14"/>
    </row>
    <row r="81" customFormat="false" ht="15" hidden="false" customHeight="false" outlineLevel="0" collapsed="false">
      <c r="A81" s="7"/>
      <c r="B81" s="7"/>
      <c r="C81" s="8"/>
      <c r="D81" s="8"/>
      <c r="E81" s="9"/>
      <c r="F81" s="9"/>
      <c r="G81" s="10" t="str">
        <f aca="false">IF(E81="","",E81-N(F81))</f>
        <v/>
      </c>
      <c r="H81" s="11" t="str">
        <f aca="false">IF(OR(D81="",G81=""),"",IF(G81&lt;=0,0,MAX(0,$C$4-D81)))</f>
        <v/>
      </c>
      <c r="I81" s="12" t="str">
        <f aca="false">IF(H81="","",IF(G81&lt;=0,"Paid",IF(H81=0,"Current",IF(H81&lt;=30,"1-30 days",IF(H81&lt;=60,"31-60 days",IF(H81&lt;=90,"61-90 days","90+ days"))))))</f>
        <v/>
      </c>
      <c r="J81" s="13" t="str">
        <f aca="false">IF(OR(D81="",G81&lt;=0),"",D81+7)</f>
        <v/>
      </c>
      <c r="K81" s="12" t="str">
        <f aca="false">IF(E81="","",IF(G81&lt;=0,"Settled",IF($C$4&gt;J81,"Chase now","Awaiting")))</f>
        <v/>
      </c>
      <c r="L81" s="7"/>
    </row>
    <row r="82" customFormat="false" ht="15" hidden="false" customHeight="false" outlineLevel="0" collapsed="false">
      <c r="A82" s="14"/>
      <c r="B82" s="14"/>
      <c r="C82" s="15"/>
      <c r="D82" s="15"/>
      <c r="E82" s="16"/>
      <c r="F82" s="16"/>
      <c r="G82" s="17" t="str">
        <f aca="false">IF(E82="","",E82-N(F82))</f>
        <v/>
      </c>
      <c r="H82" s="18" t="str">
        <f aca="false">IF(OR(D82="",G82=""),"",IF(G82&lt;=0,0,MAX(0,$C$4-D82)))</f>
        <v/>
      </c>
      <c r="I82" s="19" t="str">
        <f aca="false">IF(H82="","",IF(G82&lt;=0,"Paid",IF(H82=0,"Current",IF(H82&lt;=30,"1-30 days",IF(H82&lt;=60,"31-60 days",IF(H82&lt;=90,"61-90 days","90+ days"))))))</f>
        <v/>
      </c>
      <c r="J82" s="20" t="str">
        <f aca="false">IF(OR(D82="",G82&lt;=0),"",D82+7)</f>
        <v/>
      </c>
      <c r="K82" s="19" t="str">
        <f aca="false">IF(E82="","",IF(G82&lt;=0,"Settled",IF($C$4&gt;J82,"Chase now","Awaiting")))</f>
        <v/>
      </c>
      <c r="L82" s="14"/>
    </row>
    <row r="83" customFormat="false" ht="15" hidden="false" customHeight="false" outlineLevel="0" collapsed="false">
      <c r="A83" s="7"/>
      <c r="B83" s="7"/>
      <c r="C83" s="8"/>
      <c r="D83" s="8"/>
      <c r="E83" s="9"/>
      <c r="F83" s="9"/>
      <c r="G83" s="10" t="str">
        <f aca="false">IF(E83="","",E83-N(F83))</f>
        <v/>
      </c>
      <c r="H83" s="11" t="str">
        <f aca="false">IF(OR(D83="",G83=""),"",IF(G83&lt;=0,0,MAX(0,$C$4-D83)))</f>
        <v/>
      </c>
      <c r="I83" s="12" t="str">
        <f aca="false">IF(H83="","",IF(G83&lt;=0,"Paid",IF(H83=0,"Current",IF(H83&lt;=30,"1-30 days",IF(H83&lt;=60,"31-60 days",IF(H83&lt;=90,"61-90 days","90+ days"))))))</f>
        <v/>
      </c>
      <c r="J83" s="13" t="str">
        <f aca="false">IF(OR(D83="",G83&lt;=0),"",D83+7)</f>
        <v/>
      </c>
      <c r="K83" s="12" t="str">
        <f aca="false">IF(E83="","",IF(G83&lt;=0,"Settled",IF($C$4&gt;J83,"Chase now","Awaiting")))</f>
        <v/>
      </c>
      <c r="L83" s="7"/>
    </row>
    <row r="84" customFormat="false" ht="15" hidden="false" customHeight="false" outlineLevel="0" collapsed="false">
      <c r="A84" s="14"/>
      <c r="B84" s="14"/>
      <c r="C84" s="15"/>
      <c r="D84" s="15"/>
      <c r="E84" s="16"/>
      <c r="F84" s="16"/>
      <c r="G84" s="17" t="str">
        <f aca="false">IF(E84="","",E84-N(F84))</f>
        <v/>
      </c>
      <c r="H84" s="18" t="str">
        <f aca="false">IF(OR(D84="",G84=""),"",IF(G84&lt;=0,0,MAX(0,$C$4-D84)))</f>
        <v/>
      </c>
      <c r="I84" s="19" t="str">
        <f aca="false">IF(H84="","",IF(G84&lt;=0,"Paid",IF(H84=0,"Current",IF(H84&lt;=30,"1-30 days",IF(H84&lt;=60,"31-60 days",IF(H84&lt;=90,"61-90 days","90+ days"))))))</f>
        <v/>
      </c>
      <c r="J84" s="20" t="str">
        <f aca="false">IF(OR(D84="",G84&lt;=0),"",D84+7)</f>
        <v/>
      </c>
      <c r="K84" s="19" t="str">
        <f aca="false">IF(E84="","",IF(G84&lt;=0,"Settled",IF($C$4&gt;J84,"Chase now","Awaiting")))</f>
        <v/>
      </c>
      <c r="L84" s="14"/>
    </row>
    <row r="85" customFormat="false" ht="15" hidden="false" customHeight="false" outlineLevel="0" collapsed="false">
      <c r="A85" s="7"/>
      <c r="B85" s="7"/>
      <c r="C85" s="8"/>
      <c r="D85" s="8"/>
      <c r="E85" s="9"/>
      <c r="F85" s="9"/>
      <c r="G85" s="10" t="str">
        <f aca="false">IF(E85="","",E85-N(F85))</f>
        <v/>
      </c>
      <c r="H85" s="11" t="str">
        <f aca="false">IF(OR(D85="",G85=""),"",IF(G85&lt;=0,0,MAX(0,$C$4-D85)))</f>
        <v/>
      </c>
      <c r="I85" s="12" t="str">
        <f aca="false">IF(H85="","",IF(G85&lt;=0,"Paid",IF(H85=0,"Current",IF(H85&lt;=30,"1-30 days",IF(H85&lt;=60,"31-60 days",IF(H85&lt;=90,"61-90 days","90+ days"))))))</f>
        <v/>
      </c>
      <c r="J85" s="13" t="str">
        <f aca="false">IF(OR(D85="",G85&lt;=0),"",D85+7)</f>
        <v/>
      </c>
      <c r="K85" s="12" t="str">
        <f aca="false">IF(E85="","",IF(G85&lt;=0,"Settled",IF($C$4&gt;J85,"Chase now","Awaiting")))</f>
        <v/>
      </c>
      <c r="L85" s="7"/>
    </row>
    <row r="86" customFormat="false" ht="15" hidden="false" customHeight="false" outlineLevel="0" collapsed="false">
      <c r="A86" s="14"/>
      <c r="B86" s="14"/>
      <c r="C86" s="15"/>
      <c r="D86" s="15"/>
      <c r="E86" s="16"/>
      <c r="F86" s="16"/>
      <c r="G86" s="17" t="str">
        <f aca="false">IF(E86="","",E86-N(F86))</f>
        <v/>
      </c>
      <c r="H86" s="18" t="str">
        <f aca="false">IF(OR(D86="",G86=""),"",IF(G86&lt;=0,0,MAX(0,$C$4-D86)))</f>
        <v/>
      </c>
      <c r="I86" s="19" t="str">
        <f aca="false">IF(H86="","",IF(G86&lt;=0,"Paid",IF(H86=0,"Current",IF(H86&lt;=30,"1-30 days",IF(H86&lt;=60,"31-60 days",IF(H86&lt;=90,"61-90 days","90+ days"))))))</f>
        <v/>
      </c>
      <c r="J86" s="20" t="str">
        <f aca="false">IF(OR(D86="",G86&lt;=0),"",D86+7)</f>
        <v/>
      </c>
      <c r="K86" s="19" t="str">
        <f aca="false">IF(E86="","",IF(G86&lt;=0,"Settled",IF($C$4&gt;J86,"Chase now","Awaiting")))</f>
        <v/>
      </c>
      <c r="L86" s="14"/>
    </row>
    <row r="87" customFormat="false" ht="15" hidden="false" customHeight="false" outlineLevel="0" collapsed="false">
      <c r="A87" s="7"/>
      <c r="B87" s="7"/>
      <c r="C87" s="8"/>
      <c r="D87" s="8"/>
      <c r="E87" s="9"/>
      <c r="F87" s="9"/>
      <c r="G87" s="10" t="str">
        <f aca="false">IF(E87="","",E87-N(F87))</f>
        <v/>
      </c>
      <c r="H87" s="11" t="str">
        <f aca="false">IF(OR(D87="",G87=""),"",IF(G87&lt;=0,0,MAX(0,$C$4-D87)))</f>
        <v/>
      </c>
      <c r="I87" s="12" t="str">
        <f aca="false">IF(H87="","",IF(G87&lt;=0,"Paid",IF(H87=0,"Current",IF(H87&lt;=30,"1-30 days",IF(H87&lt;=60,"31-60 days",IF(H87&lt;=90,"61-90 days","90+ days"))))))</f>
        <v/>
      </c>
      <c r="J87" s="13" t="str">
        <f aca="false">IF(OR(D87="",G87&lt;=0),"",D87+7)</f>
        <v/>
      </c>
      <c r="K87" s="12" t="str">
        <f aca="false">IF(E87="","",IF(G87&lt;=0,"Settled",IF($C$4&gt;J87,"Chase now","Awaiting")))</f>
        <v/>
      </c>
      <c r="L87" s="7"/>
    </row>
    <row r="88" customFormat="false" ht="15" hidden="false" customHeight="false" outlineLevel="0" collapsed="false">
      <c r="A88" s="14"/>
      <c r="B88" s="14"/>
      <c r="C88" s="15"/>
      <c r="D88" s="15"/>
      <c r="E88" s="16"/>
      <c r="F88" s="16"/>
      <c r="G88" s="17" t="str">
        <f aca="false">IF(E88="","",E88-N(F88))</f>
        <v/>
      </c>
      <c r="H88" s="18" t="str">
        <f aca="false">IF(OR(D88="",G88=""),"",IF(G88&lt;=0,0,MAX(0,$C$4-D88)))</f>
        <v/>
      </c>
      <c r="I88" s="19" t="str">
        <f aca="false">IF(H88="","",IF(G88&lt;=0,"Paid",IF(H88=0,"Current",IF(H88&lt;=30,"1-30 days",IF(H88&lt;=60,"31-60 days",IF(H88&lt;=90,"61-90 days","90+ days"))))))</f>
        <v/>
      </c>
      <c r="J88" s="20" t="str">
        <f aca="false">IF(OR(D88="",G88&lt;=0),"",D88+7)</f>
        <v/>
      </c>
      <c r="K88" s="19" t="str">
        <f aca="false">IF(E88="","",IF(G88&lt;=0,"Settled",IF($C$4&gt;J88,"Chase now","Awaiting")))</f>
        <v/>
      </c>
      <c r="L88" s="14"/>
    </row>
    <row r="89" customFormat="false" ht="15" hidden="false" customHeight="false" outlineLevel="0" collapsed="false">
      <c r="A89" s="7"/>
      <c r="B89" s="7"/>
      <c r="C89" s="8"/>
      <c r="D89" s="8"/>
      <c r="E89" s="9"/>
      <c r="F89" s="9"/>
      <c r="G89" s="10" t="str">
        <f aca="false">IF(E89="","",E89-N(F89))</f>
        <v/>
      </c>
      <c r="H89" s="11" t="str">
        <f aca="false">IF(OR(D89="",G89=""),"",IF(G89&lt;=0,0,MAX(0,$C$4-D89)))</f>
        <v/>
      </c>
      <c r="I89" s="12" t="str">
        <f aca="false">IF(H89="","",IF(G89&lt;=0,"Paid",IF(H89=0,"Current",IF(H89&lt;=30,"1-30 days",IF(H89&lt;=60,"31-60 days",IF(H89&lt;=90,"61-90 days","90+ days"))))))</f>
        <v/>
      </c>
      <c r="J89" s="13" t="str">
        <f aca="false">IF(OR(D89="",G89&lt;=0),"",D89+7)</f>
        <v/>
      </c>
      <c r="K89" s="12" t="str">
        <f aca="false">IF(E89="","",IF(G89&lt;=0,"Settled",IF($C$4&gt;J89,"Chase now","Awaiting")))</f>
        <v/>
      </c>
      <c r="L89" s="7"/>
    </row>
    <row r="90" customFormat="false" ht="15" hidden="false" customHeight="false" outlineLevel="0" collapsed="false">
      <c r="A90" s="14"/>
      <c r="B90" s="14"/>
      <c r="C90" s="15"/>
      <c r="D90" s="15"/>
      <c r="E90" s="16"/>
      <c r="F90" s="16"/>
      <c r="G90" s="17" t="str">
        <f aca="false">IF(E90="","",E90-N(F90))</f>
        <v/>
      </c>
      <c r="H90" s="18" t="str">
        <f aca="false">IF(OR(D90="",G90=""),"",IF(G90&lt;=0,0,MAX(0,$C$4-D90)))</f>
        <v/>
      </c>
      <c r="I90" s="19" t="str">
        <f aca="false">IF(H90="","",IF(G90&lt;=0,"Paid",IF(H90=0,"Current",IF(H90&lt;=30,"1-30 days",IF(H90&lt;=60,"31-60 days",IF(H90&lt;=90,"61-90 days","90+ days"))))))</f>
        <v/>
      </c>
      <c r="J90" s="20" t="str">
        <f aca="false">IF(OR(D90="",G90&lt;=0),"",D90+7)</f>
        <v/>
      </c>
      <c r="K90" s="19" t="str">
        <f aca="false">IF(E90="","",IF(G90&lt;=0,"Settled",IF($C$4&gt;J90,"Chase now","Awaiting")))</f>
        <v/>
      </c>
      <c r="L90" s="14"/>
    </row>
    <row r="91" customFormat="false" ht="15" hidden="false" customHeight="false" outlineLevel="0" collapsed="false">
      <c r="A91" s="7"/>
      <c r="B91" s="7"/>
      <c r="C91" s="8"/>
      <c r="D91" s="8"/>
      <c r="E91" s="9"/>
      <c r="F91" s="9"/>
      <c r="G91" s="10" t="str">
        <f aca="false">IF(E91="","",E91-N(F91))</f>
        <v/>
      </c>
      <c r="H91" s="11" t="str">
        <f aca="false">IF(OR(D91="",G91=""),"",IF(G91&lt;=0,0,MAX(0,$C$4-D91)))</f>
        <v/>
      </c>
      <c r="I91" s="12" t="str">
        <f aca="false">IF(H91="","",IF(G91&lt;=0,"Paid",IF(H91=0,"Current",IF(H91&lt;=30,"1-30 days",IF(H91&lt;=60,"31-60 days",IF(H91&lt;=90,"61-90 days","90+ days"))))))</f>
        <v/>
      </c>
      <c r="J91" s="13" t="str">
        <f aca="false">IF(OR(D91="",G91&lt;=0),"",D91+7)</f>
        <v/>
      </c>
      <c r="K91" s="12" t="str">
        <f aca="false">IF(E91="","",IF(G91&lt;=0,"Settled",IF($C$4&gt;J91,"Chase now","Awaiting")))</f>
        <v/>
      </c>
      <c r="L91" s="7"/>
    </row>
    <row r="92" customFormat="false" ht="15" hidden="false" customHeight="false" outlineLevel="0" collapsed="false">
      <c r="A92" s="14"/>
      <c r="B92" s="14"/>
      <c r="C92" s="15"/>
      <c r="D92" s="15"/>
      <c r="E92" s="16"/>
      <c r="F92" s="16"/>
      <c r="G92" s="17" t="str">
        <f aca="false">IF(E92="","",E92-N(F92))</f>
        <v/>
      </c>
      <c r="H92" s="18" t="str">
        <f aca="false">IF(OR(D92="",G92=""),"",IF(G92&lt;=0,0,MAX(0,$C$4-D92)))</f>
        <v/>
      </c>
      <c r="I92" s="19" t="str">
        <f aca="false">IF(H92="","",IF(G92&lt;=0,"Paid",IF(H92=0,"Current",IF(H92&lt;=30,"1-30 days",IF(H92&lt;=60,"31-60 days",IF(H92&lt;=90,"61-90 days","90+ days"))))))</f>
        <v/>
      </c>
      <c r="J92" s="20" t="str">
        <f aca="false">IF(OR(D92="",G92&lt;=0),"",D92+7)</f>
        <v/>
      </c>
      <c r="K92" s="19" t="str">
        <f aca="false">IF(E92="","",IF(G92&lt;=0,"Settled",IF($C$4&gt;J92,"Chase now","Awaiting")))</f>
        <v/>
      </c>
      <c r="L92" s="14"/>
    </row>
    <row r="93" customFormat="false" ht="15" hidden="false" customHeight="false" outlineLevel="0" collapsed="false">
      <c r="A93" s="7"/>
      <c r="B93" s="7"/>
      <c r="C93" s="8"/>
      <c r="D93" s="8"/>
      <c r="E93" s="9"/>
      <c r="F93" s="9"/>
      <c r="G93" s="10" t="str">
        <f aca="false">IF(E93="","",E93-N(F93))</f>
        <v/>
      </c>
      <c r="H93" s="11" t="str">
        <f aca="false">IF(OR(D93="",G93=""),"",IF(G93&lt;=0,0,MAX(0,$C$4-D93)))</f>
        <v/>
      </c>
      <c r="I93" s="12" t="str">
        <f aca="false">IF(H93="","",IF(G93&lt;=0,"Paid",IF(H93=0,"Current",IF(H93&lt;=30,"1-30 days",IF(H93&lt;=60,"31-60 days",IF(H93&lt;=90,"61-90 days","90+ days"))))))</f>
        <v/>
      </c>
      <c r="J93" s="13" t="str">
        <f aca="false">IF(OR(D93="",G93&lt;=0),"",D93+7)</f>
        <v/>
      </c>
      <c r="K93" s="12" t="str">
        <f aca="false">IF(E93="","",IF(G93&lt;=0,"Settled",IF($C$4&gt;J93,"Chase now","Awaiting")))</f>
        <v/>
      </c>
      <c r="L93" s="7"/>
    </row>
    <row r="94" customFormat="false" ht="15" hidden="false" customHeight="false" outlineLevel="0" collapsed="false">
      <c r="A94" s="14"/>
      <c r="B94" s="14"/>
      <c r="C94" s="15"/>
      <c r="D94" s="15"/>
      <c r="E94" s="16"/>
      <c r="F94" s="16"/>
      <c r="G94" s="17" t="str">
        <f aca="false">IF(E94="","",E94-N(F94))</f>
        <v/>
      </c>
      <c r="H94" s="18" t="str">
        <f aca="false">IF(OR(D94="",G94=""),"",IF(G94&lt;=0,0,MAX(0,$C$4-D94)))</f>
        <v/>
      </c>
      <c r="I94" s="19" t="str">
        <f aca="false">IF(H94="","",IF(G94&lt;=0,"Paid",IF(H94=0,"Current",IF(H94&lt;=30,"1-30 days",IF(H94&lt;=60,"31-60 days",IF(H94&lt;=90,"61-90 days","90+ days"))))))</f>
        <v/>
      </c>
      <c r="J94" s="20" t="str">
        <f aca="false">IF(OR(D94="",G94&lt;=0),"",D94+7)</f>
        <v/>
      </c>
      <c r="K94" s="19" t="str">
        <f aca="false">IF(E94="","",IF(G94&lt;=0,"Settled",IF($C$4&gt;J94,"Chase now","Awaiting")))</f>
        <v/>
      </c>
      <c r="L94" s="14"/>
    </row>
    <row r="95" customFormat="false" ht="15" hidden="false" customHeight="false" outlineLevel="0" collapsed="false">
      <c r="A95" s="7"/>
      <c r="B95" s="7"/>
      <c r="C95" s="8"/>
      <c r="D95" s="8"/>
      <c r="E95" s="9"/>
      <c r="F95" s="9"/>
      <c r="G95" s="10" t="str">
        <f aca="false">IF(E95="","",E95-N(F95))</f>
        <v/>
      </c>
      <c r="H95" s="11" t="str">
        <f aca="false">IF(OR(D95="",G95=""),"",IF(G95&lt;=0,0,MAX(0,$C$4-D95)))</f>
        <v/>
      </c>
      <c r="I95" s="12" t="str">
        <f aca="false">IF(H95="","",IF(G95&lt;=0,"Paid",IF(H95=0,"Current",IF(H95&lt;=30,"1-30 days",IF(H95&lt;=60,"31-60 days",IF(H95&lt;=90,"61-90 days","90+ days"))))))</f>
        <v/>
      </c>
      <c r="J95" s="13" t="str">
        <f aca="false">IF(OR(D95="",G95&lt;=0),"",D95+7)</f>
        <v/>
      </c>
      <c r="K95" s="12" t="str">
        <f aca="false">IF(E95="","",IF(G95&lt;=0,"Settled",IF($C$4&gt;J95,"Chase now","Awaiting")))</f>
        <v/>
      </c>
      <c r="L95" s="7"/>
    </row>
    <row r="96" customFormat="false" ht="15" hidden="false" customHeight="false" outlineLevel="0" collapsed="false">
      <c r="A96" s="14"/>
      <c r="B96" s="14"/>
      <c r="C96" s="15"/>
      <c r="D96" s="15"/>
      <c r="E96" s="16"/>
      <c r="F96" s="16"/>
      <c r="G96" s="17" t="str">
        <f aca="false">IF(E96="","",E96-N(F96))</f>
        <v/>
      </c>
      <c r="H96" s="18" t="str">
        <f aca="false">IF(OR(D96="",G96=""),"",IF(G96&lt;=0,0,MAX(0,$C$4-D96)))</f>
        <v/>
      </c>
      <c r="I96" s="19" t="str">
        <f aca="false">IF(H96="","",IF(G96&lt;=0,"Paid",IF(H96=0,"Current",IF(H96&lt;=30,"1-30 days",IF(H96&lt;=60,"31-60 days",IF(H96&lt;=90,"61-90 days","90+ days"))))))</f>
        <v/>
      </c>
      <c r="J96" s="20" t="str">
        <f aca="false">IF(OR(D96="",G96&lt;=0),"",D96+7)</f>
        <v/>
      </c>
      <c r="K96" s="19" t="str">
        <f aca="false">IF(E96="","",IF(G96&lt;=0,"Settled",IF($C$4&gt;J96,"Chase now","Awaiting")))</f>
        <v/>
      </c>
      <c r="L96" s="14"/>
    </row>
    <row r="97" customFormat="false" ht="15" hidden="false" customHeight="false" outlineLevel="0" collapsed="false">
      <c r="A97" s="7"/>
      <c r="B97" s="7"/>
      <c r="C97" s="8"/>
      <c r="D97" s="8"/>
      <c r="E97" s="9"/>
      <c r="F97" s="9"/>
      <c r="G97" s="10" t="str">
        <f aca="false">IF(E97="","",E97-N(F97))</f>
        <v/>
      </c>
      <c r="H97" s="11" t="str">
        <f aca="false">IF(OR(D97="",G97=""),"",IF(G97&lt;=0,0,MAX(0,$C$4-D97)))</f>
        <v/>
      </c>
      <c r="I97" s="12" t="str">
        <f aca="false">IF(H97="","",IF(G97&lt;=0,"Paid",IF(H97=0,"Current",IF(H97&lt;=30,"1-30 days",IF(H97&lt;=60,"31-60 days",IF(H97&lt;=90,"61-90 days","90+ days"))))))</f>
        <v/>
      </c>
      <c r="J97" s="13" t="str">
        <f aca="false">IF(OR(D97="",G97&lt;=0),"",D97+7)</f>
        <v/>
      </c>
      <c r="K97" s="12" t="str">
        <f aca="false">IF(E97="","",IF(G97&lt;=0,"Settled",IF($C$4&gt;J97,"Chase now","Awaiting")))</f>
        <v/>
      </c>
      <c r="L97" s="7"/>
    </row>
    <row r="98" customFormat="false" ht="15" hidden="false" customHeight="false" outlineLevel="0" collapsed="false">
      <c r="A98" s="14"/>
      <c r="B98" s="14"/>
      <c r="C98" s="15"/>
      <c r="D98" s="15"/>
      <c r="E98" s="16"/>
      <c r="F98" s="16"/>
      <c r="G98" s="17" t="str">
        <f aca="false">IF(E98="","",E98-N(F98))</f>
        <v/>
      </c>
      <c r="H98" s="18" t="str">
        <f aca="false">IF(OR(D98="",G98=""),"",IF(G98&lt;=0,0,MAX(0,$C$4-D98)))</f>
        <v/>
      </c>
      <c r="I98" s="19" t="str">
        <f aca="false">IF(H98="","",IF(G98&lt;=0,"Paid",IF(H98=0,"Current",IF(H98&lt;=30,"1-30 days",IF(H98&lt;=60,"31-60 days",IF(H98&lt;=90,"61-90 days","90+ days"))))))</f>
        <v/>
      </c>
      <c r="J98" s="20" t="str">
        <f aca="false">IF(OR(D98="",G98&lt;=0),"",D98+7)</f>
        <v/>
      </c>
      <c r="K98" s="19" t="str">
        <f aca="false">IF(E98="","",IF(G98&lt;=0,"Settled",IF($C$4&gt;J98,"Chase now","Awaiting")))</f>
        <v/>
      </c>
      <c r="L98" s="14"/>
    </row>
    <row r="99" customFormat="false" ht="15" hidden="false" customHeight="false" outlineLevel="0" collapsed="false">
      <c r="A99" s="7"/>
      <c r="B99" s="7"/>
      <c r="C99" s="8"/>
      <c r="D99" s="8"/>
      <c r="E99" s="9"/>
      <c r="F99" s="9"/>
      <c r="G99" s="10" t="str">
        <f aca="false">IF(E99="","",E99-N(F99))</f>
        <v/>
      </c>
      <c r="H99" s="11" t="str">
        <f aca="false">IF(OR(D99="",G99=""),"",IF(G99&lt;=0,0,MAX(0,$C$4-D99)))</f>
        <v/>
      </c>
      <c r="I99" s="12" t="str">
        <f aca="false">IF(H99="","",IF(G99&lt;=0,"Paid",IF(H99=0,"Current",IF(H99&lt;=30,"1-30 days",IF(H99&lt;=60,"31-60 days",IF(H99&lt;=90,"61-90 days","90+ days"))))))</f>
        <v/>
      </c>
      <c r="J99" s="13" t="str">
        <f aca="false">IF(OR(D99="",G99&lt;=0),"",D99+7)</f>
        <v/>
      </c>
      <c r="K99" s="12" t="str">
        <f aca="false">IF(E99="","",IF(G99&lt;=0,"Settled",IF($C$4&gt;J99,"Chase now","Awaiting")))</f>
        <v/>
      </c>
      <c r="L99" s="7"/>
    </row>
    <row r="100" customFormat="false" ht="15" hidden="false" customHeight="false" outlineLevel="0" collapsed="false">
      <c r="A100" s="14"/>
      <c r="B100" s="14"/>
      <c r="C100" s="15"/>
      <c r="D100" s="15"/>
      <c r="E100" s="16"/>
      <c r="F100" s="16"/>
      <c r="G100" s="17" t="str">
        <f aca="false">IF(E100="","",E100-N(F100))</f>
        <v/>
      </c>
      <c r="H100" s="18" t="str">
        <f aca="false">IF(OR(D100="",G100=""),"",IF(G100&lt;=0,0,MAX(0,$C$4-D100)))</f>
        <v/>
      </c>
      <c r="I100" s="19" t="str">
        <f aca="false">IF(H100="","",IF(G100&lt;=0,"Paid",IF(H100=0,"Current",IF(H100&lt;=30,"1-30 days",IF(H100&lt;=60,"31-60 days",IF(H100&lt;=90,"61-90 days","90+ days"))))))</f>
        <v/>
      </c>
      <c r="J100" s="20" t="str">
        <f aca="false">IF(OR(D100="",G100&lt;=0),"",D100+7)</f>
        <v/>
      </c>
      <c r="K100" s="19" t="str">
        <f aca="false">IF(E100="","",IF(G100&lt;=0,"Settled",IF($C$4&gt;J100,"Chase now","Awaiting")))</f>
        <v/>
      </c>
      <c r="L100" s="14"/>
    </row>
    <row r="101" customFormat="false" ht="15" hidden="false" customHeight="false" outlineLevel="0" collapsed="false">
      <c r="A101" s="7"/>
      <c r="B101" s="7"/>
      <c r="C101" s="8"/>
      <c r="D101" s="8"/>
      <c r="E101" s="9"/>
      <c r="F101" s="9"/>
      <c r="G101" s="10" t="str">
        <f aca="false">IF(E101="","",E101-N(F101))</f>
        <v/>
      </c>
      <c r="H101" s="11" t="str">
        <f aca="false">IF(OR(D101="",G101=""),"",IF(G101&lt;=0,0,MAX(0,$C$4-D101)))</f>
        <v/>
      </c>
      <c r="I101" s="12" t="str">
        <f aca="false">IF(H101="","",IF(G101&lt;=0,"Paid",IF(H101=0,"Current",IF(H101&lt;=30,"1-30 days",IF(H101&lt;=60,"31-60 days",IF(H101&lt;=90,"61-90 days","90+ days"))))))</f>
        <v/>
      </c>
      <c r="J101" s="13" t="str">
        <f aca="false">IF(OR(D101="",G101&lt;=0),"",D101+7)</f>
        <v/>
      </c>
      <c r="K101" s="12" t="str">
        <f aca="false">IF(E101="","",IF(G101&lt;=0,"Settled",IF($C$4&gt;J101,"Chase now","Awaiting")))</f>
        <v/>
      </c>
      <c r="L101" s="7"/>
    </row>
    <row r="102" customFormat="false" ht="15" hidden="false" customHeight="false" outlineLevel="0" collapsed="false">
      <c r="A102" s="14"/>
      <c r="B102" s="14"/>
      <c r="C102" s="15"/>
      <c r="D102" s="15"/>
      <c r="E102" s="16"/>
      <c r="F102" s="16"/>
      <c r="G102" s="17" t="str">
        <f aca="false">IF(E102="","",E102-N(F102))</f>
        <v/>
      </c>
      <c r="H102" s="18" t="str">
        <f aca="false">IF(OR(D102="",G102=""),"",IF(G102&lt;=0,0,MAX(0,$C$4-D102)))</f>
        <v/>
      </c>
      <c r="I102" s="19" t="str">
        <f aca="false">IF(H102="","",IF(G102&lt;=0,"Paid",IF(H102=0,"Current",IF(H102&lt;=30,"1-30 days",IF(H102&lt;=60,"31-60 days",IF(H102&lt;=90,"61-90 days","90+ days"))))))</f>
        <v/>
      </c>
      <c r="J102" s="20" t="str">
        <f aca="false">IF(OR(D102="",G102&lt;=0),"",D102+7)</f>
        <v/>
      </c>
      <c r="K102" s="19" t="str">
        <f aca="false">IF(E102="","",IF(G102&lt;=0,"Settled",IF($C$4&gt;J102,"Chase now","Awaiting")))</f>
        <v/>
      </c>
      <c r="L102" s="14"/>
    </row>
    <row r="103" customFormat="false" ht="15" hidden="false" customHeight="false" outlineLevel="0" collapsed="false">
      <c r="A103" s="7"/>
      <c r="B103" s="7"/>
      <c r="C103" s="8"/>
      <c r="D103" s="8"/>
      <c r="E103" s="9"/>
      <c r="F103" s="9"/>
      <c r="G103" s="10" t="str">
        <f aca="false">IF(E103="","",E103-N(F103))</f>
        <v/>
      </c>
      <c r="H103" s="11" t="str">
        <f aca="false">IF(OR(D103="",G103=""),"",IF(G103&lt;=0,0,MAX(0,$C$4-D103)))</f>
        <v/>
      </c>
      <c r="I103" s="12" t="str">
        <f aca="false">IF(H103="","",IF(G103&lt;=0,"Paid",IF(H103=0,"Current",IF(H103&lt;=30,"1-30 days",IF(H103&lt;=60,"31-60 days",IF(H103&lt;=90,"61-90 days","90+ days"))))))</f>
        <v/>
      </c>
      <c r="J103" s="13" t="str">
        <f aca="false">IF(OR(D103="",G103&lt;=0),"",D103+7)</f>
        <v/>
      </c>
      <c r="K103" s="12" t="str">
        <f aca="false">IF(E103="","",IF(G103&lt;=0,"Settled",IF($C$4&gt;J103,"Chase now","Awaiting")))</f>
        <v/>
      </c>
      <c r="L103" s="7"/>
    </row>
    <row r="104" customFormat="false" ht="15" hidden="false" customHeight="false" outlineLevel="0" collapsed="false">
      <c r="A104" s="14"/>
      <c r="B104" s="14"/>
      <c r="C104" s="15"/>
      <c r="D104" s="15"/>
      <c r="E104" s="16"/>
      <c r="F104" s="16"/>
      <c r="G104" s="17" t="str">
        <f aca="false">IF(E104="","",E104-N(F104))</f>
        <v/>
      </c>
      <c r="H104" s="18" t="str">
        <f aca="false">IF(OR(D104="",G104=""),"",IF(G104&lt;=0,0,MAX(0,$C$4-D104)))</f>
        <v/>
      </c>
      <c r="I104" s="19" t="str">
        <f aca="false">IF(H104="","",IF(G104&lt;=0,"Paid",IF(H104=0,"Current",IF(H104&lt;=30,"1-30 days",IF(H104&lt;=60,"31-60 days",IF(H104&lt;=90,"61-90 days","90+ days"))))))</f>
        <v/>
      </c>
      <c r="J104" s="20" t="str">
        <f aca="false">IF(OR(D104="",G104&lt;=0),"",D104+7)</f>
        <v/>
      </c>
      <c r="K104" s="19" t="str">
        <f aca="false">IF(E104="","",IF(G104&lt;=0,"Settled",IF($C$4&gt;J104,"Chase now","Awaiting")))</f>
        <v/>
      </c>
      <c r="L104" s="14"/>
    </row>
    <row r="105" customFormat="false" ht="15" hidden="false" customHeight="false" outlineLevel="0" collapsed="false">
      <c r="A105" s="7"/>
      <c r="B105" s="7"/>
      <c r="C105" s="8"/>
      <c r="D105" s="8"/>
      <c r="E105" s="9"/>
      <c r="F105" s="9"/>
      <c r="G105" s="10" t="str">
        <f aca="false">IF(E105="","",E105-N(F105))</f>
        <v/>
      </c>
      <c r="H105" s="11" t="str">
        <f aca="false">IF(OR(D105="",G105=""),"",IF(G105&lt;=0,0,MAX(0,$C$4-D105)))</f>
        <v/>
      </c>
      <c r="I105" s="12" t="str">
        <f aca="false">IF(H105="","",IF(G105&lt;=0,"Paid",IF(H105=0,"Current",IF(H105&lt;=30,"1-30 days",IF(H105&lt;=60,"31-60 days",IF(H105&lt;=90,"61-90 days","90+ days"))))))</f>
        <v/>
      </c>
      <c r="J105" s="13" t="str">
        <f aca="false">IF(OR(D105="",G105&lt;=0),"",D105+7)</f>
        <v/>
      </c>
      <c r="K105" s="12" t="str">
        <f aca="false">IF(E105="","",IF(G105&lt;=0,"Settled",IF($C$4&gt;J105,"Chase now","Awaiting")))</f>
        <v/>
      </c>
      <c r="L105" s="7"/>
    </row>
    <row r="106" customFormat="false" ht="15" hidden="false" customHeight="false" outlineLevel="0" collapsed="false">
      <c r="A106" s="14"/>
      <c r="B106" s="14"/>
      <c r="C106" s="15"/>
      <c r="D106" s="15"/>
      <c r="E106" s="16"/>
      <c r="F106" s="16"/>
      <c r="G106" s="17" t="str">
        <f aca="false">IF(E106="","",E106-N(F106))</f>
        <v/>
      </c>
      <c r="H106" s="18" t="str">
        <f aca="false">IF(OR(D106="",G106=""),"",IF(G106&lt;=0,0,MAX(0,$C$4-D106)))</f>
        <v/>
      </c>
      <c r="I106" s="19" t="str">
        <f aca="false">IF(H106="","",IF(G106&lt;=0,"Paid",IF(H106=0,"Current",IF(H106&lt;=30,"1-30 days",IF(H106&lt;=60,"31-60 days",IF(H106&lt;=90,"61-90 days","90+ days"))))))</f>
        <v/>
      </c>
      <c r="J106" s="20" t="str">
        <f aca="false">IF(OR(D106="",G106&lt;=0),"",D106+7)</f>
        <v/>
      </c>
      <c r="K106" s="19" t="str">
        <f aca="false">IF(E106="","",IF(G106&lt;=0,"Settled",IF($C$4&gt;J106,"Chase now","Awaiting")))</f>
        <v/>
      </c>
      <c r="L106" s="14"/>
    </row>
    <row r="107" customFormat="false" ht="15" hidden="false" customHeight="false" outlineLevel="0" collapsed="false">
      <c r="A107" s="7"/>
      <c r="B107" s="7"/>
      <c r="C107" s="8"/>
      <c r="D107" s="8"/>
      <c r="E107" s="9"/>
      <c r="F107" s="9"/>
      <c r="G107" s="10" t="str">
        <f aca="false">IF(E107="","",E107-N(F107))</f>
        <v/>
      </c>
      <c r="H107" s="11" t="str">
        <f aca="false">IF(OR(D107="",G107=""),"",IF(G107&lt;=0,0,MAX(0,$C$4-D107)))</f>
        <v/>
      </c>
      <c r="I107" s="12" t="str">
        <f aca="false">IF(H107="","",IF(G107&lt;=0,"Paid",IF(H107=0,"Current",IF(H107&lt;=30,"1-30 days",IF(H107&lt;=60,"31-60 days",IF(H107&lt;=90,"61-90 days","90+ days"))))))</f>
        <v/>
      </c>
      <c r="J107" s="13" t="str">
        <f aca="false">IF(OR(D107="",G107&lt;=0),"",D107+7)</f>
        <v/>
      </c>
      <c r="K107" s="12" t="str">
        <f aca="false">IF(E107="","",IF(G107&lt;=0,"Settled",IF($C$4&gt;J107,"Chase now","Awaiting")))</f>
        <v/>
      </c>
      <c r="L107" s="7"/>
    </row>
    <row r="108" customFormat="false" ht="15" hidden="false" customHeight="false" outlineLevel="0" collapsed="false">
      <c r="A108" s="14"/>
      <c r="B108" s="14"/>
      <c r="C108" s="15"/>
      <c r="D108" s="15"/>
      <c r="E108" s="16"/>
      <c r="F108" s="16"/>
      <c r="G108" s="17" t="str">
        <f aca="false">IF(E108="","",E108-N(F108))</f>
        <v/>
      </c>
      <c r="H108" s="18" t="str">
        <f aca="false">IF(OR(D108="",G108=""),"",IF(G108&lt;=0,0,MAX(0,$C$4-D108)))</f>
        <v/>
      </c>
      <c r="I108" s="19" t="str">
        <f aca="false">IF(H108="","",IF(G108&lt;=0,"Paid",IF(H108=0,"Current",IF(H108&lt;=30,"1-30 days",IF(H108&lt;=60,"31-60 days",IF(H108&lt;=90,"61-90 days","90+ days"))))))</f>
        <v/>
      </c>
      <c r="J108" s="20" t="str">
        <f aca="false">IF(OR(D108="",G108&lt;=0),"",D108+7)</f>
        <v/>
      </c>
      <c r="K108" s="19" t="str">
        <f aca="false">IF(E108="","",IF(G108&lt;=0,"Settled",IF($C$4&gt;J108,"Chase now","Awaiting")))</f>
        <v/>
      </c>
      <c r="L108" s="14"/>
    </row>
    <row r="109" customFormat="false" ht="15" hidden="false" customHeight="false" outlineLevel="0" collapsed="false">
      <c r="A109" s="7"/>
      <c r="B109" s="7"/>
      <c r="C109" s="8"/>
      <c r="D109" s="8"/>
      <c r="E109" s="9"/>
      <c r="F109" s="9"/>
      <c r="G109" s="10" t="str">
        <f aca="false">IF(E109="","",E109-N(F109))</f>
        <v/>
      </c>
      <c r="H109" s="11" t="str">
        <f aca="false">IF(OR(D109="",G109=""),"",IF(G109&lt;=0,0,MAX(0,$C$4-D109)))</f>
        <v/>
      </c>
      <c r="I109" s="12" t="str">
        <f aca="false">IF(H109="","",IF(G109&lt;=0,"Paid",IF(H109=0,"Current",IF(H109&lt;=30,"1-30 days",IF(H109&lt;=60,"31-60 days",IF(H109&lt;=90,"61-90 days","90+ days"))))))</f>
        <v/>
      </c>
      <c r="J109" s="13" t="str">
        <f aca="false">IF(OR(D109="",G109&lt;=0),"",D109+7)</f>
        <v/>
      </c>
      <c r="K109" s="12" t="str">
        <f aca="false">IF(E109="","",IF(G109&lt;=0,"Settled",IF($C$4&gt;J109,"Chase now","Awaiting")))</f>
        <v/>
      </c>
      <c r="L109" s="7"/>
    </row>
    <row r="110" customFormat="false" ht="15" hidden="false" customHeight="false" outlineLevel="0" collapsed="false">
      <c r="A110" s="14"/>
      <c r="B110" s="14"/>
      <c r="C110" s="15"/>
      <c r="D110" s="15"/>
      <c r="E110" s="16"/>
      <c r="F110" s="16"/>
      <c r="G110" s="17" t="str">
        <f aca="false">IF(E110="","",E110-N(F110))</f>
        <v/>
      </c>
      <c r="H110" s="18" t="str">
        <f aca="false">IF(OR(D110="",G110=""),"",IF(G110&lt;=0,0,MAX(0,$C$4-D110)))</f>
        <v/>
      </c>
      <c r="I110" s="19" t="str">
        <f aca="false">IF(H110="","",IF(G110&lt;=0,"Paid",IF(H110=0,"Current",IF(H110&lt;=30,"1-30 days",IF(H110&lt;=60,"31-60 days",IF(H110&lt;=90,"61-90 days","90+ days"))))))</f>
        <v/>
      </c>
      <c r="J110" s="20" t="str">
        <f aca="false">IF(OR(D110="",G110&lt;=0),"",D110+7)</f>
        <v/>
      </c>
      <c r="K110" s="19" t="str">
        <f aca="false">IF(E110="","",IF(G110&lt;=0,"Settled",IF($C$4&gt;J110,"Chase now","Awaiting")))</f>
        <v/>
      </c>
      <c r="L110" s="14"/>
    </row>
    <row r="111" customFormat="false" ht="15" hidden="false" customHeight="false" outlineLevel="0" collapsed="false">
      <c r="A111" s="7"/>
      <c r="B111" s="7"/>
      <c r="C111" s="8"/>
      <c r="D111" s="8"/>
      <c r="E111" s="9"/>
      <c r="F111" s="9"/>
      <c r="G111" s="10" t="str">
        <f aca="false">IF(E111="","",E111-N(F111))</f>
        <v/>
      </c>
      <c r="H111" s="11" t="str">
        <f aca="false">IF(OR(D111="",G111=""),"",IF(G111&lt;=0,0,MAX(0,$C$4-D111)))</f>
        <v/>
      </c>
      <c r="I111" s="12" t="str">
        <f aca="false">IF(H111="","",IF(G111&lt;=0,"Paid",IF(H111=0,"Current",IF(H111&lt;=30,"1-30 days",IF(H111&lt;=60,"31-60 days",IF(H111&lt;=90,"61-90 days","90+ days"))))))</f>
        <v/>
      </c>
      <c r="J111" s="13" t="str">
        <f aca="false">IF(OR(D111="",G111&lt;=0),"",D111+7)</f>
        <v/>
      </c>
      <c r="K111" s="12" t="str">
        <f aca="false">IF(E111="","",IF(G111&lt;=0,"Settled",IF($C$4&gt;J111,"Chase now","Awaiting")))</f>
        <v/>
      </c>
      <c r="L111" s="7"/>
    </row>
    <row r="112" customFormat="false" ht="15" hidden="false" customHeight="false" outlineLevel="0" collapsed="false">
      <c r="A112" s="14"/>
      <c r="B112" s="14"/>
      <c r="C112" s="15"/>
      <c r="D112" s="15"/>
      <c r="E112" s="16"/>
      <c r="F112" s="16"/>
      <c r="G112" s="17" t="str">
        <f aca="false">IF(E112="","",E112-N(F112))</f>
        <v/>
      </c>
      <c r="H112" s="18" t="str">
        <f aca="false">IF(OR(D112="",G112=""),"",IF(G112&lt;=0,0,MAX(0,$C$4-D112)))</f>
        <v/>
      </c>
      <c r="I112" s="19" t="str">
        <f aca="false">IF(H112="","",IF(G112&lt;=0,"Paid",IF(H112=0,"Current",IF(H112&lt;=30,"1-30 days",IF(H112&lt;=60,"31-60 days",IF(H112&lt;=90,"61-90 days","90+ days"))))))</f>
        <v/>
      </c>
      <c r="J112" s="20" t="str">
        <f aca="false">IF(OR(D112="",G112&lt;=0),"",D112+7)</f>
        <v/>
      </c>
      <c r="K112" s="19" t="str">
        <f aca="false">IF(E112="","",IF(G112&lt;=0,"Settled",IF($C$4&gt;J112,"Chase now","Awaiting")))</f>
        <v/>
      </c>
      <c r="L112" s="14"/>
    </row>
    <row r="113" customFormat="false" ht="15" hidden="false" customHeight="false" outlineLevel="0" collapsed="false">
      <c r="A113" s="7"/>
      <c r="B113" s="7"/>
      <c r="C113" s="8"/>
      <c r="D113" s="8"/>
      <c r="E113" s="9"/>
      <c r="F113" s="9"/>
      <c r="G113" s="10" t="str">
        <f aca="false">IF(E113="","",E113-N(F113))</f>
        <v/>
      </c>
      <c r="H113" s="11" t="str">
        <f aca="false">IF(OR(D113="",G113=""),"",IF(G113&lt;=0,0,MAX(0,$C$4-D113)))</f>
        <v/>
      </c>
      <c r="I113" s="12" t="str">
        <f aca="false">IF(H113="","",IF(G113&lt;=0,"Paid",IF(H113=0,"Current",IF(H113&lt;=30,"1-30 days",IF(H113&lt;=60,"31-60 days",IF(H113&lt;=90,"61-90 days","90+ days"))))))</f>
        <v/>
      </c>
      <c r="J113" s="13" t="str">
        <f aca="false">IF(OR(D113="",G113&lt;=0),"",D113+7)</f>
        <v/>
      </c>
      <c r="K113" s="12" t="str">
        <f aca="false">IF(E113="","",IF(G113&lt;=0,"Settled",IF($C$4&gt;J113,"Chase now","Awaiting")))</f>
        <v/>
      </c>
      <c r="L113" s="7"/>
    </row>
    <row r="114" customFormat="false" ht="15" hidden="false" customHeight="false" outlineLevel="0" collapsed="false">
      <c r="A114" s="14"/>
      <c r="B114" s="14"/>
      <c r="C114" s="15"/>
      <c r="D114" s="15"/>
      <c r="E114" s="16"/>
      <c r="F114" s="16"/>
      <c r="G114" s="17" t="str">
        <f aca="false">IF(E114="","",E114-N(F114))</f>
        <v/>
      </c>
      <c r="H114" s="18" t="str">
        <f aca="false">IF(OR(D114="",G114=""),"",IF(G114&lt;=0,0,MAX(0,$C$4-D114)))</f>
        <v/>
      </c>
      <c r="I114" s="19" t="str">
        <f aca="false">IF(H114="","",IF(G114&lt;=0,"Paid",IF(H114=0,"Current",IF(H114&lt;=30,"1-30 days",IF(H114&lt;=60,"31-60 days",IF(H114&lt;=90,"61-90 days","90+ days"))))))</f>
        <v/>
      </c>
      <c r="J114" s="20" t="str">
        <f aca="false">IF(OR(D114="",G114&lt;=0),"",D114+7)</f>
        <v/>
      </c>
      <c r="K114" s="19" t="str">
        <f aca="false">IF(E114="","",IF(G114&lt;=0,"Settled",IF($C$4&gt;J114,"Chase now","Awaiting")))</f>
        <v/>
      </c>
      <c r="L114" s="14"/>
    </row>
    <row r="115" customFormat="false" ht="15" hidden="false" customHeight="false" outlineLevel="0" collapsed="false">
      <c r="A115" s="7"/>
      <c r="B115" s="7"/>
      <c r="C115" s="8"/>
      <c r="D115" s="8"/>
      <c r="E115" s="9"/>
      <c r="F115" s="9"/>
      <c r="G115" s="10" t="str">
        <f aca="false">IF(E115="","",E115-N(F115))</f>
        <v/>
      </c>
      <c r="H115" s="11" t="str">
        <f aca="false">IF(OR(D115="",G115=""),"",IF(G115&lt;=0,0,MAX(0,$C$4-D115)))</f>
        <v/>
      </c>
      <c r="I115" s="12" t="str">
        <f aca="false">IF(H115="","",IF(G115&lt;=0,"Paid",IF(H115=0,"Current",IF(H115&lt;=30,"1-30 days",IF(H115&lt;=60,"31-60 days",IF(H115&lt;=90,"61-90 days","90+ days"))))))</f>
        <v/>
      </c>
      <c r="J115" s="13" t="str">
        <f aca="false">IF(OR(D115="",G115&lt;=0),"",D115+7)</f>
        <v/>
      </c>
      <c r="K115" s="12" t="str">
        <f aca="false">IF(E115="","",IF(G115&lt;=0,"Settled",IF($C$4&gt;J115,"Chase now","Awaiting")))</f>
        <v/>
      </c>
      <c r="L115" s="7"/>
    </row>
    <row r="116" customFormat="false" ht="15" hidden="false" customHeight="false" outlineLevel="0" collapsed="false">
      <c r="A116" s="14"/>
      <c r="B116" s="14"/>
      <c r="C116" s="15"/>
      <c r="D116" s="15"/>
      <c r="E116" s="16"/>
      <c r="F116" s="16"/>
      <c r="G116" s="17" t="str">
        <f aca="false">IF(E116="","",E116-N(F116))</f>
        <v/>
      </c>
      <c r="H116" s="18" t="str">
        <f aca="false">IF(OR(D116="",G116=""),"",IF(G116&lt;=0,0,MAX(0,$C$4-D116)))</f>
        <v/>
      </c>
      <c r="I116" s="19" t="str">
        <f aca="false">IF(H116="","",IF(G116&lt;=0,"Paid",IF(H116=0,"Current",IF(H116&lt;=30,"1-30 days",IF(H116&lt;=60,"31-60 days",IF(H116&lt;=90,"61-90 days","90+ days"))))))</f>
        <v/>
      </c>
      <c r="J116" s="20" t="str">
        <f aca="false">IF(OR(D116="",G116&lt;=0),"",D116+7)</f>
        <v/>
      </c>
      <c r="K116" s="19" t="str">
        <f aca="false">IF(E116="","",IF(G116&lt;=0,"Settled",IF($C$4&gt;J116,"Chase now","Awaiting")))</f>
        <v/>
      </c>
      <c r="L116" s="14"/>
    </row>
    <row r="117" customFormat="false" ht="15" hidden="false" customHeight="false" outlineLevel="0" collapsed="false">
      <c r="A117" s="7"/>
      <c r="B117" s="7"/>
      <c r="C117" s="8"/>
      <c r="D117" s="8"/>
      <c r="E117" s="9"/>
      <c r="F117" s="9"/>
      <c r="G117" s="10" t="str">
        <f aca="false">IF(E117="","",E117-N(F117))</f>
        <v/>
      </c>
      <c r="H117" s="11" t="str">
        <f aca="false">IF(OR(D117="",G117=""),"",IF(G117&lt;=0,0,MAX(0,$C$4-D117)))</f>
        <v/>
      </c>
      <c r="I117" s="12" t="str">
        <f aca="false">IF(H117="","",IF(G117&lt;=0,"Paid",IF(H117=0,"Current",IF(H117&lt;=30,"1-30 days",IF(H117&lt;=60,"31-60 days",IF(H117&lt;=90,"61-90 days","90+ days"))))))</f>
        <v/>
      </c>
      <c r="J117" s="13" t="str">
        <f aca="false">IF(OR(D117="",G117&lt;=0),"",D117+7)</f>
        <v/>
      </c>
      <c r="K117" s="12" t="str">
        <f aca="false">IF(E117="","",IF(G117&lt;=0,"Settled",IF($C$4&gt;J117,"Chase now","Awaiting")))</f>
        <v/>
      </c>
      <c r="L117" s="7"/>
    </row>
    <row r="118" customFormat="false" ht="15" hidden="false" customHeight="false" outlineLevel="0" collapsed="false">
      <c r="A118" s="14"/>
      <c r="B118" s="14"/>
      <c r="C118" s="15"/>
      <c r="D118" s="15"/>
      <c r="E118" s="16"/>
      <c r="F118" s="16"/>
      <c r="G118" s="17" t="str">
        <f aca="false">IF(E118="","",E118-N(F118))</f>
        <v/>
      </c>
      <c r="H118" s="18" t="str">
        <f aca="false">IF(OR(D118="",G118=""),"",IF(G118&lt;=0,0,MAX(0,$C$4-D118)))</f>
        <v/>
      </c>
      <c r="I118" s="19" t="str">
        <f aca="false">IF(H118="","",IF(G118&lt;=0,"Paid",IF(H118=0,"Current",IF(H118&lt;=30,"1-30 days",IF(H118&lt;=60,"31-60 days",IF(H118&lt;=90,"61-90 days","90+ days"))))))</f>
        <v/>
      </c>
      <c r="J118" s="20" t="str">
        <f aca="false">IF(OR(D118="",G118&lt;=0),"",D118+7)</f>
        <v/>
      </c>
      <c r="K118" s="19" t="str">
        <f aca="false">IF(E118="","",IF(G118&lt;=0,"Settled",IF($C$4&gt;J118,"Chase now","Awaiting")))</f>
        <v/>
      </c>
      <c r="L118" s="14"/>
    </row>
    <row r="119" customFormat="false" ht="15" hidden="false" customHeight="false" outlineLevel="0" collapsed="false">
      <c r="A119" s="7"/>
      <c r="B119" s="7"/>
      <c r="C119" s="8"/>
      <c r="D119" s="8"/>
      <c r="E119" s="9"/>
      <c r="F119" s="9"/>
      <c r="G119" s="10" t="str">
        <f aca="false">IF(E119="","",E119-N(F119))</f>
        <v/>
      </c>
      <c r="H119" s="11" t="str">
        <f aca="false">IF(OR(D119="",G119=""),"",IF(G119&lt;=0,0,MAX(0,$C$4-D119)))</f>
        <v/>
      </c>
      <c r="I119" s="12" t="str">
        <f aca="false">IF(H119="","",IF(G119&lt;=0,"Paid",IF(H119=0,"Current",IF(H119&lt;=30,"1-30 days",IF(H119&lt;=60,"31-60 days",IF(H119&lt;=90,"61-90 days","90+ days"))))))</f>
        <v/>
      </c>
      <c r="J119" s="13" t="str">
        <f aca="false">IF(OR(D119="",G119&lt;=0),"",D119+7)</f>
        <v/>
      </c>
      <c r="K119" s="12" t="str">
        <f aca="false">IF(E119="","",IF(G119&lt;=0,"Settled",IF($C$4&gt;J119,"Chase now","Awaiting")))</f>
        <v/>
      </c>
      <c r="L119" s="7"/>
    </row>
    <row r="120" customFormat="false" ht="15" hidden="false" customHeight="false" outlineLevel="0" collapsed="false">
      <c r="A120" s="14"/>
      <c r="B120" s="14"/>
      <c r="C120" s="15"/>
      <c r="D120" s="15"/>
      <c r="E120" s="16"/>
      <c r="F120" s="16"/>
      <c r="G120" s="17" t="str">
        <f aca="false">IF(E120="","",E120-N(F120))</f>
        <v/>
      </c>
      <c r="H120" s="18" t="str">
        <f aca="false">IF(OR(D120="",G120=""),"",IF(G120&lt;=0,0,MAX(0,$C$4-D120)))</f>
        <v/>
      </c>
      <c r="I120" s="19" t="str">
        <f aca="false">IF(H120="","",IF(G120&lt;=0,"Paid",IF(H120=0,"Current",IF(H120&lt;=30,"1-30 days",IF(H120&lt;=60,"31-60 days",IF(H120&lt;=90,"61-90 days","90+ days"))))))</f>
        <v/>
      </c>
      <c r="J120" s="20" t="str">
        <f aca="false">IF(OR(D120="",G120&lt;=0),"",D120+7)</f>
        <v/>
      </c>
      <c r="K120" s="19" t="str">
        <f aca="false">IF(E120="","",IF(G120&lt;=0,"Settled",IF($C$4&gt;J120,"Chase now","Awaiting")))</f>
        <v/>
      </c>
      <c r="L120" s="14"/>
    </row>
    <row r="121" customFormat="false" ht="15" hidden="false" customHeight="false" outlineLevel="0" collapsed="false">
      <c r="A121" s="7"/>
      <c r="B121" s="7"/>
      <c r="C121" s="8"/>
      <c r="D121" s="8"/>
      <c r="E121" s="9"/>
      <c r="F121" s="9"/>
      <c r="G121" s="10" t="str">
        <f aca="false">IF(E121="","",E121-N(F121))</f>
        <v/>
      </c>
      <c r="H121" s="11" t="str">
        <f aca="false">IF(OR(D121="",G121=""),"",IF(G121&lt;=0,0,MAX(0,$C$4-D121)))</f>
        <v/>
      </c>
      <c r="I121" s="12" t="str">
        <f aca="false">IF(H121="","",IF(G121&lt;=0,"Paid",IF(H121=0,"Current",IF(H121&lt;=30,"1-30 days",IF(H121&lt;=60,"31-60 days",IF(H121&lt;=90,"61-90 days","90+ days"))))))</f>
        <v/>
      </c>
      <c r="J121" s="13" t="str">
        <f aca="false">IF(OR(D121="",G121&lt;=0),"",D121+7)</f>
        <v/>
      </c>
      <c r="K121" s="12" t="str">
        <f aca="false">IF(E121="","",IF(G121&lt;=0,"Settled",IF($C$4&gt;J121,"Chase now","Awaiting")))</f>
        <v/>
      </c>
      <c r="L121" s="7"/>
    </row>
    <row r="122" customFormat="false" ht="15" hidden="false" customHeight="false" outlineLevel="0" collapsed="false">
      <c r="A122" s="14"/>
      <c r="B122" s="14"/>
      <c r="C122" s="15"/>
      <c r="D122" s="15"/>
      <c r="E122" s="16"/>
      <c r="F122" s="16"/>
      <c r="G122" s="17" t="str">
        <f aca="false">IF(E122="","",E122-N(F122))</f>
        <v/>
      </c>
      <c r="H122" s="18" t="str">
        <f aca="false">IF(OR(D122="",G122=""),"",IF(G122&lt;=0,0,MAX(0,$C$4-D122)))</f>
        <v/>
      </c>
      <c r="I122" s="19" t="str">
        <f aca="false">IF(H122="","",IF(G122&lt;=0,"Paid",IF(H122=0,"Current",IF(H122&lt;=30,"1-30 days",IF(H122&lt;=60,"31-60 days",IF(H122&lt;=90,"61-90 days","90+ days"))))))</f>
        <v/>
      </c>
      <c r="J122" s="20" t="str">
        <f aca="false">IF(OR(D122="",G122&lt;=0),"",D122+7)</f>
        <v/>
      </c>
      <c r="K122" s="19" t="str">
        <f aca="false">IF(E122="","",IF(G122&lt;=0,"Settled",IF($C$4&gt;J122,"Chase now","Awaiting")))</f>
        <v/>
      </c>
      <c r="L122" s="14"/>
    </row>
    <row r="123" customFormat="false" ht="15" hidden="false" customHeight="false" outlineLevel="0" collapsed="false">
      <c r="A123" s="7"/>
      <c r="B123" s="7"/>
      <c r="C123" s="8"/>
      <c r="D123" s="8"/>
      <c r="E123" s="9"/>
      <c r="F123" s="9"/>
      <c r="G123" s="10" t="str">
        <f aca="false">IF(E123="","",E123-N(F123))</f>
        <v/>
      </c>
      <c r="H123" s="11" t="str">
        <f aca="false">IF(OR(D123="",G123=""),"",IF(G123&lt;=0,0,MAX(0,$C$4-D123)))</f>
        <v/>
      </c>
      <c r="I123" s="12" t="str">
        <f aca="false">IF(H123="","",IF(G123&lt;=0,"Paid",IF(H123=0,"Current",IF(H123&lt;=30,"1-30 days",IF(H123&lt;=60,"31-60 days",IF(H123&lt;=90,"61-90 days","90+ days"))))))</f>
        <v/>
      </c>
      <c r="J123" s="13" t="str">
        <f aca="false">IF(OR(D123="",G123&lt;=0),"",D123+7)</f>
        <v/>
      </c>
      <c r="K123" s="12" t="str">
        <f aca="false">IF(E123="","",IF(G123&lt;=0,"Settled",IF($C$4&gt;J123,"Chase now","Awaiting")))</f>
        <v/>
      </c>
      <c r="L123" s="7"/>
    </row>
    <row r="124" customFormat="false" ht="15" hidden="false" customHeight="false" outlineLevel="0" collapsed="false">
      <c r="A124" s="14"/>
      <c r="B124" s="14"/>
      <c r="C124" s="15"/>
      <c r="D124" s="15"/>
      <c r="E124" s="16"/>
      <c r="F124" s="16"/>
      <c r="G124" s="17" t="str">
        <f aca="false">IF(E124="","",E124-N(F124))</f>
        <v/>
      </c>
      <c r="H124" s="18" t="str">
        <f aca="false">IF(OR(D124="",G124=""),"",IF(G124&lt;=0,0,MAX(0,$C$4-D124)))</f>
        <v/>
      </c>
      <c r="I124" s="19" t="str">
        <f aca="false">IF(H124="","",IF(G124&lt;=0,"Paid",IF(H124=0,"Current",IF(H124&lt;=30,"1-30 days",IF(H124&lt;=60,"31-60 days",IF(H124&lt;=90,"61-90 days","90+ days"))))))</f>
        <v/>
      </c>
      <c r="J124" s="20" t="str">
        <f aca="false">IF(OR(D124="",G124&lt;=0),"",D124+7)</f>
        <v/>
      </c>
      <c r="K124" s="19" t="str">
        <f aca="false">IF(E124="","",IF(G124&lt;=0,"Settled",IF($C$4&gt;J124,"Chase now","Awaiting")))</f>
        <v/>
      </c>
      <c r="L124" s="14"/>
    </row>
    <row r="125" customFormat="false" ht="15" hidden="false" customHeight="false" outlineLevel="0" collapsed="false">
      <c r="A125" s="7"/>
      <c r="B125" s="7"/>
      <c r="C125" s="8"/>
      <c r="D125" s="8"/>
      <c r="E125" s="9"/>
      <c r="F125" s="9"/>
      <c r="G125" s="10" t="str">
        <f aca="false">IF(E125="","",E125-N(F125))</f>
        <v/>
      </c>
      <c r="H125" s="11" t="str">
        <f aca="false">IF(OR(D125="",G125=""),"",IF(G125&lt;=0,0,MAX(0,$C$4-D125)))</f>
        <v/>
      </c>
      <c r="I125" s="12" t="str">
        <f aca="false">IF(H125="","",IF(G125&lt;=0,"Paid",IF(H125=0,"Current",IF(H125&lt;=30,"1-30 days",IF(H125&lt;=60,"31-60 days",IF(H125&lt;=90,"61-90 days","90+ days"))))))</f>
        <v/>
      </c>
      <c r="J125" s="13" t="str">
        <f aca="false">IF(OR(D125="",G125&lt;=0),"",D125+7)</f>
        <v/>
      </c>
      <c r="K125" s="12" t="str">
        <f aca="false">IF(E125="","",IF(G125&lt;=0,"Settled",IF($C$4&gt;J125,"Chase now","Awaiting")))</f>
        <v/>
      </c>
      <c r="L125" s="7"/>
    </row>
    <row r="126" customFormat="false" ht="15" hidden="false" customHeight="false" outlineLevel="0" collapsed="false">
      <c r="A126" s="14"/>
      <c r="B126" s="14"/>
      <c r="C126" s="15"/>
      <c r="D126" s="15"/>
      <c r="E126" s="16"/>
      <c r="F126" s="16"/>
      <c r="G126" s="17" t="str">
        <f aca="false">IF(E126="","",E126-N(F126))</f>
        <v/>
      </c>
      <c r="H126" s="18" t="str">
        <f aca="false">IF(OR(D126="",G126=""),"",IF(G126&lt;=0,0,MAX(0,$C$4-D126)))</f>
        <v/>
      </c>
      <c r="I126" s="19" t="str">
        <f aca="false">IF(H126="","",IF(G126&lt;=0,"Paid",IF(H126=0,"Current",IF(H126&lt;=30,"1-30 days",IF(H126&lt;=60,"31-60 days",IF(H126&lt;=90,"61-90 days","90+ days"))))))</f>
        <v/>
      </c>
      <c r="J126" s="20" t="str">
        <f aca="false">IF(OR(D126="",G126&lt;=0),"",D126+7)</f>
        <v/>
      </c>
      <c r="K126" s="19" t="str">
        <f aca="false">IF(E126="","",IF(G126&lt;=0,"Settled",IF($C$4&gt;J126,"Chase now","Awaiting")))</f>
        <v/>
      </c>
      <c r="L126" s="14"/>
    </row>
    <row r="127" customFormat="false" ht="15" hidden="false" customHeight="false" outlineLevel="0" collapsed="false">
      <c r="A127" s="7"/>
      <c r="B127" s="7"/>
      <c r="C127" s="8"/>
      <c r="D127" s="8"/>
      <c r="E127" s="9"/>
      <c r="F127" s="9"/>
      <c r="G127" s="10" t="str">
        <f aca="false">IF(E127="","",E127-N(F127))</f>
        <v/>
      </c>
      <c r="H127" s="11" t="str">
        <f aca="false">IF(OR(D127="",G127=""),"",IF(G127&lt;=0,0,MAX(0,$C$4-D127)))</f>
        <v/>
      </c>
      <c r="I127" s="12" t="str">
        <f aca="false">IF(H127="","",IF(G127&lt;=0,"Paid",IF(H127=0,"Current",IF(H127&lt;=30,"1-30 days",IF(H127&lt;=60,"31-60 days",IF(H127&lt;=90,"61-90 days","90+ days"))))))</f>
        <v/>
      </c>
      <c r="J127" s="13" t="str">
        <f aca="false">IF(OR(D127="",G127&lt;=0),"",D127+7)</f>
        <v/>
      </c>
      <c r="K127" s="12" t="str">
        <f aca="false">IF(E127="","",IF(G127&lt;=0,"Settled",IF($C$4&gt;J127,"Chase now","Awaiting")))</f>
        <v/>
      </c>
      <c r="L127" s="7"/>
    </row>
    <row r="128" customFormat="false" ht="15" hidden="false" customHeight="false" outlineLevel="0" collapsed="false">
      <c r="A128" s="14"/>
      <c r="B128" s="14"/>
      <c r="C128" s="15"/>
      <c r="D128" s="15"/>
      <c r="E128" s="16"/>
      <c r="F128" s="16"/>
      <c r="G128" s="17" t="str">
        <f aca="false">IF(E128="","",E128-N(F128))</f>
        <v/>
      </c>
      <c r="H128" s="18" t="str">
        <f aca="false">IF(OR(D128="",G128=""),"",IF(G128&lt;=0,0,MAX(0,$C$4-D128)))</f>
        <v/>
      </c>
      <c r="I128" s="19" t="str">
        <f aca="false">IF(H128="","",IF(G128&lt;=0,"Paid",IF(H128=0,"Current",IF(H128&lt;=30,"1-30 days",IF(H128&lt;=60,"31-60 days",IF(H128&lt;=90,"61-90 days","90+ days"))))))</f>
        <v/>
      </c>
      <c r="J128" s="20" t="str">
        <f aca="false">IF(OR(D128="",G128&lt;=0),"",D128+7)</f>
        <v/>
      </c>
      <c r="K128" s="19" t="str">
        <f aca="false">IF(E128="","",IF(G128&lt;=0,"Settled",IF($C$4&gt;J128,"Chase now","Awaiting")))</f>
        <v/>
      </c>
      <c r="L128" s="14"/>
    </row>
    <row r="129" customFormat="false" ht="15" hidden="false" customHeight="false" outlineLevel="0" collapsed="false">
      <c r="A129" s="7"/>
      <c r="B129" s="7"/>
      <c r="C129" s="8"/>
      <c r="D129" s="8"/>
      <c r="E129" s="9"/>
      <c r="F129" s="9"/>
      <c r="G129" s="10" t="str">
        <f aca="false">IF(E129="","",E129-N(F129))</f>
        <v/>
      </c>
      <c r="H129" s="11" t="str">
        <f aca="false">IF(OR(D129="",G129=""),"",IF(G129&lt;=0,0,MAX(0,$C$4-D129)))</f>
        <v/>
      </c>
      <c r="I129" s="12" t="str">
        <f aca="false">IF(H129="","",IF(G129&lt;=0,"Paid",IF(H129=0,"Current",IF(H129&lt;=30,"1-30 days",IF(H129&lt;=60,"31-60 days",IF(H129&lt;=90,"61-90 days","90+ days"))))))</f>
        <v/>
      </c>
      <c r="J129" s="13" t="str">
        <f aca="false">IF(OR(D129="",G129&lt;=0),"",D129+7)</f>
        <v/>
      </c>
      <c r="K129" s="12" t="str">
        <f aca="false">IF(E129="","",IF(G129&lt;=0,"Settled",IF($C$4&gt;J129,"Chase now","Awaiting")))</f>
        <v/>
      </c>
      <c r="L129" s="7"/>
    </row>
    <row r="130" customFormat="false" ht="15" hidden="false" customHeight="false" outlineLevel="0" collapsed="false">
      <c r="A130" s="14"/>
      <c r="B130" s="14"/>
      <c r="C130" s="15"/>
      <c r="D130" s="15"/>
      <c r="E130" s="16"/>
      <c r="F130" s="16"/>
      <c r="G130" s="17" t="str">
        <f aca="false">IF(E130="","",E130-N(F130))</f>
        <v/>
      </c>
      <c r="H130" s="18" t="str">
        <f aca="false">IF(OR(D130="",G130=""),"",IF(G130&lt;=0,0,MAX(0,$C$4-D130)))</f>
        <v/>
      </c>
      <c r="I130" s="19" t="str">
        <f aca="false">IF(H130="","",IF(G130&lt;=0,"Paid",IF(H130=0,"Current",IF(H130&lt;=30,"1-30 days",IF(H130&lt;=60,"31-60 days",IF(H130&lt;=90,"61-90 days","90+ days"))))))</f>
        <v/>
      </c>
      <c r="J130" s="20" t="str">
        <f aca="false">IF(OR(D130="",G130&lt;=0),"",D130+7)</f>
        <v/>
      </c>
      <c r="K130" s="19" t="str">
        <f aca="false">IF(E130="","",IF(G130&lt;=0,"Settled",IF($C$4&gt;J130,"Chase now","Awaiting")))</f>
        <v/>
      </c>
      <c r="L130" s="14"/>
    </row>
    <row r="131" customFormat="false" ht="15" hidden="false" customHeight="false" outlineLevel="0" collapsed="false">
      <c r="A131" s="7"/>
      <c r="B131" s="7"/>
      <c r="C131" s="8"/>
      <c r="D131" s="8"/>
      <c r="E131" s="9"/>
      <c r="F131" s="9"/>
      <c r="G131" s="10" t="str">
        <f aca="false">IF(E131="","",E131-N(F131))</f>
        <v/>
      </c>
      <c r="H131" s="11" t="str">
        <f aca="false">IF(OR(D131="",G131=""),"",IF(G131&lt;=0,0,MAX(0,$C$4-D131)))</f>
        <v/>
      </c>
      <c r="I131" s="12" t="str">
        <f aca="false">IF(H131="","",IF(G131&lt;=0,"Paid",IF(H131=0,"Current",IF(H131&lt;=30,"1-30 days",IF(H131&lt;=60,"31-60 days",IF(H131&lt;=90,"61-90 days","90+ days"))))))</f>
        <v/>
      </c>
      <c r="J131" s="13" t="str">
        <f aca="false">IF(OR(D131="",G131&lt;=0),"",D131+7)</f>
        <v/>
      </c>
      <c r="K131" s="12" t="str">
        <f aca="false">IF(E131="","",IF(G131&lt;=0,"Settled",IF($C$4&gt;J131,"Chase now","Awaiting")))</f>
        <v/>
      </c>
      <c r="L131" s="7"/>
    </row>
    <row r="132" customFormat="false" ht="15" hidden="false" customHeight="false" outlineLevel="0" collapsed="false">
      <c r="A132" s="14"/>
      <c r="B132" s="14"/>
      <c r="C132" s="15"/>
      <c r="D132" s="15"/>
      <c r="E132" s="16"/>
      <c r="F132" s="16"/>
      <c r="G132" s="17" t="str">
        <f aca="false">IF(E132="","",E132-N(F132))</f>
        <v/>
      </c>
      <c r="H132" s="18" t="str">
        <f aca="false">IF(OR(D132="",G132=""),"",IF(G132&lt;=0,0,MAX(0,$C$4-D132)))</f>
        <v/>
      </c>
      <c r="I132" s="19" t="str">
        <f aca="false">IF(H132="","",IF(G132&lt;=0,"Paid",IF(H132=0,"Current",IF(H132&lt;=30,"1-30 days",IF(H132&lt;=60,"31-60 days",IF(H132&lt;=90,"61-90 days","90+ days"))))))</f>
        <v/>
      </c>
      <c r="J132" s="20" t="str">
        <f aca="false">IF(OR(D132="",G132&lt;=0),"",D132+7)</f>
        <v/>
      </c>
      <c r="K132" s="19" t="str">
        <f aca="false">IF(E132="","",IF(G132&lt;=0,"Settled",IF($C$4&gt;J132,"Chase now","Awaiting")))</f>
        <v/>
      </c>
      <c r="L132" s="14"/>
    </row>
    <row r="133" customFormat="false" ht="15" hidden="false" customHeight="false" outlineLevel="0" collapsed="false">
      <c r="A133" s="7"/>
      <c r="B133" s="7"/>
      <c r="C133" s="8"/>
      <c r="D133" s="8"/>
      <c r="E133" s="9"/>
      <c r="F133" s="9"/>
      <c r="G133" s="10" t="str">
        <f aca="false">IF(E133="","",E133-N(F133))</f>
        <v/>
      </c>
      <c r="H133" s="11" t="str">
        <f aca="false">IF(OR(D133="",G133=""),"",IF(G133&lt;=0,0,MAX(0,$C$4-D133)))</f>
        <v/>
      </c>
      <c r="I133" s="12" t="str">
        <f aca="false">IF(H133="","",IF(G133&lt;=0,"Paid",IF(H133=0,"Current",IF(H133&lt;=30,"1-30 days",IF(H133&lt;=60,"31-60 days",IF(H133&lt;=90,"61-90 days","90+ days"))))))</f>
        <v/>
      </c>
      <c r="J133" s="13" t="str">
        <f aca="false">IF(OR(D133="",G133&lt;=0),"",D133+7)</f>
        <v/>
      </c>
      <c r="K133" s="12" t="str">
        <f aca="false">IF(E133="","",IF(G133&lt;=0,"Settled",IF($C$4&gt;J133,"Chase now","Awaiting")))</f>
        <v/>
      </c>
      <c r="L133" s="7"/>
    </row>
    <row r="134" customFormat="false" ht="15" hidden="false" customHeight="false" outlineLevel="0" collapsed="false">
      <c r="A134" s="14"/>
      <c r="B134" s="14"/>
      <c r="C134" s="15"/>
      <c r="D134" s="15"/>
      <c r="E134" s="16"/>
      <c r="F134" s="16"/>
      <c r="G134" s="17" t="str">
        <f aca="false">IF(E134="","",E134-N(F134))</f>
        <v/>
      </c>
      <c r="H134" s="18" t="str">
        <f aca="false">IF(OR(D134="",G134=""),"",IF(G134&lt;=0,0,MAX(0,$C$4-D134)))</f>
        <v/>
      </c>
      <c r="I134" s="19" t="str">
        <f aca="false">IF(H134="","",IF(G134&lt;=0,"Paid",IF(H134=0,"Current",IF(H134&lt;=30,"1-30 days",IF(H134&lt;=60,"31-60 days",IF(H134&lt;=90,"61-90 days","90+ days"))))))</f>
        <v/>
      </c>
      <c r="J134" s="20" t="str">
        <f aca="false">IF(OR(D134="",G134&lt;=0),"",D134+7)</f>
        <v/>
      </c>
      <c r="K134" s="19" t="str">
        <f aca="false">IF(E134="","",IF(G134&lt;=0,"Settled",IF($C$4&gt;J134,"Chase now","Awaiting")))</f>
        <v/>
      </c>
      <c r="L134" s="14"/>
    </row>
    <row r="135" customFormat="false" ht="15" hidden="false" customHeight="false" outlineLevel="0" collapsed="false">
      <c r="A135" s="7"/>
      <c r="B135" s="7"/>
      <c r="C135" s="8"/>
      <c r="D135" s="8"/>
      <c r="E135" s="9"/>
      <c r="F135" s="9"/>
      <c r="G135" s="10" t="str">
        <f aca="false">IF(E135="","",E135-N(F135))</f>
        <v/>
      </c>
      <c r="H135" s="11" t="str">
        <f aca="false">IF(OR(D135="",G135=""),"",IF(G135&lt;=0,0,MAX(0,$C$4-D135)))</f>
        <v/>
      </c>
      <c r="I135" s="12" t="str">
        <f aca="false">IF(H135="","",IF(G135&lt;=0,"Paid",IF(H135=0,"Current",IF(H135&lt;=30,"1-30 days",IF(H135&lt;=60,"31-60 days",IF(H135&lt;=90,"61-90 days","90+ days"))))))</f>
        <v/>
      </c>
      <c r="J135" s="13" t="str">
        <f aca="false">IF(OR(D135="",G135&lt;=0),"",D135+7)</f>
        <v/>
      </c>
      <c r="K135" s="12" t="str">
        <f aca="false">IF(E135="","",IF(G135&lt;=0,"Settled",IF($C$4&gt;J135,"Chase now","Awaiting")))</f>
        <v/>
      </c>
      <c r="L135" s="7"/>
    </row>
    <row r="136" customFormat="false" ht="15" hidden="false" customHeight="false" outlineLevel="0" collapsed="false">
      <c r="A136" s="14"/>
      <c r="B136" s="14"/>
      <c r="C136" s="15"/>
      <c r="D136" s="15"/>
      <c r="E136" s="16"/>
      <c r="F136" s="16"/>
      <c r="G136" s="17" t="str">
        <f aca="false">IF(E136="","",E136-N(F136))</f>
        <v/>
      </c>
      <c r="H136" s="18" t="str">
        <f aca="false">IF(OR(D136="",G136=""),"",IF(G136&lt;=0,0,MAX(0,$C$4-D136)))</f>
        <v/>
      </c>
      <c r="I136" s="19" t="str">
        <f aca="false">IF(H136="","",IF(G136&lt;=0,"Paid",IF(H136=0,"Current",IF(H136&lt;=30,"1-30 days",IF(H136&lt;=60,"31-60 days",IF(H136&lt;=90,"61-90 days","90+ days"))))))</f>
        <v/>
      </c>
      <c r="J136" s="20" t="str">
        <f aca="false">IF(OR(D136="",G136&lt;=0),"",D136+7)</f>
        <v/>
      </c>
      <c r="K136" s="19" t="str">
        <f aca="false">IF(E136="","",IF(G136&lt;=0,"Settled",IF($C$4&gt;J136,"Chase now","Awaiting")))</f>
        <v/>
      </c>
      <c r="L136" s="14"/>
    </row>
    <row r="137" customFormat="false" ht="15" hidden="false" customHeight="false" outlineLevel="0" collapsed="false">
      <c r="A137" s="7"/>
      <c r="B137" s="7"/>
      <c r="C137" s="8"/>
      <c r="D137" s="8"/>
      <c r="E137" s="9"/>
      <c r="F137" s="9"/>
      <c r="G137" s="10" t="str">
        <f aca="false">IF(E137="","",E137-N(F137))</f>
        <v/>
      </c>
      <c r="H137" s="11" t="str">
        <f aca="false">IF(OR(D137="",G137=""),"",IF(G137&lt;=0,0,MAX(0,$C$4-D137)))</f>
        <v/>
      </c>
      <c r="I137" s="12" t="str">
        <f aca="false">IF(H137="","",IF(G137&lt;=0,"Paid",IF(H137=0,"Current",IF(H137&lt;=30,"1-30 days",IF(H137&lt;=60,"31-60 days",IF(H137&lt;=90,"61-90 days","90+ days"))))))</f>
        <v/>
      </c>
      <c r="J137" s="13" t="str">
        <f aca="false">IF(OR(D137="",G137&lt;=0),"",D137+7)</f>
        <v/>
      </c>
      <c r="K137" s="12" t="str">
        <f aca="false">IF(E137="","",IF(G137&lt;=0,"Settled",IF($C$4&gt;J137,"Chase now","Awaiting")))</f>
        <v/>
      </c>
      <c r="L137" s="7"/>
    </row>
    <row r="138" customFormat="false" ht="15" hidden="false" customHeight="false" outlineLevel="0" collapsed="false">
      <c r="A138" s="14"/>
      <c r="B138" s="14"/>
      <c r="C138" s="15"/>
      <c r="D138" s="15"/>
      <c r="E138" s="16"/>
      <c r="F138" s="16"/>
      <c r="G138" s="17" t="str">
        <f aca="false">IF(E138="","",E138-N(F138))</f>
        <v/>
      </c>
      <c r="H138" s="18" t="str">
        <f aca="false">IF(OR(D138="",G138=""),"",IF(G138&lt;=0,0,MAX(0,$C$4-D138)))</f>
        <v/>
      </c>
      <c r="I138" s="19" t="str">
        <f aca="false">IF(H138="","",IF(G138&lt;=0,"Paid",IF(H138=0,"Current",IF(H138&lt;=30,"1-30 days",IF(H138&lt;=60,"31-60 days",IF(H138&lt;=90,"61-90 days","90+ days"))))))</f>
        <v/>
      </c>
      <c r="J138" s="20" t="str">
        <f aca="false">IF(OR(D138="",G138&lt;=0),"",D138+7)</f>
        <v/>
      </c>
      <c r="K138" s="19" t="str">
        <f aca="false">IF(E138="","",IF(G138&lt;=0,"Settled",IF($C$4&gt;J138,"Chase now","Awaiting")))</f>
        <v/>
      </c>
      <c r="L138" s="14"/>
    </row>
    <row r="139" customFormat="false" ht="15" hidden="false" customHeight="false" outlineLevel="0" collapsed="false">
      <c r="A139" s="7"/>
      <c r="B139" s="7"/>
      <c r="C139" s="8"/>
      <c r="D139" s="8"/>
      <c r="E139" s="9"/>
      <c r="F139" s="9"/>
      <c r="G139" s="10" t="str">
        <f aca="false">IF(E139="","",E139-N(F139))</f>
        <v/>
      </c>
      <c r="H139" s="11" t="str">
        <f aca="false">IF(OR(D139="",G139=""),"",IF(G139&lt;=0,0,MAX(0,$C$4-D139)))</f>
        <v/>
      </c>
      <c r="I139" s="12" t="str">
        <f aca="false">IF(H139="","",IF(G139&lt;=0,"Paid",IF(H139=0,"Current",IF(H139&lt;=30,"1-30 days",IF(H139&lt;=60,"31-60 days",IF(H139&lt;=90,"61-90 days","90+ days"))))))</f>
        <v/>
      </c>
      <c r="J139" s="13" t="str">
        <f aca="false">IF(OR(D139="",G139&lt;=0),"",D139+7)</f>
        <v/>
      </c>
      <c r="K139" s="12" t="str">
        <f aca="false">IF(E139="","",IF(G139&lt;=0,"Settled",IF($C$4&gt;J139,"Chase now","Awaiting")))</f>
        <v/>
      </c>
      <c r="L139" s="7"/>
    </row>
    <row r="140" customFormat="false" ht="15" hidden="false" customHeight="false" outlineLevel="0" collapsed="false">
      <c r="A140" s="14"/>
      <c r="B140" s="14"/>
      <c r="C140" s="15"/>
      <c r="D140" s="15"/>
      <c r="E140" s="16"/>
      <c r="F140" s="16"/>
      <c r="G140" s="17" t="str">
        <f aca="false">IF(E140="","",E140-N(F140))</f>
        <v/>
      </c>
      <c r="H140" s="18" t="str">
        <f aca="false">IF(OR(D140="",G140=""),"",IF(G140&lt;=0,0,MAX(0,$C$4-D140)))</f>
        <v/>
      </c>
      <c r="I140" s="19" t="str">
        <f aca="false">IF(H140="","",IF(G140&lt;=0,"Paid",IF(H140=0,"Current",IF(H140&lt;=30,"1-30 days",IF(H140&lt;=60,"31-60 days",IF(H140&lt;=90,"61-90 days","90+ days"))))))</f>
        <v/>
      </c>
      <c r="J140" s="20" t="str">
        <f aca="false">IF(OR(D140="",G140&lt;=0),"",D140+7)</f>
        <v/>
      </c>
      <c r="K140" s="19" t="str">
        <f aca="false">IF(E140="","",IF(G140&lt;=0,"Settled",IF($C$4&gt;J140,"Chase now","Awaiting")))</f>
        <v/>
      </c>
      <c r="L140" s="14"/>
    </row>
    <row r="141" customFormat="false" ht="15" hidden="false" customHeight="false" outlineLevel="0" collapsed="false">
      <c r="A141" s="7"/>
      <c r="B141" s="7"/>
      <c r="C141" s="8"/>
      <c r="D141" s="8"/>
      <c r="E141" s="9"/>
      <c r="F141" s="9"/>
      <c r="G141" s="10" t="str">
        <f aca="false">IF(E141="","",E141-N(F141))</f>
        <v/>
      </c>
      <c r="H141" s="11" t="str">
        <f aca="false">IF(OR(D141="",G141=""),"",IF(G141&lt;=0,0,MAX(0,$C$4-D141)))</f>
        <v/>
      </c>
      <c r="I141" s="12" t="str">
        <f aca="false">IF(H141="","",IF(G141&lt;=0,"Paid",IF(H141=0,"Current",IF(H141&lt;=30,"1-30 days",IF(H141&lt;=60,"31-60 days",IF(H141&lt;=90,"61-90 days","90+ days"))))))</f>
        <v/>
      </c>
      <c r="J141" s="13" t="str">
        <f aca="false">IF(OR(D141="",G141&lt;=0),"",D141+7)</f>
        <v/>
      </c>
      <c r="K141" s="12" t="str">
        <f aca="false">IF(E141="","",IF(G141&lt;=0,"Settled",IF($C$4&gt;J141,"Chase now","Awaiting")))</f>
        <v/>
      </c>
      <c r="L141" s="7"/>
    </row>
    <row r="142" customFormat="false" ht="15" hidden="false" customHeight="false" outlineLevel="0" collapsed="false">
      <c r="A142" s="14"/>
      <c r="B142" s="14"/>
      <c r="C142" s="15"/>
      <c r="D142" s="15"/>
      <c r="E142" s="16"/>
      <c r="F142" s="16"/>
      <c r="G142" s="17" t="str">
        <f aca="false">IF(E142="","",E142-N(F142))</f>
        <v/>
      </c>
      <c r="H142" s="18" t="str">
        <f aca="false">IF(OR(D142="",G142=""),"",IF(G142&lt;=0,0,MAX(0,$C$4-D142)))</f>
        <v/>
      </c>
      <c r="I142" s="19" t="str">
        <f aca="false">IF(H142="","",IF(G142&lt;=0,"Paid",IF(H142=0,"Current",IF(H142&lt;=30,"1-30 days",IF(H142&lt;=60,"31-60 days",IF(H142&lt;=90,"61-90 days","90+ days"))))))</f>
        <v/>
      </c>
      <c r="J142" s="20" t="str">
        <f aca="false">IF(OR(D142="",G142&lt;=0),"",D142+7)</f>
        <v/>
      </c>
      <c r="K142" s="19" t="str">
        <f aca="false">IF(E142="","",IF(G142&lt;=0,"Settled",IF($C$4&gt;J142,"Chase now","Awaiting")))</f>
        <v/>
      </c>
      <c r="L142" s="14"/>
    </row>
    <row r="143" customFormat="false" ht="15" hidden="false" customHeight="false" outlineLevel="0" collapsed="false">
      <c r="A143" s="7"/>
      <c r="B143" s="7"/>
      <c r="C143" s="8"/>
      <c r="D143" s="8"/>
      <c r="E143" s="9"/>
      <c r="F143" s="9"/>
      <c r="G143" s="10" t="str">
        <f aca="false">IF(E143="","",E143-N(F143))</f>
        <v/>
      </c>
      <c r="H143" s="11" t="str">
        <f aca="false">IF(OR(D143="",G143=""),"",IF(G143&lt;=0,0,MAX(0,$C$4-D143)))</f>
        <v/>
      </c>
      <c r="I143" s="12" t="str">
        <f aca="false">IF(H143="","",IF(G143&lt;=0,"Paid",IF(H143=0,"Current",IF(H143&lt;=30,"1-30 days",IF(H143&lt;=60,"31-60 days",IF(H143&lt;=90,"61-90 days","90+ days"))))))</f>
        <v/>
      </c>
      <c r="J143" s="13" t="str">
        <f aca="false">IF(OR(D143="",G143&lt;=0),"",D143+7)</f>
        <v/>
      </c>
      <c r="K143" s="12" t="str">
        <f aca="false">IF(E143="","",IF(G143&lt;=0,"Settled",IF($C$4&gt;J143,"Chase now","Awaiting")))</f>
        <v/>
      </c>
      <c r="L143" s="7"/>
    </row>
    <row r="144" customFormat="false" ht="15" hidden="false" customHeight="false" outlineLevel="0" collapsed="false">
      <c r="A144" s="14"/>
      <c r="B144" s="14"/>
      <c r="C144" s="15"/>
      <c r="D144" s="15"/>
      <c r="E144" s="16"/>
      <c r="F144" s="16"/>
      <c r="G144" s="17" t="str">
        <f aca="false">IF(E144="","",E144-N(F144))</f>
        <v/>
      </c>
      <c r="H144" s="18" t="str">
        <f aca="false">IF(OR(D144="",G144=""),"",IF(G144&lt;=0,0,MAX(0,$C$4-D144)))</f>
        <v/>
      </c>
      <c r="I144" s="19" t="str">
        <f aca="false">IF(H144="","",IF(G144&lt;=0,"Paid",IF(H144=0,"Current",IF(H144&lt;=30,"1-30 days",IF(H144&lt;=60,"31-60 days",IF(H144&lt;=90,"61-90 days","90+ days"))))))</f>
        <v/>
      </c>
      <c r="J144" s="20" t="str">
        <f aca="false">IF(OR(D144="",G144&lt;=0),"",D144+7)</f>
        <v/>
      </c>
      <c r="K144" s="19" t="str">
        <f aca="false">IF(E144="","",IF(G144&lt;=0,"Settled",IF($C$4&gt;J144,"Chase now","Awaiting")))</f>
        <v/>
      </c>
      <c r="L144" s="14"/>
    </row>
    <row r="145" customFormat="false" ht="15" hidden="false" customHeight="false" outlineLevel="0" collapsed="false">
      <c r="A145" s="7"/>
      <c r="B145" s="7"/>
      <c r="C145" s="8"/>
      <c r="D145" s="8"/>
      <c r="E145" s="9"/>
      <c r="F145" s="9"/>
      <c r="G145" s="10" t="str">
        <f aca="false">IF(E145="","",E145-N(F145))</f>
        <v/>
      </c>
      <c r="H145" s="11" t="str">
        <f aca="false">IF(OR(D145="",G145=""),"",IF(G145&lt;=0,0,MAX(0,$C$4-D145)))</f>
        <v/>
      </c>
      <c r="I145" s="12" t="str">
        <f aca="false">IF(H145="","",IF(G145&lt;=0,"Paid",IF(H145=0,"Current",IF(H145&lt;=30,"1-30 days",IF(H145&lt;=60,"31-60 days",IF(H145&lt;=90,"61-90 days","90+ days"))))))</f>
        <v/>
      </c>
      <c r="J145" s="13" t="str">
        <f aca="false">IF(OR(D145="",G145&lt;=0),"",D145+7)</f>
        <v/>
      </c>
      <c r="K145" s="12" t="str">
        <f aca="false">IF(E145="","",IF(G145&lt;=0,"Settled",IF($C$4&gt;J145,"Chase now","Awaiting")))</f>
        <v/>
      </c>
      <c r="L145" s="7"/>
    </row>
    <row r="146" customFormat="false" ht="15" hidden="false" customHeight="false" outlineLevel="0" collapsed="false">
      <c r="A146" s="14"/>
      <c r="B146" s="14"/>
      <c r="C146" s="15"/>
      <c r="D146" s="15"/>
      <c r="E146" s="16"/>
      <c r="F146" s="16"/>
      <c r="G146" s="17" t="str">
        <f aca="false">IF(E146="","",E146-N(F146))</f>
        <v/>
      </c>
      <c r="H146" s="18" t="str">
        <f aca="false">IF(OR(D146="",G146=""),"",IF(G146&lt;=0,0,MAX(0,$C$4-D146)))</f>
        <v/>
      </c>
      <c r="I146" s="19" t="str">
        <f aca="false">IF(H146="","",IF(G146&lt;=0,"Paid",IF(H146=0,"Current",IF(H146&lt;=30,"1-30 days",IF(H146&lt;=60,"31-60 days",IF(H146&lt;=90,"61-90 days","90+ days"))))))</f>
        <v/>
      </c>
      <c r="J146" s="20" t="str">
        <f aca="false">IF(OR(D146="",G146&lt;=0),"",D146+7)</f>
        <v/>
      </c>
      <c r="K146" s="19" t="str">
        <f aca="false">IF(E146="","",IF(G146&lt;=0,"Settled",IF($C$4&gt;J146,"Chase now","Awaiting")))</f>
        <v/>
      </c>
      <c r="L146" s="14"/>
    </row>
    <row r="147" customFormat="false" ht="15" hidden="false" customHeight="false" outlineLevel="0" collapsed="false">
      <c r="A147" s="7"/>
      <c r="B147" s="7"/>
      <c r="C147" s="8"/>
      <c r="D147" s="8"/>
      <c r="E147" s="9"/>
      <c r="F147" s="9"/>
      <c r="G147" s="10" t="str">
        <f aca="false">IF(E147="","",E147-N(F147))</f>
        <v/>
      </c>
      <c r="H147" s="11" t="str">
        <f aca="false">IF(OR(D147="",G147=""),"",IF(G147&lt;=0,0,MAX(0,$C$4-D147)))</f>
        <v/>
      </c>
      <c r="I147" s="12" t="str">
        <f aca="false">IF(H147="","",IF(G147&lt;=0,"Paid",IF(H147=0,"Current",IF(H147&lt;=30,"1-30 days",IF(H147&lt;=60,"31-60 days",IF(H147&lt;=90,"61-90 days","90+ days"))))))</f>
        <v/>
      </c>
      <c r="J147" s="13" t="str">
        <f aca="false">IF(OR(D147="",G147&lt;=0),"",D147+7)</f>
        <v/>
      </c>
      <c r="K147" s="12" t="str">
        <f aca="false">IF(E147="","",IF(G147&lt;=0,"Settled",IF($C$4&gt;J147,"Chase now","Awaiting")))</f>
        <v/>
      </c>
      <c r="L147" s="7"/>
    </row>
    <row r="148" customFormat="false" ht="15" hidden="false" customHeight="false" outlineLevel="0" collapsed="false">
      <c r="A148" s="14"/>
      <c r="B148" s="14"/>
      <c r="C148" s="15"/>
      <c r="D148" s="15"/>
      <c r="E148" s="16"/>
      <c r="F148" s="16"/>
      <c r="G148" s="17" t="str">
        <f aca="false">IF(E148="","",E148-N(F148))</f>
        <v/>
      </c>
      <c r="H148" s="18" t="str">
        <f aca="false">IF(OR(D148="",G148=""),"",IF(G148&lt;=0,0,MAX(0,$C$4-D148)))</f>
        <v/>
      </c>
      <c r="I148" s="19" t="str">
        <f aca="false">IF(H148="","",IF(G148&lt;=0,"Paid",IF(H148=0,"Current",IF(H148&lt;=30,"1-30 days",IF(H148&lt;=60,"31-60 days",IF(H148&lt;=90,"61-90 days","90+ days"))))))</f>
        <v/>
      </c>
      <c r="J148" s="20" t="str">
        <f aca="false">IF(OR(D148="",G148&lt;=0),"",D148+7)</f>
        <v/>
      </c>
      <c r="K148" s="19" t="str">
        <f aca="false">IF(E148="","",IF(G148&lt;=0,"Settled",IF($C$4&gt;J148,"Chase now","Awaiting")))</f>
        <v/>
      </c>
      <c r="L148" s="14"/>
    </row>
    <row r="149" customFormat="false" ht="15" hidden="false" customHeight="false" outlineLevel="0" collapsed="false">
      <c r="A149" s="7"/>
      <c r="B149" s="7"/>
      <c r="C149" s="8"/>
      <c r="D149" s="8"/>
      <c r="E149" s="9"/>
      <c r="F149" s="9"/>
      <c r="G149" s="10" t="str">
        <f aca="false">IF(E149="","",E149-N(F149))</f>
        <v/>
      </c>
      <c r="H149" s="11" t="str">
        <f aca="false">IF(OR(D149="",G149=""),"",IF(G149&lt;=0,0,MAX(0,$C$4-D149)))</f>
        <v/>
      </c>
      <c r="I149" s="12" t="str">
        <f aca="false">IF(H149="","",IF(G149&lt;=0,"Paid",IF(H149=0,"Current",IF(H149&lt;=30,"1-30 days",IF(H149&lt;=60,"31-60 days",IF(H149&lt;=90,"61-90 days","90+ days"))))))</f>
        <v/>
      </c>
      <c r="J149" s="13" t="str">
        <f aca="false">IF(OR(D149="",G149&lt;=0),"",D149+7)</f>
        <v/>
      </c>
      <c r="K149" s="12" t="str">
        <f aca="false">IF(E149="","",IF(G149&lt;=0,"Settled",IF($C$4&gt;J149,"Chase now","Awaiting")))</f>
        <v/>
      </c>
      <c r="L149" s="7"/>
    </row>
    <row r="150" customFormat="false" ht="15" hidden="false" customHeight="false" outlineLevel="0" collapsed="false">
      <c r="A150" s="14"/>
      <c r="B150" s="14"/>
      <c r="C150" s="15"/>
      <c r="D150" s="15"/>
      <c r="E150" s="16"/>
      <c r="F150" s="16"/>
      <c r="G150" s="17" t="str">
        <f aca="false">IF(E150="","",E150-N(F150))</f>
        <v/>
      </c>
      <c r="H150" s="18" t="str">
        <f aca="false">IF(OR(D150="",G150=""),"",IF(G150&lt;=0,0,MAX(0,$C$4-D150)))</f>
        <v/>
      </c>
      <c r="I150" s="19" t="str">
        <f aca="false">IF(H150="","",IF(G150&lt;=0,"Paid",IF(H150=0,"Current",IF(H150&lt;=30,"1-30 days",IF(H150&lt;=60,"31-60 days",IF(H150&lt;=90,"61-90 days","90+ days"))))))</f>
        <v/>
      </c>
      <c r="J150" s="20" t="str">
        <f aca="false">IF(OR(D150="",G150&lt;=0),"",D150+7)</f>
        <v/>
      </c>
      <c r="K150" s="19" t="str">
        <f aca="false">IF(E150="","",IF(G150&lt;=0,"Settled",IF($C$4&gt;J150,"Chase now","Awaiting")))</f>
        <v/>
      </c>
      <c r="L150" s="14"/>
    </row>
    <row r="151" customFormat="false" ht="15" hidden="false" customHeight="false" outlineLevel="0" collapsed="false">
      <c r="A151" s="7"/>
      <c r="B151" s="7"/>
      <c r="C151" s="8"/>
      <c r="D151" s="8"/>
      <c r="E151" s="9"/>
      <c r="F151" s="9"/>
      <c r="G151" s="10" t="str">
        <f aca="false">IF(E151="","",E151-N(F151))</f>
        <v/>
      </c>
      <c r="H151" s="11" t="str">
        <f aca="false">IF(OR(D151="",G151=""),"",IF(G151&lt;=0,0,MAX(0,$C$4-D151)))</f>
        <v/>
      </c>
      <c r="I151" s="12" t="str">
        <f aca="false">IF(H151="","",IF(G151&lt;=0,"Paid",IF(H151=0,"Current",IF(H151&lt;=30,"1-30 days",IF(H151&lt;=60,"31-60 days",IF(H151&lt;=90,"61-90 days","90+ days"))))))</f>
        <v/>
      </c>
      <c r="J151" s="13" t="str">
        <f aca="false">IF(OR(D151="",G151&lt;=0),"",D151+7)</f>
        <v/>
      </c>
      <c r="K151" s="12" t="str">
        <f aca="false">IF(E151="","",IF(G151&lt;=0,"Settled",IF($C$4&gt;J151,"Chase now","Awaiting")))</f>
        <v/>
      </c>
      <c r="L151" s="7"/>
    </row>
    <row r="152" customFormat="false" ht="15" hidden="false" customHeight="false" outlineLevel="0" collapsed="false">
      <c r="A152" s="14"/>
      <c r="B152" s="14"/>
      <c r="C152" s="15"/>
      <c r="D152" s="15"/>
      <c r="E152" s="16"/>
      <c r="F152" s="16"/>
      <c r="G152" s="17" t="str">
        <f aca="false">IF(E152="","",E152-N(F152))</f>
        <v/>
      </c>
      <c r="H152" s="18" t="str">
        <f aca="false">IF(OR(D152="",G152=""),"",IF(G152&lt;=0,0,MAX(0,$C$4-D152)))</f>
        <v/>
      </c>
      <c r="I152" s="19" t="str">
        <f aca="false">IF(H152="","",IF(G152&lt;=0,"Paid",IF(H152=0,"Current",IF(H152&lt;=30,"1-30 days",IF(H152&lt;=60,"31-60 days",IF(H152&lt;=90,"61-90 days","90+ days"))))))</f>
        <v/>
      </c>
      <c r="J152" s="20" t="str">
        <f aca="false">IF(OR(D152="",G152&lt;=0),"",D152+7)</f>
        <v/>
      </c>
      <c r="K152" s="19" t="str">
        <f aca="false">IF(E152="","",IF(G152&lt;=0,"Settled",IF($C$4&gt;J152,"Chase now","Awaiting")))</f>
        <v/>
      </c>
      <c r="L152" s="14"/>
    </row>
    <row r="153" customFormat="false" ht="15" hidden="false" customHeight="false" outlineLevel="0" collapsed="false">
      <c r="A153" s="7"/>
      <c r="B153" s="7"/>
      <c r="C153" s="8"/>
      <c r="D153" s="8"/>
      <c r="E153" s="9"/>
      <c r="F153" s="9"/>
      <c r="G153" s="10" t="str">
        <f aca="false">IF(E153="","",E153-N(F153))</f>
        <v/>
      </c>
      <c r="H153" s="11" t="str">
        <f aca="false">IF(OR(D153="",G153=""),"",IF(G153&lt;=0,0,MAX(0,$C$4-D153)))</f>
        <v/>
      </c>
      <c r="I153" s="12" t="str">
        <f aca="false">IF(H153="","",IF(G153&lt;=0,"Paid",IF(H153=0,"Current",IF(H153&lt;=30,"1-30 days",IF(H153&lt;=60,"31-60 days",IF(H153&lt;=90,"61-90 days","90+ days"))))))</f>
        <v/>
      </c>
      <c r="J153" s="13" t="str">
        <f aca="false">IF(OR(D153="",G153&lt;=0),"",D153+7)</f>
        <v/>
      </c>
      <c r="K153" s="12" t="str">
        <f aca="false">IF(E153="","",IF(G153&lt;=0,"Settled",IF($C$4&gt;J153,"Chase now","Awaiting")))</f>
        <v/>
      </c>
      <c r="L153" s="7"/>
    </row>
    <row r="154" customFormat="false" ht="15" hidden="false" customHeight="false" outlineLevel="0" collapsed="false">
      <c r="A154" s="14"/>
      <c r="B154" s="14"/>
      <c r="C154" s="15"/>
      <c r="D154" s="15"/>
      <c r="E154" s="16"/>
      <c r="F154" s="16"/>
      <c r="G154" s="17" t="str">
        <f aca="false">IF(E154="","",E154-N(F154))</f>
        <v/>
      </c>
      <c r="H154" s="18" t="str">
        <f aca="false">IF(OR(D154="",G154=""),"",IF(G154&lt;=0,0,MAX(0,$C$4-D154)))</f>
        <v/>
      </c>
      <c r="I154" s="19" t="str">
        <f aca="false">IF(H154="","",IF(G154&lt;=0,"Paid",IF(H154=0,"Current",IF(H154&lt;=30,"1-30 days",IF(H154&lt;=60,"31-60 days",IF(H154&lt;=90,"61-90 days","90+ days"))))))</f>
        <v/>
      </c>
      <c r="J154" s="20" t="str">
        <f aca="false">IF(OR(D154="",G154&lt;=0),"",D154+7)</f>
        <v/>
      </c>
      <c r="K154" s="19" t="str">
        <f aca="false">IF(E154="","",IF(G154&lt;=0,"Settled",IF($C$4&gt;J154,"Chase now","Awaiting")))</f>
        <v/>
      </c>
      <c r="L154" s="14"/>
    </row>
    <row r="155" customFormat="false" ht="15" hidden="false" customHeight="false" outlineLevel="0" collapsed="false">
      <c r="A155" s="7"/>
      <c r="B155" s="7"/>
      <c r="C155" s="8"/>
      <c r="D155" s="8"/>
      <c r="E155" s="9"/>
      <c r="F155" s="9"/>
      <c r="G155" s="10" t="str">
        <f aca="false">IF(E155="","",E155-N(F155))</f>
        <v/>
      </c>
      <c r="H155" s="11" t="str">
        <f aca="false">IF(OR(D155="",G155=""),"",IF(G155&lt;=0,0,MAX(0,$C$4-D155)))</f>
        <v/>
      </c>
      <c r="I155" s="12" t="str">
        <f aca="false">IF(H155="","",IF(G155&lt;=0,"Paid",IF(H155=0,"Current",IF(H155&lt;=30,"1-30 days",IF(H155&lt;=60,"31-60 days",IF(H155&lt;=90,"61-90 days","90+ days"))))))</f>
        <v/>
      </c>
      <c r="J155" s="13" t="str">
        <f aca="false">IF(OR(D155="",G155&lt;=0),"",D155+7)</f>
        <v/>
      </c>
      <c r="K155" s="12" t="str">
        <f aca="false">IF(E155="","",IF(G155&lt;=0,"Settled",IF($C$4&gt;J155,"Chase now","Awaiting")))</f>
        <v/>
      </c>
      <c r="L155" s="7"/>
    </row>
    <row r="156" customFormat="false" ht="15" hidden="false" customHeight="false" outlineLevel="0" collapsed="false">
      <c r="A156" s="14"/>
      <c r="B156" s="14"/>
      <c r="C156" s="15"/>
      <c r="D156" s="15"/>
      <c r="E156" s="16"/>
      <c r="F156" s="16"/>
      <c r="G156" s="17" t="str">
        <f aca="false">IF(E156="","",E156-N(F156))</f>
        <v/>
      </c>
      <c r="H156" s="18" t="str">
        <f aca="false">IF(OR(D156="",G156=""),"",IF(G156&lt;=0,0,MAX(0,$C$4-D156)))</f>
        <v/>
      </c>
      <c r="I156" s="19" t="str">
        <f aca="false">IF(H156="","",IF(G156&lt;=0,"Paid",IF(H156=0,"Current",IF(H156&lt;=30,"1-30 days",IF(H156&lt;=60,"31-60 days",IF(H156&lt;=90,"61-90 days","90+ days"))))))</f>
        <v/>
      </c>
      <c r="J156" s="20" t="str">
        <f aca="false">IF(OR(D156="",G156&lt;=0),"",D156+7)</f>
        <v/>
      </c>
      <c r="K156" s="19" t="str">
        <f aca="false">IF(E156="","",IF(G156&lt;=0,"Settled",IF($C$4&gt;J156,"Chase now","Awaiting")))</f>
        <v/>
      </c>
      <c r="L156" s="14"/>
    </row>
    <row r="157" customFormat="false" ht="15" hidden="false" customHeight="false" outlineLevel="0" collapsed="false">
      <c r="A157" s="7"/>
      <c r="B157" s="7"/>
      <c r="C157" s="8"/>
      <c r="D157" s="8"/>
      <c r="E157" s="9"/>
      <c r="F157" s="9"/>
      <c r="G157" s="10" t="str">
        <f aca="false">IF(E157="","",E157-N(F157))</f>
        <v/>
      </c>
      <c r="H157" s="11" t="str">
        <f aca="false">IF(OR(D157="",G157=""),"",IF(G157&lt;=0,0,MAX(0,$C$4-D157)))</f>
        <v/>
      </c>
      <c r="I157" s="12" t="str">
        <f aca="false">IF(H157="","",IF(G157&lt;=0,"Paid",IF(H157=0,"Current",IF(H157&lt;=30,"1-30 days",IF(H157&lt;=60,"31-60 days",IF(H157&lt;=90,"61-90 days","90+ days"))))))</f>
        <v/>
      </c>
      <c r="J157" s="13" t="str">
        <f aca="false">IF(OR(D157="",G157&lt;=0),"",D157+7)</f>
        <v/>
      </c>
      <c r="K157" s="12" t="str">
        <f aca="false">IF(E157="","",IF(G157&lt;=0,"Settled",IF($C$4&gt;J157,"Chase now","Awaiting")))</f>
        <v/>
      </c>
      <c r="L157" s="7"/>
    </row>
    <row r="158" customFormat="false" ht="15" hidden="false" customHeight="false" outlineLevel="0" collapsed="false">
      <c r="A158" s="14"/>
      <c r="B158" s="14"/>
      <c r="C158" s="15"/>
      <c r="D158" s="15"/>
      <c r="E158" s="16"/>
      <c r="F158" s="16"/>
      <c r="G158" s="17" t="str">
        <f aca="false">IF(E158="","",E158-N(F158))</f>
        <v/>
      </c>
      <c r="H158" s="18" t="str">
        <f aca="false">IF(OR(D158="",G158=""),"",IF(G158&lt;=0,0,MAX(0,$C$4-D158)))</f>
        <v/>
      </c>
      <c r="I158" s="19" t="str">
        <f aca="false">IF(H158="","",IF(G158&lt;=0,"Paid",IF(H158=0,"Current",IF(H158&lt;=30,"1-30 days",IF(H158&lt;=60,"31-60 days",IF(H158&lt;=90,"61-90 days","90+ days"))))))</f>
        <v/>
      </c>
      <c r="J158" s="20" t="str">
        <f aca="false">IF(OR(D158="",G158&lt;=0),"",D158+7)</f>
        <v/>
      </c>
      <c r="K158" s="19" t="str">
        <f aca="false">IF(E158="","",IF(G158&lt;=0,"Settled",IF($C$4&gt;J158,"Chase now","Awaiting")))</f>
        <v/>
      </c>
      <c r="L158" s="14"/>
    </row>
    <row r="159" customFormat="false" ht="15" hidden="false" customHeight="false" outlineLevel="0" collapsed="false">
      <c r="A159" s="7"/>
      <c r="B159" s="7"/>
      <c r="C159" s="8"/>
      <c r="D159" s="8"/>
      <c r="E159" s="9"/>
      <c r="F159" s="9"/>
      <c r="G159" s="10" t="str">
        <f aca="false">IF(E159="","",E159-N(F159))</f>
        <v/>
      </c>
      <c r="H159" s="11" t="str">
        <f aca="false">IF(OR(D159="",G159=""),"",IF(G159&lt;=0,0,MAX(0,$C$4-D159)))</f>
        <v/>
      </c>
      <c r="I159" s="12" t="str">
        <f aca="false">IF(H159="","",IF(G159&lt;=0,"Paid",IF(H159=0,"Current",IF(H159&lt;=30,"1-30 days",IF(H159&lt;=60,"31-60 days",IF(H159&lt;=90,"61-90 days","90+ days"))))))</f>
        <v/>
      </c>
      <c r="J159" s="13" t="str">
        <f aca="false">IF(OR(D159="",G159&lt;=0),"",D159+7)</f>
        <v/>
      </c>
      <c r="K159" s="12" t="str">
        <f aca="false">IF(E159="","",IF(G159&lt;=0,"Settled",IF($C$4&gt;J159,"Chase now","Awaiting")))</f>
        <v/>
      </c>
      <c r="L159" s="7"/>
    </row>
    <row r="160" customFormat="false" ht="15" hidden="false" customHeight="false" outlineLevel="0" collapsed="false">
      <c r="A160" s="14"/>
      <c r="B160" s="14"/>
      <c r="C160" s="15"/>
      <c r="D160" s="15"/>
      <c r="E160" s="16"/>
      <c r="F160" s="16"/>
      <c r="G160" s="17" t="str">
        <f aca="false">IF(E160="","",E160-N(F160))</f>
        <v/>
      </c>
      <c r="H160" s="18" t="str">
        <f aca="false">IF(OR(D160="",G160=""),"",IF(G160&lt;=0,0,MAX(0,$C$4-D160)))</f>
        <v/>
      </c>
      <c r="I160" s="19" t="str">
        <f aca="false">IF(H160="","",IF(G160&lt;=0,"Paid",IF(H160=0,"Current",IF(H160&lt;=30,"1-30 days",IF(H160&lt;=60,"31-60 days",IF(H160&lt;=90,"61-90 days","90+ days"))))))</f>
        <v/>
      </c>
      <c r="J160" s="20" t="str">
        <f aca="false">IF(OR(D160="",G160&lt;=0),"",D160+7)</f>
        <v/>
      </c>
      <c r="K160" s="19" t="str">
        <f aca="false">IF(E160="","",IF(G160&lt;=0,"Settled",IF($C$4&gt;J160,"Chase now","Awaiting")))</f>
        <v/>
      </c>
      <c r="L160" s="14"/>
    </row>
    <row r="161" customFormat="false" ht="15" hidden="false" customHeight="false" outlineLevel="0" collapsed="false">
      <c r="A161" s="7"/>
      <c r="B161" s="7"/>
      <c r="C161" s="8"/>
      <c r="D161" s="8"/>
      <c r="E161" s="9"/>
      <c r="F161" s="9"/>
      <c r="G161" s="10" t="str">
        <f aca="false">IF(E161="","",E161-N(F161))</f>
        <v/>
      </c>
      <c r="H161" s="11" t="str">
        <f aca="false">IF(OR(D161="",G161=""),"",IF(G161&lt;=0,0,MAX(0,$C$4-D161)))</f>
        <v/>
      </c>
      <c r="I161" s="12" t="str">
        <f aca="false">IF(H161="","",IF(G161&lt;=0,"Paid",IF(H161=0,"Current",IF(H161&lt;=30,"1-30 days",IF(H161&lt;=60,"31-60 days",IF(H161&lt;=90,"61-90 days","90+ days"))))))</f>
        <v/>
      </c>
      <c r="J161" s="13" t="str">
        <f aca="false">IF(OR(D161="",G161&lt;=0),"",D161+7)</f>
        <v/>
      </c>
      <c r="K161" s="12" t="str">
        <f aca="false">IF(E161="","",IF(G161&lt;=0,"Settled",IF($C$4&gt;J161,"Chase now","Awaiting")))</f>
        <v/>
      </c>
      <c r="L161" s="7"/>
    </row>
    <row r="162" customFormat="false" ht="15" hidden="false" customHeight="false" outlineLevel="0" collapsed="false">
      <c r="A162" s="14"/>
      <c r="B162" s="14"/>
      <c r="C162" s="15"/>
      <c r="D162" s="15"/>
      <c r="E162" s="16"/>
      <c r="F162" s="16"/>
      <c r="G162" s="17" t="str">
        <f aca="false">IF(E162="","",E162-N(F162))</f>
        <v/>
      </c>
      <c r="H162" s="18" t="str">
        <f aca="false">IF(OR(D162="",G162=""),"",IF(G162&lt;=0,0,MAX(0,$C$4-D162)))</f>
        <v/>
      </c>
      <c r="I162" s="19" t="str">
        <f aca="false">IF(H162="","",IF(G162&lt;=0,"Paid",IF(H162=0,"Current",IF(H162&lt;=30,"1-30 days",IF(H162&lt;=60,"31-60 days",IF(H162&lt;=90,"61-90 days","90+ days"))))))</f>
        <v/>
      </c>
      <c r="J162" s="20" t="str">
        <f aca="false">IF(OR(D162="",G162&lt;=0),"",D162+7)</f>
        <v/>
      </c>
      <c r="K162" s="19" t="str">
        <f aca="false">IF(E162="","",IF(G162&lt;=0,"Settled",IF($C$4&gt;J162,"Chase now","Awaiting")))</f>
        <v/>
      </c>
      <c r="L162" s="14"/>
    </row>
    <row r="163" customFormat="false" ht="15" hidden="false" customHeight="false" outlineLevel="0" collapsed="false">
      <c r="A163" s="7"/>
      <c r="B163" s="7"/>
      <c r="C163" s="8"/>
      <c r="D163" s="8"/>
      <c r="E163" s="9"/>
      <c r="F163" s="9"/>
      <c r="G163" s="10" t="str">
        <f aca="false">IF(E163="","",E163-N(F163))</f>
        <v/>
      </c>
      <c r="H163" s="11" t="str">
        <f aca="false">IF(OR(D163="",G163=""),"",IF(G163&lt;=0,0,MAX(0,$C$4-D163)))</f>
        <v/>
      </c>
      <c r="I163" s="12" t="str">
        <f aca="false">IF(H163="","",IF(G163&lt;=0,"Paid",IF(H163=0,"Current",IF(H163&lt;=30,"1-30 days",IF(H163&lt;=60,"31-60 days",IF(H163&lt;=90,"61-90 days","90+ days"))))))</f>
        <v/>
      </c>
      <c r="J163" s="13" t="str">
        <f aca="false">IF(OR(D163="",G163&lt;=0),"",D163+7)</f>
        <v/>
      </c>
      <c r="K163" s="12" t="str">
        <f aca="false">IF(E163="","",IF(G163&lt;=0,"Settled",IF($C$4&gt;J163,"Chase now","Awaiting")))</f>
        <v/>
      </c>
      <c r="L163" s="7"/>
    </row>
    <row r="164" customFormat="false" ht="15" hidden="false" customHeight="false" outlineLevel="0" collapsed="false">
      <c r="A164" s="14"/>
      <c r="B164" s="14"/>
      <c r="C164" s="15"/>
      <c r="D164" s="15"/>
      <c r="E164" s="16"/>
      <c r="F164" s="16"/>
      <c r="G164" s="17" t="str">
        <f aca="false">IF(E164="","",E164-N(F164))</f>
        <v/>
      </c>
      <c r="H164" s="18" t="str">
        <f aca="false">IF(OR(D164="",G164=""),"",IF(G164&lt;=0,0,MAX(0,$C$4-D164)))</f>
        <v/>
      </c>
      <c r="I164" s="19" t="str">
        <f aca="false">IF(H164="","",IF(G164&lt;=0,"Paid",IF(H164=0,"Current",IF(H164&lt;=30,"1-30 days",IF(H164&lt;=60,"31-60 days",IF(H164&lt;=90,"61-90 days","90+ days"))))))</f>
        <v/>
      </c>
      <c r="J164" s="20" t="str">
        <f aca="false">IF(OR(D164="",G164&lt;=0),"",D164+7)</f>
        <v/>
      </c>
      <c r="K164" s="19" t="str">
        <f aca="false">IF(E164="","",IF(G164&lt;=0,"Settled",IF($C$4&gt;J164,"Chase now","Awaiting")))</f>
        <v/>
      </c>
      <c r="L164" s="14"/>
    </row>
    <row r="165" customFormat="false" ht="15" hidden="false" customHeight="false" outlineLevel="0" collapsed="false">
      <c r="A165" s="7"/>
      <c r="B165" s="7"/>
      <c r="C165" s="8"/>
      <c r="D165" s="8"/>
      <c r="E165" s="9"/>
      <c r="F165" s="9"/>
      <c r="G165" s="10" t="str">
        <f aca="false">IF(E165="","",E165-N(F165))</f>
        <v/>
      </c>
      <c r="H165" s="11" t="str">
        <f aca="false">IF(OR(D165="",G165=""),"",IF(G165&lt;=0,0,MAX(0,$C$4-D165)))</f>
        <v/>
      </c>
      <c r="I165" s="12" t="str">
        <f aca="false">IF(H165="","",IF(G165&lt;=0,"Paid",IF(H165=0,"Current",IF(H165&lt;=30,"1-30 days",IF(H165&lt;=60,"31-60 days",IF(H165&lt;=90,"61-90 days","90+ days"))))))</f>
        <v/>
      </c>
      <c r="J165" s="13" t="str">
        <f aca="false">IF(OR(D165="",G165&lt;=0),"",D165+7)</f>
        <v/>
      </c>
      <c r="K165" s="12" t="str">
        <f aca="false">IF(E165="","",IF(G165&lt;=0,"Settled",IF($C$4&gt;J165,"Chase now","Awaiting")))</f>
        <v/>
      </c>
      <c r="L165" s="7"/>
    </row>
    <row r="166" customFormat="false" ht="15" hidden="false" customHeight="false" outlineLevel="0" collapsed="false">
      <c r="A166" s="14"/>
      <c r="B166" s="14"/>
      <c r="C166" s="15"/>
      <c r="D166" s="15"/>
      <c r="E166" s="16"/>
      <c r="F166" s="16"/>
      <c r="G166" s="17" t="str">
        <f aca="false">IF(E166="","",E166-N(F166))</f>
        <v/>
      </c>
      <c r="H166" s="18" t="str">
        <f aca="false">IF(OR(D166="",G166=""),"",IF(G166&lt;=0,0,MAX(0,$C$4-D166)))</f>
        <v/>
      </c>
      <c r="I166" s="19" t="str">
        <f aca="false">IF(H166="","",IF(G166&lt;=0,"Paid",IF(H166=0,"Current",IF(H166&lt;=30,"1-30 days",IF(H166&lt;=60,"31-60 days",IF(H166&lt;=90,"61-90 days","90+ days"))))))</f>
        <v/>
      </c>
      <c r="J166" s="20" t="str">
        <f aca="false">IF(OR(D166="",G166&lt;=0),"",D166+7)</f>
        <v/>
      </c>
      <c r="K166" s="19" t="str">
        <f aca="false">IF(E166="","",IF(G166&lt;=0,"Settled",IF($C$4&gt;J166,"Chase now","Awaiting")))</f>
        <v/>
      </c>
      <c r="L166" s="14"/>
    </row>
    <row r="167" customFormat="false" ht="15" hidden="false" customHeight="false" outlineLevel="0" collapsed="false">
      <c r="A167" s="7"/>
      <c r="B167" s="7"/>
      <c r="C167" s="8"/>
      <c r="D167" s="8"/>
      <c r="E167" s="9"/>
      <c r="F167" s="9"/>
      <c r="G167" s="10" t="str">
        <f aca="false">IF(E167="","",E167-N(F167))</f>
        <v/>
      </c>
      <c r="H167" s="11" t="str">
        <f aca="false">IF(OR(D167="",G167=""),"",IF(G167&lt;=0,0,MAX(0,$C$4-D167)))</f>
        <v/>
      </c>
      <c r="I167" s="12" t="str">
        <f aca="false">IF(H167="","",IF(G167&lt;=0,"Paid",IF(H167=0,"Current",IF(H167&lt;=30,"1-30 days",IF(H167&lt;=60,"31-60 days",IF(H167&lt;=90,"61-90 days","90+ days"))))))</f>
        <v/>
      </c>
      <c r="J167" s="13" t="str">
        <f aca="false">IF(OR(D167="",G167&lt;=0),"",D167+7)</f>
        <v/>
      </c>
      <c r="K167" s="12" t="str">
        <f aca="false">IF(E167="","",IF(G167&lt;=0,"Settled",IF($C$4&gt;J167,"Chase now","Awaiting")))</f>
        <v/>
      </c>
      <c r="L167" s="7"/>
    </row>
    <row r="168" customFormat="false" ht="15" hidden="false" customHeight="false" outlineLevel="0" collapsed="false">
      <c r="A168" s="14"/>
      <c r="B168" s="14"/>
      <c r="C168" s="15"/>
      <c r="D168" s="15"/>
      <c r="E168" s="16"/>
      <c r="F168" s="16"/>
      <c r="G168" s="17" t="str">
        <f aca="false">IF(E168="","",E168-N(F168))</f>
        <v/>
      </c>
      <c r="H168" s="18" t="str">
        <f aca="false">IF(OR(D168="",G168=""),"",IF(G168&lt;=0,0,MAX(0,$C$4-D168)))</f>
        <v/>
      </c>
      <c r="I168" s="19" t="str">
        <f aca="false">IF(H168="","",IF(G168&lt;=0,"Paid",IF(H168=0,"Current",IF(H168&lt;=30,"1-30 days",IF(H168&lt;=60,"31-60 days",IF(H168&lt;=90,"61-90 days","90+ days"))))))</f>
        <v/>
      </c>
      <c r="J168" s="20" t="str">
        <f aca="false">IF(OR(D168="",G168&lt;=0),"",D168+7)</f>
        <v/>
      </c>
      <c r="K168" s="19" t="str">
        <f aca="false">IF(E168="","",IF(G168&lt;=0,"Settled",IF($C$4&gt;J168,"Chase now","Awaiting")))</f>
        <v/>
      </c>
      <c r="L168" s="14"/>
    </row>
    <row r="169" customFormat="false" ht="15" hidden="false" customHeight="false" outlineLevel="0" collapsed="false">
      <c r="A169" s="7"/>
      <c r="B169" s="7"/>
      <c r="C169" s="8"/>
      <c r="D169" s="8"/>
      <c r="E169" s="9"/>
      <c r="F169" s="9"/>
      <c r="G169" s="10" t="str">
        <f aca="false">IF(E169="","",E169-N(F169))</f>
        <v/>
      </c>
      <c r="H169" s="11" t="str">
        <f aca="false">IF(OR(D169="",G169=""),"",IF(G169&lt;=0,0,MAX(0,$C$4-D169)))</f>
        <v/>
      </c>
      <c r="I169" s="12" t="str">
        <f aca="false">IF(H169="","",IF(G169&lt;=0,"Paid",IF(H169=0,"Current",IF(H169&lt;=30,"1-30 days",IF(H169&lt;=60,"31-60 days",IF(H169&lt;=90,"61-90 days","90+ days"))))))</f>
        <v/>
      </c>
      <c r="J169" s="13" t="str">
        <f aca="false">IF(OR(D169="",G169&lt;=0),"",D169+7)</f>
        <v/>
      </c>
      <c r="K169" s="12" t="str">
        <f aca="false">IF(E169="","",IF(G169&lt;=0,"Settled",IF($C$4&gt;J169,"Chase now","Awaiting")))</f>
        <v/>
      </c>
      <c r="L169" s="7"/>
    </row>
    <row r="170" customFormat="false" ht="15" hidden="false" customHeight="false" outlineLevel="0" collapsed="false">
      <c r="A170" s="14"/>
      <c r="B170" s="14"/>
      <c r="C170" s="15"/>
      <c r="D170" s="15"/>
      <c r="E170" s="16"/>
      <c r="F170" s="16"/>
      <c r="G170" s="17" t="str">
        <f aca="false">IF(E170="","",E170-N(F170))</f>
        <v/>
      </c>
      <c r="H170" s="18" t="str">
        <f aca="false">IF(OR(D170="",G170=""),"",IF(G170&lt;=0,0,MAX(0,$C$4-D170)))</f>
        <v/>
      </c>
      <c r="I170" s="19" t="str">
        <f aca="false">IF(H170="","",IF(G170&lt;=0,"Paid",IF(H170=0,"Current",IF(H170&lt;=30,"1-30 days",IF(H170&lt;=60,"31-60 days",IF(H170&lt;=90,"61-90 days","90+ days"))))))</f>
        <v/>
      </c>
      <c r="J170" s="20" t="str">
        <f aca="false">IF(OR(D170="",G170&lt;=0),"",D170+7)</f>
        <v/>
      </c>
      <c r="K170" s="19" t="str">
        <f aca="false">IF(E170="","",IF(G170&lt;=0,"Settled",IF($C$4&gt;J170,"Chase now","Awaiting")))</f>
        <v/>
      </c>
      <c r="L170" s="14"/>
    </row>
    <row r="171" customFormat="false" ht="15" hidden="false" customHeight="false" outlineLevel="0" collapsed="false">
      <c r="A171" s="7"/>
      <c r="B171" s="7"/>
      <c r="C171" s="8"/>
      <c r="D171" s="8"/>
      <c r="E171" s="9"/>
      <c r="F171" s="9"/>
      <c r="G171" s="10" t="str">
        <f aca="false">IF(E171="","",E171-N(F171))</f>
        <v/>
      </c>
      <c r="H171" s="11" t="str">
        <f aca="false">IF(OR(D171="",G171=""),"",IF(G171&lt;=0,0,MAX(0,$C$4-D171)))</f>
        <v/>
      </c>
      <c r="I171" s="12" t="str">
        <f aca="false">IF(H171="","",IF(G171&lt;=0,"Paid",IF(H171=0,"Current",IF(H171&lt;=30,"1-30 days",IF(H171&lt;=60,"31-60 days",IF(H171&lt;=90,"61-90 days","90+ days"))))))</f>
        <v/>
      </c>
      <c r="J171" s="13" t="str">
        <f aca="false">IF(OR(D171="",G171&lt;=0),"",D171+7)</f>
        <v/>
      </c>
      <c r="K171" s="12" t="str">
        <f aca="false">IF(E171="","",IF(G171&lt;=0,"Settled",IF($C$4&gt;J171,"Chase now","Awaiting")))</f>
        <v/>
      </c>
      <c r="L171" s="7"/>
    </row>
    <row r="172" customFormat="false" ht="15" hidden="false" customHeight="false" outlineLevel="0" collapsed="false">
      <c r="A172" s="14"/>
      <c r="B172" s="14"/>
      <c r="C172" s="15"/>
      <c r="D172" s="15"/>
      <c r="E172" s="16"/>
      <c r="F172" s="16"/>
      <c r="G172" s="17" t="str">
        <f aca="false">IF(E172="","",E172-N(F172))</f>
        <v/>
      </c>
      <c r="H172" s="18" t="str">
        <f aca="false">IF(OR(D172="",G172=""),"",IF(G172&lt;=0,0,MAX(0,$C$4-D172)))</f>
        <v/>
      </c>
      <c r="I172" s="19" t="str">
        <f aca="false">IF(H172="","",IF(G172&lt;=0,"Paid",IF(H172=0,"Current",IF(H172&lt;=30,"1-30 days",IF(H172&lt;=60,"31-60 days",IF(H172&lt;=90,"61-90 days","90+ days"))))))</f>
        <v/>
      </c>
      <c r="J172" s="20" t="str">
        <f aca="false">IF(OR(D172="",G172&lt;=0),"",D172+7)</f>
        <v/>
      </c>
      <c r="K172" s="19" t="str">
        <f aca="false">IF(E172="","",IF(G172&lt;=0,"Settled",IF($C$4&gt;J172,"Chase now","Awaiting")))</f>
        <v/>
      </c>
      <c r="L172" s="14"/>
    </row>
    <row r="173" customFormat="false" ht="15" hidden="false" customHeight="false" outlineLevel="0" collapsed="false">
      <c r="A173" s="7"/>
      <c r="B173" s="7"/>
      <c r="C173" s="8"/>
      <c r="D173" s="8"/>
      <c r="E173" s="9"/>
      <c r="F173" s="9"/>
      <c r="G173" s="10" t="str">
        <f aca="false">IF(E173="","",E173-N(F173))</f>
        <v/>
      </c>
      <c r="H173" s="11" t="str">
        <f aca="false">IF(OR(D173="",G173=""),"",IF(G173&lt;=0,0,MAX(0,$C$4-D173)))</f>
        <v/>
      </c>
      <c r="I173" s="12" t="str">
        <f aca="false">IF(H173="","",IF(G173&lt;=0,"Paid",IF(H173=0,"Current",IF(H173&lt;=30,"1-30 days",IF(H173&lt;=60,"31-60 days",IF(H173&lt;=90,"61-90 days","90+ days"))))))</f>
        <v/>
      </c>
      <c r="J173" s="13" t="str">
        <f aca="false">IF(OR(D173="",G173&lt;=0),"",D173+7)</f>
        <v/>
      </c>
      <c r="K173" s="12" t="str">
        <f aca="false">IF(E173="","",IF(G173&lt;=0,"Settled",IF($C$4&gt;J173,"Chase now","Awaiting")))</f>
        <v/>
      </c>
      <c r="L173" s="7"/>
    </row>
    <row r="174" customFormat="false" ht="15" hidden="false" customHeight="false" outlineLevel="0" collapsed="false">
      <c r="A174" s="14"/>
      <c r="B174" s="14"/>
      <c r="C174" s="15"/>
      <c r="D174" s="15"/>
      <c r="E174" s="16"/>
      <c r="F174" s="16"/>
      <c r="G174" s="17" t="str">
        <f aca="false">IF(E174="","",E174-N(F174))</f>
        <v/>
      </c>
      <c r="H174" s="18" t="str">
        <f aca="false">IF(OR(D174="",G174=""),"",IF(G174&lt;=0,0,MAX(0,$C$4-D174)))</f>
        <v/>
      </c>
      <c r="I174" s="19" t="str">
        <f aca="false">IF(H174="","",IF(G174&lt;=0,"Paid",IF(H174=0,"Current",IF(H174&lt;=30,"1-30 days",IF(H174&lt;=60,"31-60 days",IF(H174&lt;=90,"61-90 days","90+ days"))))))</f>
        <v/>
      </c>
      <c r="J174" s="20" t="str">
        <f aca="false">IF(OR(D174="",G174&lt;=0),"",D174+7)</f>
        <v/>
      </c>
      <c r="K174" s="19" t="str">
        <f aca="false">IF(E174="","",IF(G174&lt;=0,"Settled",IF($C$4&gt;J174,"Chase now","Awaiting")))</f>
        <v/>
      </c>
      <c r="L174" s="14"/>
    </row>
    <row r="175" customFormat="false" ht="15" hidden="false" customHeight="false" outlineLevel="0" collapsed="false">
      <c r="A175" s="7"/>
      <c r="B175" s="7"/>
      <c r="C175" s="8"/>
      <c r="D175" s="8"/>
      <c r="E175" s="9"/>
      <c r="F175" s="9"/>
      <c r="G175" s="10" t="str">
        <f aca="false">IF(E175="","",E175-N(F175))</f>
        <v/>
      </c>
      <c r="H175" s="11" t="str">
        <f aca="false">IF(OR(D175="",G175=""),"",IF(G175&lt;=0,0,MAX(0,$C$4-D175)))</f>
        <v/>
      </c>
      <c r="I175" s="12" t="str">
        <f aca="false">IF(H175="","",IF(G175&lt;=0,"Paid",IF(H175=0,"Current",IF(H175&lt;=30,"1-30 days",IF(H175&lt;=60,"31-60 days",IF(H175&lt;=90,"61-90 days","90+ days"))))))</f>
        <v/>
      </c>
      <c r="J175" s="13" t="str">
        <f aca="false">IF(OR(D175="",G175&lt;=0),"",D175+7)</f>
        <v/>
      </c>
      <c r="K175" s="12" t="str">
        <f aca="false">IF(E175="","",IF(G175&lt;=0,"Settled",IF($C$4&gt;J175,"Chase now","Awaiting")))</f>
        <v/>
      </c>
      <c r="L175" s="7"/>
    </row>
    <row r="176" customFormat="false" ht="15" hidden="false" customHeight="false" outlineLevel="0" collapsed="false">
      <c r="A176" s="14"/>
      <c r="B176" s="14"/>
      <c r="C176" s="15"/>
      <c r="D176" s="15"/>
      <c r="E176" s="16"/>
      <c r="F176" s="16"/>
      <c r="G176" s="17" t="str">
        <f aca="false">IF(E176="","",E176-N(F176))</f>
        <v/>
      </c>
      <c r="H176" s="18" t="str">
        <f aca="false">IF(OR(D176="",G176=""),"",IF(G176&lt;=0,0,MAX(0,$C$4-D176)))</f>
        <v/>
      </c>
      <c r="I176" s="19" t="str">
        <f aca="false">IF(H176="","",IF(G176&lt;=0,"Paid",IF(H176=0,"Current",IF(H176&lt;=30,"1-30 days",IF(H176&lt;=60,"31-60 days",IF(H176&lt;=90,"61-90 days","90+ days"))))))</f>
        <v/>
      </c>
      <c r="J176" s="20" t="str">
        <f aca="false">IF(OR(D176="",G176&lt;=0),"",D176+7)</f>
        <v/>
      </c>
      <c r="K176" s="19" t="str">
        <f aca="false">IF(E176="","",IF(G176&lt;=0,"Settled",IF($C$4&gt;J176,"Chase now","Awaiting")))</f>
        <v/>
      </c>
      <c r="L176" s="14"/>
    </row>
    <row r="177" customFormat="false" ht="15" hidden="false" customHeight="false" outlineLevel="0" collapsed="false">
      <c r="A177" s="7"/>
      <c r="B177" s="7"/>
      <c r="C177" s="8"/>
      <c r="D177" s="8"/>
      <c r="E177" s="9"/>
      <c r="F177" s="9"/>
      <c r="G177" s="10" t="str">
        <f aca="false">IF(E177="","",E177-N(F177))</f>
        <v/>
      </c>
      <c r="H177" s="11" t="str">
        <f aca="false">IF(OR(D177="",G177=""),"",IF(G177&lt;=0,0,MAX(0,$C$4-D177)))</f>
        <v/>
      </c>
      <c r="I177" s="12" t="str">
        <f aca="false">IF(H177="","",IF(G177&lt;=0,"Paid",IF(H177=0,"Current",IF(H177&lt;=30,"1-30 days",IF(H177&lt;=60,"31-60 days",IF(H177&lt;=90,"61-90 days","90+ days"))))))</f>
        <v/>
      </c>
      <c r="J177" s="13" t="str">
        <f aca="false">IF(OR(D177="",G177&lt;=0),"",D177+7)</f>
        <v/>
      </c>
      <c r="K177" s="12" t="str">
        <f aca="false">IF(E177="","",IF(G177&lt;=0,"Settled",IF($C$4&gt;J177,"Chase now","Awaiting")))</f>
        <v/>
      </c>
      <c r="L177" s="7"/>
    </row>
    <row r="178" customFormat="false" ht="15" hidden="false" customHeight="false" outlineLevel="0" collapsed="false">
      <c r="A178" s="14"/>
      <c r="B178" s="14"/>
      <c r="C178" s="15"/>
      <c r="D178" s="15"/>
      <c r="E178" s="16"/>
      <c r="F178" s="16"/>
      <c r="G178" s="17" t="str">
        <f aca="false">IF(E178="","",E178-N(F178))</f>
        <v/>
      </c>
      <c r="H178" s="18" t="str">
        <f aca="false">IF(OR(D178="",G178=""),"",IF(G178&lt;=0,0,MAX(0,$C$4-D178)))</f>
        <v/>
      </c>
      <c r="I178" s="19" t="str">
        <f aca="false">IF(H178="","",IF(G178&lt;=0,"Paid",IF(H178=0,"Current",IF(H178&lt;=30,"1-30 days",IF(H178&lt;=60,"31-60 days",IF(H178&lt;=90,"61-90 days","90+ days"))))))</f>
        <v/>
      </c>
      <c r="J178" s="20" t="str">
        <f aca="false">IF(OR(D178="",G178&lt;=0),"",D178+7)</f>
        <v/>
      </c>
      <c r="K178" s="19" t="str">
        <f aca="false">IF(E178="","",IF(G178&lt;=0,"Settled",IF($C$4&gt;J178,"Chase now","Awaiting")))</f>
        <v/>
      </c>
      <c r="L178" s="14"/>
    </row>
    <row r="179" customFormat="false" ht="15" hidden="false" customHeight="false" outlineLevel="0" collapsed="false">
      <c r="A179" s="7"/>
      <c r="B179" s="7"/>
      <c r="C179" s="8"/>
      <c r="D179" s="8"/>
      <c r="E179" s="9"/>
      <c r="F179" s="9"/>
      <c r="G179" s="10" t="str">
        <f aca="false">IF(E179="","",E179-N(F179))</f>
        <v/>
      </c>
      <c r="H179" s="11" t="str">
        <f aca="false">IF(OR(D179="",G179=""),"",IF(G179&lt;=0,0,MAX(0,$C$4-D179)))</f>
        <v/>
      </c>
      <c r="I179" s="12" t="str">
        <f aca="false">IF(H179="","",IF(G179&lt;=0,"Paid",IF(H179=0,"Current",IF(H179&lt;=30,"1-30 days",IF(H179&lt;=60,"31-60 days",IF(H179&lt;=90,"61-90 days","90+ days"))))))</f>
        <v/>
      </c>
      <c r="J179" s="13" t="str">
        <f aca="false">IF(OR(D179="",G179&lt;=0),"",D179+7)</f>
        <v/>
      </c>
      <c r="K179" s="12" t="str">
        <f aca="false">IF(E179="","",IF(G179&lt;=0,"Settled",IF($C$4&gt;J179,"Chase now","Awaiting")))</f>
        <v/>
      </c>
      <c r="L179" s="7"/>
    </row>
    <row r="180" customFormat="false" ht="15" hidden="false" customHeight="false" outlineLevel="0" collapsed="false">
      <c r="A180" s="14"/>
      <c r="B180" s="14"/>
      <c r="C180" s="15"/>
      <c r="D180" s="15"/>
      <c r="E180" s="16"/>
      <c r="F180" s="16"/>
      <c r="G180" s="17" t="str">
        <f aca="false">IF(E180="","",E180-N(F180))</f>
        <v/>
      </c>
      <c r="H180" s="18" t="str">
        <f aca="false">IF(OR(D180="",G180=""),"",IF(G180&lt;=0,0,MAX(0,$C$4-D180)))</f>
        <v/>
      </c>
      <c r="I180" s="19" t="str">
        <f aca="false">IF(H180="","",IF(G180&lt;=0,"Paid",IF(H180=0,"Current",IF(H180&lt;=30,"1-30 days",IF(H180&lt;=60,"31-60 days",IF(H180&lt;=90,"61-90 days","90+ days"))))))</f>
        <v/>
      </c>
      <c r="J180" s="20" t="str">
        <f aca="false">IF(OR(D180="",G180&lt;=0),"",D180+7)</f>
        <v/>
      </c>
      <c r="K180" s="19" t="str">
        <f aca="false">IF(E180="","",IF(G180&lt;=0,"Settled",IF($C$4&gt;J180,"Chase now","Awaiting")))</f>
        <v/>
      </c>
      <c r="L180" s="14"/>
    </row>
    <row r="181" customFormat="false" ht="15" hidden="false" customHeight="false" outlineLevel="0" collapsed="false">
      <c r="A181" s="7"/>
      <c r="B181" s="7"/>
      <c r="C181" s="8"/>
      <c r="D181" s="8"/>
      <c r="E181" s="9"/>
      <c r="F181" s="9"/>
      <c r="G181" s="10" t="str">
        <f aca="false">IF(E181="","",E181-N(F181))</f>
        <v/>
      </c>
      <c r="H181" s="11" t="str">
        <f aca="false">IF(OR(D181="",G181=""),"",IF(G181&lt;=0,0,MAX(0,$C$4-D181)))</f>
        <v/>
      </c>
      <c r="I181" s="12" t="str">
        <f aca="false">IF(H181="","",IF(G181&lt;=0,"Paid",IF(H181=0,"Current",IF(H181&lt;=30,"1-30 days",IF(H181&lt;=60,"31-60 days",IF(H181&lt;=90,"61-90 days","90+ days"))))))</f>
        <v/>
      </c>
      <c r="J181" s="13" t="str">
        <f aca="false">IF(OR(D181="",G181&lt;=0),"",D181+7)</f>
        <v/>
      </c>
      <c r="K181" s="12" t="str">
        <f aca="false">IF(E181="","",IF(G181&lt;=0,"Settled",IF($C$4&gt;J181,"Chase now","Awaiting")))</f>
        <v/>
      </c>
      <c r="L181" s="7"/>
    </row>
    <row r="182" customFormat="false" ht="15" hidden="false" customHeight="false" outlineLevel="0" collapsed="false">
      <c r="A182" s="14"/>
      <c r="B182" s="14"/>
      <c r="C182" s="15"/>
      <c r="D182" s="15"/>
      <c r="E182" s="16"/>
      <c r="F182" s="16"/>
      <c r="G182" s="17" t="str">
        <f aca="false">IF(E182="","",E182-N(F182))</f>
        <v/>
      </c>
      <c r="H182" s="18" t="str">
        <f aca="false">IF(OR(D182="",G182=""),"",IF(G182&lt;=0,0,MAX(0,$C$4-D182)))</f>
        <v/>
      </c>
      <c r="I182" s="19" t="str">
        <f aca="false">IF(H182="","",IF(G182&lt;=0,"Paid",IF(H182=0,"Current",IF(H182&lt;=30,"1-30 days",IF(H182&lt;=60,"31-60 days",IF(H182&lt;=90,"61-90 days","90+ days"))))))</f>
        <v/>
      </c>
      <c r="J182" s="20" t="str">
        <f aca="false">IF(OR(D182="",G182&lt;=0),"",D182+7)</f>
        <v/>
      </c>
      <c r="K182" s="19" t="str">
        <f aca="false">IF(E182="","",IF(G182&lt;=0,"Settled",IF($C$4&gt;J182,"Chase now","Awaiting")))</f>
        <v/>
      </c>
      <c r="L182" s="14"/>
    </row>
    <row r="183" customFormat="false" ht="15" hidden="false" customHeight="false" outlineLevel="0" collapsed="false">
      <c r="A183" s="7"/>
      <c r="B183" s="7"/>
      <c r="C183" s="8"/>
      <c r="D183" s="8"/>
      <c r="E183" s="9"/>
      <c r="F183" s="9"/>
      <c r="G183" s="10" t="str">
        <f aca="false">IF(E183="","",E183-N(F183))</f>
        <v/>
      </c>
      <c r="H183" s="11" t="str">
        <f aca="false">IF(OR(D183="",G183=""),"",IF(G183&lt;=0,0,MAX(0,$C$4-D183)))</f>
        <v/>
      </c>
      <c r="I183" s="12" t="str">
        <f aca="false">IF(H183="","",IF(G183&lt;=0,"Paid",IF(H183=0,"Current",IF(H183&lt;=30,"1-30 days",IF(H183&lt;=60,"31-60 days",IF(H183&lt;=90,"61-90 days","90+ days"))))))</f>
        <v/>
      </c>
      <c r="J183" s="13" t="str">
        <f aca="false">IF(OR(D183="",G183&lt;=0),"",D183+7)</f>
        <v/>
      </c>
      <c r="K183" s="12" t="str">
        <f aca="false">IF(E183="","",IF(G183&lt;=0,"Settled",IF($C$4&gt;J183,"Chase now","Awaiting")))</f>
        <v/>
      </c>
      <c r="L183" s="7"/>
    </row>
    <row r="184" customFormat="false" ht="15" hidden="false" customHeight="false" outlineLevel="0" collapsed="false">
      <c r="A184" s="14"/>
      <c r="B184" s="14"/>
      <c r="C184" s="15"/>
      <c r="D184" s="15"/>
      <c r="E184" s="16"/>
      <c r="F184" s="16"/>
      <c r="G184" s="17" t="str">
        <f aca="false">IF(E184="","",E184-N(F184))</f>
        <v/>
      </c>
      <c r="H184" s="18" t="str">
        <f aca="false">IF(OR(D184="",G184=""),"",IF(G184&lt;=0,0,MAX(0,$C$4-D184)))</f>
        <v/>
      </c>
      <c r="I184" s="19" t="str">
        <f aca="false">IF(H184="","",IF(G184&lt;=0,"Paid",IF(H184=0,"Current",IF(H184&lt;=30,"1-30 days",IF(H184&lt;=60,"31-60 days",IF(H184&lt;=90,"61-90 days","90+ days"))))))</f>
        <v/>
      </c>
      <c r="J184" s="20" t="str">
        <f aca="false">IF(OR(D184="",G184&lt;=0),"",D184+7)</f>
        <v/>
      </c>
      <c r="K184" s="19" t="str">
        <f aca="false">IF(E184="","",IF(G184&lt;=0,"Settled",IF($C$4&gt;J184,"Chase now","Awaiting")))</f>
        <v/>
      </c>
      <c r="L184" s="14"/>
    </row>
    <row r="185" customFormat="false" ht="15" hidden="false" customHeight="false" outlineLevel="0" collapsed="false">
      <c r="A185" s="7"/>
      <c r="B185" s="7"/>
      <c r="C185" s="8"/>
      <c r="D185" s="8"/>
      <c r="E185" s="9"/>
      <c r="F185" s="9"/>
      <c r="G185" s="10" t="str">
        <f aca="false">IF(E185="","",E185-N(F185))</f>
        <v/>
      </c>
      <c r="H185" s="11" t="str">
        <f aca="false">IF(OR(D185="",G185=""),"",IF(G185&lt;=0,0,MAX(0,$C$4-D185)))</f>
        <v/>
      </c>
      <c r="I185" s="12" t="str">
        <f aca="false">IF(H185="","",IF(G185&lt;=0,"Paid",IF(H185=0,"Current",IF(H185&lt;=30,"1-30 days",IF(H185&lt;=60,"31-60 days",IF(H185&lt;=90,"61-90 days","90+ days"))))))</f>
        <v/>
      </c>
      <c r="J185" s="13" t="str">
        <f aca="false">IF(OR(D185="",G185&lt;=0),"",D185+7)</f>
        <v/>
      </c>
      <c r="K185" s="12" t="str">
        <f aca="false">IF(E185="","",IF(G185&lt;=0,"Settled",IF($C$4&gt;J185,"Chase now","Awaiting")))</f>
        <v/>
      </c>
      <c r="L185" s="7"/>
    </row>
    <row r="186" customFormat="false" ht="15" hidden="false" customHeight="false" outlineLevel="0" collapsed="false">
      <c r="A186" s="14"/>
      <c r="B186" s="14"/>
      <c r="C186" s="15"/>
      <c r="D186" s="15"/>
      <c r="E186" s="16"/>
      <c r="F186" s="16"/>
      <c r="G186" s="17" t="str">
        <f aca="false">IF(E186="","",E186-N(F186))</f>
        <v/>
      </c>
      <c r="H186" s="18" t="str">
        <f aca="false">IF(OR(D186="",G186=""),"",IF(G186&lt;=0,0,MAX(0,$C$4-D186)))</f>
        <v/>
      </c>
      <c r="I186" s="19" t="str">
        <f aca="false">IF(H186="","",IF(G186&lt;=0,"Paid",IF(H186=0,"Current",IF(H186&lt;=30,"1-30 days",IF(H186&lt;=60,"31-60 days",IF(H186&lt;=90,"61-90 days","90+ days"))))))</f>
        <v/>
      </c>
      <c r="J186" s="20" t="str">
        <f aca="false">IF(OR(D186="",G186&lt;=0),"",D186+7)</f>
        <v/>
      </c>
      <c r="K186" s="19" t="str">
        <f aca="false">IF(E186="","",IF(G186&lt;=0,"Settled",IF($C$4&gt;J186,"Chase now","Awaiting")))</f>
        <v/>
      </c>
      <c r="L186" s="14"/>
    </row>
    <row r="187" customFormat="false" ht="15" hidden="false" customHeight="false" outlineLevel="0" collapsed="false">
      <c r="A187" s="7"/>
      <c r="B187" s="7"/>
      <c r="C187" s="8"/>
      <c r="D187" s="8"/>
      <c r="E187" s="9"/>
      <c r="F187" s="9"/>
      <c r="G187" s="10" t="str">
        <f aca="false">IF(E187="","",E187-N(F187))</f>
        <v/>
      </c>
      <c r="H187" s="11" t="str">
        <f aca="false">IF(OR(D187="",G187=""),"",IF(G187&lt;=0,0,MAX(0,$C$4-D187)))</f>
        <v/>
      </c>
      <c r="I187" s="12" t="str">
        <f aca="false">IF(H187="","",IF(G187&lt;=0,"Paid",IF(H187=0,"Current",IF(H187&lt;=30,"1-30 days",IF(H187&lt;=60,"31-60 days",IF(H187&lt;=90,"61-90 days","90+ days"))))))</f>
        <v/>
      </c>
      <c r="J187" s="13" t="str">
        <f aca="false">IF(OR(D187="",G187&lt;=0),"",D187+7)</f>
        <v/>
      </c>
      <c r="K187" s="12" t="str">
        <f aca="false">IF(E187="","",IF(G187&lt;=0,"Settled",IF($C$4&gt;J187,"Chase now","Awaiting")))</f>
        <v/>
      </c>
      <c r="L187" s="7"/>
    </row>
    <row r="188" customFormat="false" ht="15" hidden="false" customHeight="false" outlineLevel="0" collapsed="false">
      <c r="A188" s="14"/>
      <c r="B188" s="14"/>
      <c r="C188" s="15"/>
      <c r="D188" s="15"/>
      <c r="E188" s="16"/>
      <c r="F188" s="16"/>
      <c r="G188" s="17" t="str">
        <f aca="false">IF(E188="","",E188-N(F188))</f>
        <v/>
      </c>
      <c r="H188" s="18" t="str">
        <f aca="false">IF(OR(D188="",G188=""),"",IF(G188&lt;=0,0,MAX(0,$C$4-D188)))</f>
        <v/>
      </c>
      <c r="I188" s="19" t="str">
        <f aca="false">IF(H188="","",IF(G188&lt;=0,"Paid",IF(H188=0,"Current",IF(H188&lt;=30,"1-30 days",IF(H188&lt;=60,"31-60 days",IF(H188&lt;=90,"61-90 days","90+ days"))))))</f>
        <v/>
      </c>
      <c r="J188" s="20" t="str">
        <f aca="false">IF(OR(D188="",G188&lt;=0),"",D188+7)</f>
        <v/>
      </c>
      <c r="K188" s="19" t="str">
        <f aca="false">IF(E188="","",IF(G188&lt;=0,"Settled",IF($C$4&gt;J188,"Chase now","Awaiting")))</f>
        <v/>
      </c>
      <c r="L188" s="14"/>
    </row>
    <row r="189" customFormat="false" ht="15" hidden="false" customHeight="false" outlineLevel="0" collapsed="false">
      <c r="A189" s="7"/>
      <c r="B189" s="7"/>
      <c r="C189" s="8"/>
      <c r="D189" s="8"/>
      <c r="E189" s="9"/>
      <c r="F189" s="9"/>
      <c r="G189" s="10" t="str">
        <f aca="false">IF(E189="","",E189-N(F189))</f>
        <v/>
      </c>
      <c r="H189" s="11" t="str">
        <f aca="false">IF(OR(D189="",G189=""),"",IF(G189&lt;=0,0,MAX(0,$C$4-D189)))</f>
        <v/>
      </c>
      <c r="I189" s="12" t="str">
        <f aca="false">IF(H189="","",IF(G189&lt;=0,"Paid",IF(H189=0,"Current",IF(H189&lt;=30,"1-30 days",IF(H189&lt;=60,"31-60 days",IF(H189&lt;=90,"61-90 days","90+ days"))))))</f>
        <v/>
      </c>
      <c r="J189" s="13" t="str">
        <f aca="false">IF(OR(D189="",G189&lt;=0),"",D189+7)</f>
        <v/>
      </c>
      <c r="K189" s="12" t="str">
        <f aca="false">IF(E189="","",IF(G189&lt;=0,"Settled",IF($C$4&gt;J189,"Chase now","Awaiting")))</f>
        <v/>
      </c>
      <c r="L189" s="7"/>
    </row>
    <row r="190" customFormat="false" ht="15" hidden="false" customHeight="false" outlineLevel="0" collapsed="false">
      <c r="A190" s="14"/>
      <c r="B190" s="14"/>
      <c r="C190" s="15"/>
      <c r="D190" s="15"/>
      <c r="E190" s="16"/>
      <c r="F190" s="16"/>
      <c r="G190" s="17" t="str">
        <f aca="false">IF(E190="","",E190-N(F190))</f>
        <v/>
      </c>
      <c r="H190" s="18" t="str">
        <f aca="false">IF(OR(D190="",G190=""),"",IF(G190&lt;=0,0,MAX(0,$C$4-D190)))</f>
        <v/>
      </c>
      <c r="I190" s="19" t="str">
        <f aca="false">IF(H190="","",IF(G190&lt;=0,"Paid",IF(H190=0,"Current",IF(H190&lt;=30,"1-30 days",IF(H190&lt;=60,"31-60 days",IF(H190&lt;=90,"61-90 days","90+ days"))))))</f>
        <v/>
      </c>
      <c r="J190" s="20" t="str">
        <f aca="false">IF(OR(D190="",G190&lt;=0),"",D190+7)</f>
        <v/>
      </c>
      <c r="K190" s="19" t="str">
        <f aca="false">IF(E190="","",IF(G190&lt;=0,"Settled",IF($C$4&gt;J190,"Chase now","Awaiting")))</f>
        <v/>
      </c>
      <c r="L190" s="14"/>
    </row>
    <row r="191" customFormat="false" ht="15" hidden="false" customHeight="false" outlineLevel="0" collapsed="false">
      <c r="A191" s="7"/>
      <c r="B191" s="7"/>
      <c r="C191" s="8"/>
      <c r="D191" s="8"/>
      <c r="E191" s="9"/>
      <c r="F191" s="9"/>
      <c r="G191" s="10" t="str">
        <f aca="false">IF(E191="","",E191-N(F191))</f>
        <v/>
      </c>
      <c r="H191" s="11" t="str">
        <f aca="false">IF(OR(D191="",G191=""),"",IF(G191&lt;=0,0,MAX(0,$C$4-D191)))</f>
        <v/>
      </c>
      <c r="I191" s="12" t="str">
        <f aca="false">IF(H191="","",IF(G191&lt;=0,"Paid",IF(H191=0,"Current",IF(H191&lt;=30,"1-30 days",IF(H191&lt;=60,"31-60 days",IF(H191&lt;=90,"61-90 days","90+ days"))))))</f>
        <v/>
      </c>
      <c r="J191" s="13" t="str">
        <f aca="false">IF(OR(D191="",G191&lt;=0),"",D191+7)</f>
        <v/>
      </c>
      <c r="K191" s="12" t="str">
        <f aca="false">IF(E191="","",IF(G191&lt;=0,"Settled",IF($C$4&gt;J191,"Chase now","Awaiting")))</f>
        <v/>
      </c>
      <c r="L191" s="7"/>
    </row>
    <row r="192" customFormat="false" ht="15" hidden="false" customHeight="false" outlineLevel="0" collapsed="false">
      <c r="A192" s="14"/>
      <c r="B192" s="14"/>
      <c r="C192" s="15"/>
      <c r="D192" s="15"/>
      <c r="E192" s="16"/>
      <c r="F192" s="16"/>
      <c r="G192" s="17" t="str">
        <f aca="false">IF(E192="","",E192-N(F192))</f>
        <v/>
      </c>
      <c r="H192" s="18" t="str">
        <f aca="false">IF(OR(D192="",G192=""),"",IF(G192&lt;=0,0,MAX(0,$C$4-D192)))</f>
        <v/>
      </c>
      <c r="I192" s="19" t="str">
        <f aca="false">IF(H192="","",IF(G192&lt;=0,"Paid",IF(H192=0,"Current",IF(H192&lt;=30,"1-30 days",IF(H192&lt;=60,"31-60 days",IF(H192&lt;=90,"61-90 days","90+ days"))))))</f>
        <v/>
      </c>
      <c r="J192" s="20" t="str">
        <f aca="false">IF(OR(D192="",G192&lt;=0),"",D192+7)</f>
        <v/>
      </c>
      <c r="K192" s="19" t="str">
        <f aca="false">IF(E192="","",IF(G192&lt;=0,"Settled",IF($C$4&gt;J192,"Chase now","Awaiting")))</f>
        <v/>
      </c>
      <c r="L192" s="14"/>
    </row>
    <row r="193" customFormat="false" ht="15" hidden="false" customHeight="false" outlineLevel="0" collapsed="false">
      <c r="A193" s="7"/>
      <c r="B193" s="7"/>
      <c r="C193" s="8"/>
      <c r="D193" s="8"/>
      <c r="E193" s="9"/>
      <c r="F193" s="9"/>
      <c r="G193" s="10" t="str">
        <f aca="false">IF(E193="","",E193-N(F193))</f>
        <v/>
      </c>
      <c r="H193" s="11" t="str">
        <f aca="false">IF(OR(D193="",G193=""),"",IF(G193&lt;=0,0,MAX(0,$C$4-D193)))</f>
        <v/>
      </c>
      <c r="I193" s="12" t="str">
        <f aca="false">IF(H193="","",IF(G193&lt;=0,"Paid",IF(H193=0,"Current",IF(H193&lt;=30,"1-30 days",IF(H193&lt;=60,"31-60 days",IF(H193&lt;=90,"61-90 days","90+ days"))))))</f>
        <v/>
      </c>
      <c r="J193" s="13" t="str">
        <f aca="false">IF(OR(D193="",G193&lt;=0),"",D193+7)</f>
        <v/>
      </c>
      <c r="K193" s="12" t="str">
        <f aca="false">IF(E193="","",IF(G193&lt;=0,"Settled",IF($C$4&gt;J193,"Chase now","Awaiting")))</f>
        <v/>
      </c>
      <c r="L193" s="7"/>
    </row>
    <row r="194" customFormat="false" ht="15" hidden="false" customHeight="false" outlineLevel="0" collapsed="false">
      <c r="A194" s="14"/>
      <c r="B194" s="14"/>
      <c r="C194" s="15"/>
      <c r="D194" s="15"/>
      <c r="E194" s="16"/>
      <c r="F194" s="16"/>
      <c r="G194" s="17" t="str">
        <f aca="false">IF(E194="","",E194-N(F194))</f>
        <v/>
      </c>
      <c r="H194" s="18" t="str">
        <f aca="false">IF(OR(D194="",G194=""),"",IF(G194&lt;=0,0,MAX(0,$C$4-D194)))</f>
        <v/>
      </c>
      <c r="I194" s="19" t="str">
        <f aca="false">IF(H194="","",IF(G194&lt;=0,"Paid",IF(H194=0,"Current",IF(H194&lt;=30,"1-30 days",IF(H194&lt;=60,"31-60 days",IF(H194&lt;=90,"61-90 days","90+ days"))))))</f>
        <v/>
      </c>
      <c r="J194" s="20" t="str">
        <f aca="false">IF(OR(D194="",G194&lt;=0),"",D194+7)</f>
        <v/>
      </c>
      <c r="K194" s="19" t="str">
        <f aca="false">IF(E194="","",IF(G194&lt;=0,"Settled",IF($C$4&gt;J194,"Chase now","Awaiting")))</f>
        <v/>
      </c>
      <c r="L194" s="14"/>
    </row>
    <row r="195" customFormat="false" ht="15" hidden="false" customHeight="false" outlineLevel="0" collapsed="false">
      <c r="A195" s="7"/>
      <c r="B195" s="7"/>
      <c r="C195" s="8"/>
      <c r="D195" s="8"/>
      <c r="E195" s="9"/>
      <c r="F195" s="9"/>
      <c r="G195" s="10" t="str">
        <f aca="false">IF(E195="","",E195-N(F195))</f>
        <v/>
      </c>
      <c r="H195" s="11" t="str">
        <f aca="false">IF(OR(D195="",G195=""),"",IF(G195&lt;=0,0,MAX(0,$C$4-D195)))</f>
        <v/>
      </c>
      <c r="I195" s="12" t="str">
        <f aca="false">IF(H195="","",IF(G195&lt;=0,"Paid",IF(H195=0,"Current",IF(H195&lt;=30,"1-30 days",IF(H195&lt;=60,"31-60 days",IF(H195&lt;=90,"61-90 days","90+ days"))))))</f>
        <v/>
      </c>
      <c r="J195" s="13" t="str">
        <f aca="false">IF(OR(D195="",G195&lt;=0),"",D195+7)</f>
        <v/>
      </c>
      <c r="K195" s="12" t="str">
        <f aca="false">IF(E195="","",IF(G195&lt;=0,"Settled",IF($C$4&gt;J195,"Chase now","Awaiting")))</f>
        <v/>
      </c>
      <c r="L195" s="7"/>
    </row>
    <row r="196" customFormat="false" ht="15" hidden="false" customHeight="false" outlineLevel="0" collapsed="false">
      <c r="A196" s="14"/>
      <c r="B196" s="14"/>
      <c r="C196" s="15"/>
      <c r="D196" s="15"/>
      <c r="E196" s="16"/>
      <c r="F196" s="16"/>
      <c r="G196" s="17" t="str">
        <f aca="false">IF(E196="","",E196-N(F196))</f>
        <v/>
      </c>
      <c r="H196" s="18" t="str">
        <f aca="false">IF(OR(D196="",G196=""),"",IF(G196&lt;=0,0,MAX(0,$C$4-D196)))</f>
        <v/>
      </c>
      <c r="I196" s="19" t="str">
        <f aca="false">IF(H196="","",IF(G196&lt;=0,"Paid",IF(H196=0,"Current",IF(H196&lt;=30,"1-30 days",IF(H196&lt;=60,"31-60 days",IF(H196&lt;=90,"61-90 days","90+ days"))))))</f>
        <v/>
      </c>
      <c r="J196" s="20" t="str">
        <f aca="false">IF(OR(D196="",G196&lt;=0),"",D196+7)</f>
        <v/>
      </c>
      <c r="K196" s="19" t="str">
        <f aca="false">IF(E196="","",IF(G196&lt;=0,"Settled",IF($C$4&gt;J196,"Chase now","Awaiting")))</f>
        <v/>
      </c>
      <c r="L196" s="14"/>
    </row>
    <row r="197" customFormat="false" ht="15" hidden="false" customHeight="false" outlineLevel="0" collapsed="false">
      <c r="A197" s="7"/>
      <c r="B197" s="7"/>
      <c r="C197" s="8"/>
      <c r="D197" s="8"/>
      <c r="E197" s="9"/>
      <c r="F197" s="9"/>
      <c r="G197" s="10" t="str">
        <f aca="false">IF(E197="","",E197-N(F197))</f>
        <v/>
      </c>
      <c r="H197" s="11" t="str">
        <f aca="false">IF(OR(D197="",G197=""),"",IF(G197&lt;=0,0,MAX(0,$C$4-D197)))</f>
        <v/>
      </c>
      <c r="I197" s="12" t="str">
        <f aca="false">IF(H197="","",IF(G197&lt;=0,"Paid",IF(H197=0,"Current",IF(H197&lt;=30,"1-30 days",IF(H197&lt;=60,"31-60 days",IF(H197&lt;=90,"61-90 days","90+ days"))))))</f>
        <v/>
      </c>
      <c r="J197" s="13" t="str">
        <f aca="false">IF(OR(D197="",G197&lt;=0),"",D197+7)</f>
        <v/>
      </c>
      <c r="K197" s="12" t="str">
        <f aca="false">IF(E197="","",IF(G197&lt;=0,"Settled",IF($C$4&gt;J197,"Chase now","Awaiting")))</f>
        <v/>
      </c>
      <c r="L197" s="7"/>
    </row>
    <row r="198" customFormat="false" ht="15" hidden="false" customHeight="false" outlineLevel="0" collapsed="false">
      <c r="A198" s="14"/>
      <c r="B198" s="14"/>
      <c r="C198" s="15"/>
      <c r="D198" s="15"/>
      <c r="E198" s="16"/>
      <c r="F198" s="16"/>
      <c r="G198" s="17" t="str">
        <f aca="false">IF(E198="","",E198-N(F198))</f>
        <v/>
      </c>
      <c r="H198" s="18" t="str">
        <f aca="false">IF(OR(D198="",G198=""),"",IF(G198&lt;=0,0,MAX(0,$C$4-D198)))</f>
        <v/>
      </c>
      <c r="I198" s="19" t="str">
        <f aca="false">IF(H198="","",IF(G198&lt;=0,"Paid",IF(H198=0,"Current",IF(H198&lt;=30,"1-30 days",IF(H198&lt;=60,"31-60 days",IF(H198&lt;=90,"61-90 days","90+ days"))))))</f>
        <v/>
      </c>
      <c r="J198" s="20" t="str">
        <f aca="false">IF(OR(D198="",G198&lt;=0),"",D198+7)</f>
        <v/>
      </c>
      <c r="K198" s="19" t="str">
        <f aca="false">IF(E198="","",IF(G198&lt;=0,"Settled",IF($C$4&gt;J198,"Chase now","Awaiting")))</f>
        <v/>
      </c>
      <c r="L198" s="14"/>
    </row>
    <row r="199" customFormat="false" ht="15" hidden="false" customHeight="false" outlineLevel="0" collapsed="false">
      <c r="A199" s="7"/>
      <c r="B199" s="7"/>
      <c r="C199" s="8"/>
      <c r="D199" s="8"/>
      <c r="E199" s="9"/>
      <c r="F199" s="9"/>
      <c r="G199" s="10" t="str">
        <f aca="false">IF(E199="","",E199-N(F199))</f>
        <v/>
      </c>
      <c r="H199" s="11" t="str">
        <f aca="false">IF(OR(D199="",G199=""),"",IF(G199&lt;=0,0,MAX(0,$C$4-D199)))</f>
        <v/>
      </c>
      <c r="I199" s="12" t="str">
        <f aca="false">IF(H199="","",IF(G199&lt;=0,"Paid",IF(H199=0,"Current",IF(H199&lt;=30,"1-30 days",IF(H199&lt;=60,"31-60 days",IF(H199&lt;=90,"61-90 days","90+ days"))))))</f>
        <v/>
      </c>
      <c r="J199" s="13" t="str">
        <f aca="false">IF(OR(D199="",G199&lt;=0),"",D199+7)</f>
        <v/>
      </c>
      <c r="K199" s="12" t="str">
        <f aca="false">IF(E199="","",IF(G199&lt;=0,"Settled",IF($C$4&gt;J199,"Chase now","Awaiting")))</f>
        <v/>
      </c>
      <c r="L199" s="7"/>
    </row>
    <row r="200" customFormat="false" ht="15" hidden="false" customHeight="false" outlineLevel="0" collapsed="false">
      <c r="A200" s="14"/>
      <c r="B200" s="14"/>
      <c r="C200" s="15"/>
      <c r="D200" s="15"/>
      <c r="E200" s="16"/>
      <c r="F200" s="16"/>
      <c r="G200" s="17" t="str">
        <f aca="false">IF(E200="","",E200-N(F200))</f>
        <v/>
      </c>
      <c r="H200" s="18" t="str">
        <f aca="false">IF(OR(D200="",G200=""),"",IF(G200&lt;=0,0,MAX(0,$C$4-D200)))</f>
        <v/>
      </c>
      <c r="I200" s="19" t="str">
        <f aca="false">IF(H200="","",IF(G200&lt;=0,"Paid",IF(H200=0,"Current",IF(H200&lt;=30,"1-30 days",IF(H200&lt;=60,"31-60 days",IF(H200&lt;=90,"61-90 days","90+ days"))))))</f>
        <v/>
      </c>
      <c r="J200" s="20" t="str">
        <f aca="false">IF(OR(D200="",G200&lt;=0),"",D200+7)</f>
        <v/>
      </c>
      <c r="K200" s="19" t="str">
        <f aca="false">IF(E200="","",IF(G200&lt;=0,"Settled",IF($C$4&gt;J200,"Chase now","Awaiting")))</f>
        <v/>
      </c>
      <c r="L200" s="14"/>
    </row>
    <row r="201" customFormat="false" ht="15" hidden="false" customHeight="false" outlineLevel="0" collapsed="false">
      <c r="A201" s="7"/>
      <c r="B201" s="7"/>
      <c r="C201" s="8"/>
      <c r="D201" s="8"/>
      <c r="E201" s="9"/>
      <c r="F201" s="9"/>
      <c r="G201" s="10" t="str">
        <f aca="false">IF(E201="","",E201-N(F201))</f>
        <v/>
      </c>
      <c r="H201" s="11" t="str">
        <f aca="false">IF(OR(D201="",G201=""),"",IF(G201&lt;=0,0,MAX(0,$C$4-D201)))</f>
        <v/>
      </c>
      <c r="I201" s="12" t="str">
        <f aca="false">IF(H201="","",IF(G201&lt;=0,"Paid",IF(H201=0,"Current",IF(H201&lt;=30,"1-30 days",IF(H201&lt;=60,"31-60 days",IF(H201&lt;=90,"61-90 days","90+ days"))))))</f>
        <v/>
      </c>
      <c r="J201" s="13" t="str">
        <f aca="false">IF(OR(D201="",G201&lt;=0),"",D201+7)</f>
        <v/>
      </c>
      <c r="K201" s="12" t="str">
        <f aca="false">IF(E201="","",IF(G201&lt;=0,"Settled",IF($C$4&gt;J201,"Chase now","Awaiting")))</f>
        <v/>
      </c>
      <c r="L201" s="7"/>
    </row>
    <row r="202" customFormat="false" ht="15" hidden="false" customHeight="false" outlineLevel="0" collapsed="false">
      <c r="A202" s="14"/>
      <c r="B202" s="14"/>
      <c r="C202" s="15"/>
      <c r="D202" s="15"/>
      <c r="E202" s="16"/>
      <c r="F202" s="16"/>
      <c r="G202" s="17" t="str">
        <f aca="false">IF(E202="","",E202-N(F202))</f>
        <v/>
      </c>
      <c r="H202" s="18" t="str">
        <f aca="false">IF(OR(D202="",G202=""),"",IF(G202&lt;=0,0,MAX(0,$C$4-D202)))</f>
        <v/>
      </c>
      <c r="I202" s="19" t="str">
        <f aca="false">IF(H202="","",IF(G202&lt;=0,"Paid",IF(H202=0,"Current",IF(H202&lt;=30,"1-30 days",IF(H202&lt;=60,"31-60 days",IF(H202&lt;=90,"61-90 days","90+ days"))))))</f>
        <v/>
      </c>
      <c r="J202" s="20" t="str">
        <f aca="false">IF(OR(D202="",G202&lt;=0),"",D202+7)</f>
        <v/>
      </c>
      <c r="K202" s="19" t="str">
        <f aca="false">IF(E202="","",IF(G202&lt;=0,"Settled",IF($C$4&gt;J202,"Chase now","Awaiting")))</f>
        <v/>
      </c>
      <c r="L202" s="14"/>
    </row>
    <row r="203" customFormat="false" ht="15" hidden="false" customHeight="false" outlineLevel="0" collapsed="false">
      <c r="A203" s="7"/>
      <c r="B203" s="7"/>
      <c r="C203" s="8"/>
      <c r="D203" s="8"/>
      <c r="E203" s="9"/>
      <c r="F203" s="9"/>
      <c r="G203" s="10" t="str">
        <f aca="false">IF(E203="","",E203-N(F203))</f>
        <v/>
      </c>
      <c r="H203" s="11" t="str">
        <f aca="false">IF(OR(D203="",G203=""),"",IF(G203&lt;=0,0,MAX(0,$C$4-D203)))</f>
        <v/>
      </c>
      <c r="I203" s="12" t="str">
        <f aca="false">IF(H203="","",IF(G203&lt;=0,"Paid",IF(H203=0,"Current",IF(H203&lt;=30,"1-30 days",IF(H203&lt;=60,"31-60 days",IF(H203&lt;=90,"61-90 days","90+ days"))))))</f>
        <v/>
      </c>
      <c r="J203" s="13" t="str">
        <f aca="false">IF(OR(D203="",G203&lt;=0),"",D203+7)</f>
        <v/>
      </c>
      <c r="K203" s="12" t="str">
        <f aca="false">IF(E203="","",IF(G203&lt;=0,"Settled",IF($C$4&gt;J203,"Chase now","Awaiting")))</f>
        <v/>
      </c>
      <c r="L203" s="7"/>
    </row>
    <row r="204" customFormat="false" ht="15" hidden="false" customHeight="false" outlineLevel="0" collapsed="false">
      <c r="A204" s="14"/>
      <c r="B204" s="14"/>
      <c r="C204" s="15"/>
      <c r="D204" s="15"/>
      <c r="E204" s="16"/>
      <c r="F204" s="16"/>
      <c r="G204" s="17" t="str">
        <f aca="false">IF(E204="","",E204-N(F204))</f>
        <v/>
      </c>
      <c r="H204" s="18" t="str">
        <f aca="false">IF(OR(D204="",G204=""),"",IF(G204&lt;=0,0,MAX(0,$C$4-D204)))</f>
        <v/>
      </c>
      <c r="I204" s="19" t="str">
        <f aca="false">IF(H204="","",IF(G204&lt;=0,"Paid",IF(H204=0,"Current",IF(H204&lt;=30,"1-30 days",IF(H204&lt;=60,"31-60 days",IF(H204&lt;=90,"61-90 days","90+ days"))))))</f>
        <v/>
      </c>
      <c r="J204" s="20" t="str">
        <f aca="false">IF(OR(D204="",G204&lt;=0),"",D204+7)</f>
        <v/>
      </c>
      <c r="K204" s="19" t="str">
        <f aca="false">IF(E204="","",IF(G204&lt;=0,"Settled",IF($C$4&gt;J204,"Chase now","Awaiting")))</f>
        <v/>
      </c>
      <c r="L204" s="14"/>
    </row>
    <row r="205" customFormat="false" ht="15" hidden="false" customHeight="false" outlineLevel="0" collapsed="false">
      <c r="A205" s="7"/>
      <c r="B205" s="7"/>
      <c r="C205" s="8"/>
      <c r="D205" s="8"/>
      <c r="E205" s="9"/>
      <c r="F205" s="9"/>
      <c r="G205" s="10" t="str">
        <f aca="false">IF(E205="","",E205-N(F205))</f>
        <v/>
      </c>
      <c r="H205" s="11" t="str">
        <f aca="false">IF(OR(D205="",G205=""),"",IF(G205&lt;=0,0,MAX(0,$C$4-D205)))</f>
        <v/>
      </c>
      <c r="I205" s="12" t="str">
        <f aca="false">IF(H205="","",IF(G205&lt;=0,"Paid",IF(H205=0,"Current",IF(H205&lt;=30,"1-30 days",IF(H205&lt;=60,"31-60 days",IF(H205&lt;=90,"61-90 days","90+ days"))))))</f>
        <v/>
      </c>
      <c r="J205" s="13" t="str">
        <f aca="false">IF(OR(D205="",G205&lt;=0),"",D205+7)</f>
        <v/>
      </c>
      <c r="K205" s="12" t="str">
        <f aca="false">IF(E205="","",IF(G205&lt;=0,"Settled",IF($C$4&gt;J205,"Chase now","Awaiting")))</f>
        <v/>
      </c>
      <c r="L205" s="7"/>
    </row>
    <row r="206" customFormat="false" ht="15" hidden="false" customHeight="false" outlineLevel="0" collapsed="false">
      <c r="A206" s="14"/>
      <c r="B206" s="14"/>
      <c r="C206" s="15"/>
      <c r="D206" s="15"/>
      <c r="E206" s="16"/>
      <c r="F206" s="16"/>
      <c r="G206" s="17" t="str">
        <f aca="false">IF(E206="","",E206-N(F206))</f>
        <v/>
      </c>
      <c r="H206" s="18" t="str">
        <f aca="false">IF(OR(D206="",G206=""),"",IF(G206&lt;=0,0,MAX(0,$C$4-D206)))</f>
        <v/>
      </c>
      <c r="I206" s="19" t="str">
        <f aca="false">IF(H206="","",IF(G206&lt;=0,"Paid",IF(H206=0,"Current",IF(H206&lt;=30,"1-30 days",IF(H206&lt;=60,"31-60 days",IF(H206&lt;=90,"61-90 days","90+ days"))))))</f>
        <v/>
      </c>
      <c r="J206" s="20" t="str">
        <f aca="false">IF(OR(D206="",G206&lt;=0),"",D206+7)</f>
        <v/>
      </c>
      <c r="K206" s="19" t="str">
        <f aca="false">IF(E206="","",IF(G206&lt;=0,"Settled",IF($C$4&gt;J206,"Chase now","Awaiting")))</f>
        <v/>
      </c>
      <c r="L206" s="14"/>
    </row>
    <row r="208" customFormat="false" ht="15" hidden="false" customHeight="false" outlineLevel="0" collapsed="false">
      <c r="A208" s="5" t="s">
        <v>16</v>
      </c>
    </row>
    <row r="209" customFormat="false" ht="15" hidden="false" customHeight="false" outlineLevel="0" collapsed="false">
      <c r="A209" s="21" t="s">
        <v>17</v>
      </c>
      <c r="B209" s="21" t="s">
        <v>18</v>
      </c>
      <c r="C209" s="22" t="s">
        <v>19</v>
      </c>
      <c r="D209" s="22" t="s">
        <v>20</v>
      </c>
      <c r="E209" s="23" t="n">
        <v>4850</v>
      </c>
      <c r="F209" s="23" t="n">
        <v>0</v>
      </c>
    </row>
  </sheetData>
  <autoFilter ref="A6:L206"/>
  <mergeCells count="2">
    <mergeCell ref="A1:L1"/>
    <mergeCell ref="A2:L2"/>
  </mergeCells>
  <conditionalFormatting sqref="I7:I206">
    <cfRule type="expression" priority="2" aboveAverage="0" equalAverage="0" bottom="0" percent="0" rank="0" text="" dxfId="6">
      <formula>AND($I7&lt;&gt;"",OR($I7="61-90 days",$I7="90+ days"))</formula>
    </cfRule>
    <cfRule type="expression" priority="3" aboveAverage="0" equalAverage="0" bottom="0" percent="0" rank="0" text="" dxfId="7">
      <formula>$I7="31-60 days"</formula>
    </cfRule>
  </conditionalFormatting>
  <conditionalFormatting sqref="K7:K206">
    <cfRule type="expression" priority="4" aboveAverage="0" equalAverage="0" bottom="0" percent="0" rank="0" text="" dxfId="6">
      <formula>$K7="Chase now"</formula>
    </cfRule>
    <cfRule type="expression" priority="5" aboveAverage="0" equalAverage="0" bottom="0" percent="0" rank="0" text="" dxfId="8">
      <formula>$K7="Settled"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5" min="5" style="0" width="48"/>
  </cols>
  <sheetData>
    <row r="1" customFormat="false" ht="25.5" hidden="false" customHeight="true" outlineLevel="0" collapsed="false">
      <c r="A1" s="1" t="s">
        <v>21</v>
      </c>
      <c r="B1" s="1"/>
      <c r="C1" s="1"/>
      <c r="D1" s="1"/>
      <c r="E1" s="1"/>
    </row>
    <row r="2" customFormat="false" ht="15" hidden="false" customHeight="true" outlineLevel="0" collapsed="false">
      <c r="A2" s="2" t="s">
        <v>22</v>
      </c>
      <c r="B2" s="2"/>
      <c r="C2" s="2"/>
      <c r="D2" s="2"/>
      <c r="E2" s="2"/>
    </row>
    <row r="4" customFormat="false" ht="15" hidden="false" customHeight="false" outlineLevel="0" collapsed="false">
      <c r="A4" s="3" t="s">
        <v>23</v>
      </c>
    </row>
    <row r="5" customFormat="false" ht="24" hidden="false" customHeight="true" outlineLevel="0" collapsed="false">
      <c r="A5" s="6" t="s">
        <v>24</v>
      </c>
      <c r="B5" s="6" t="s">
        <v>25</v>
      </c>
      <c r="C5" s="6" t="s">
        <v>10</v>
      </c>
      <c r="D5" s="6" t="s">
        <v>26</v>
      </c>
    </row>
    <row r="6" customFormat="false" ht="15" hidden="false" customHeight="false" outlineLevel="0" collapsed="false">
      <c r="A6" s="12" t="s">
        <v>27</v>
      </c>
      <c r="B6" s="24" t="n">
        <f aca="false">COUNTIFS(Register!$I$7:$I$206,A6)</f>
        <v>0</v>
      </c>
      <c r="C6" s="10" t="n">
        <f aca="false">SUMIFS(Register!$G$7:$G$206,Register!$I$7:$I$206,A6)</f>
        <v>0</v>
      </c>
      <c r="D6" s="25" t="n">
        <f aca="false">IF($C$11=0,0,C6/$C$11)</f>
        <v>0</v>
      </c>
    </row>
    <row r="7" customFormat="false" ht="15" hidden="false" customHeight="false" outlineLevel="0" collapsed="false">
      <c r="A7" s="12" t="s">
        <v>28</v>
      </c>
      <c r="B7" s="24" t="n">
        <f aca="false">COUNTIFS(Register!$I$7:$I$206,A7)</f>
        <v>0</v>
      </c>
      <c r="C7" s="10" t="n">
        <f aca="false">SUMIFS(Register!$G$7:$G$206,Register!$I$7:$I$206,A7)</f>
        <v>0</v>
      </c>
      <c r="D7" s="25" t="n">
        <f aca="false">IF($C$11=0,0,C7/$C$11)</f>
        <v>0</v>
      </c>
    </row>
    <row r="8" customFormat="false" ht="15" hidden="false" customHeight="false" outlineLevel="0" collapsed="false">
      <c r="A8" s="12" t="s">
        <v>29</v>
      </c>
      <c r="B8" s="24" t="n">
        <f aca="false">COUNTIFS(Register!$I$7:$I$206,A8)</f>
        <v>0</v>
      </c>
      <c r="C8" s="10" t="n">
        <f aca="false">SUMIFS(Register!$G$7:$G$206,Register!$I$7:$I$206,A8)</f>
        <v>0</v>
      </c>
      <c r="D8" s="25" t="n">
        <f aca="false">IF($C$11=0,0,C8/$C$11)</f>
        <v>0</v>
      </c>
    </row>
    <row r="9" customFormat="false" ht="15" hidden="false" customHeight="false" outlineLevel="0" collapsed="false">
      <c r="A9" s="12" t="s">
        <v>30</v>
      </c>
      <c r="B9" s="24" t="n">
        <f aca="false">COUNTIFS(Register!$I$7:$I$206,A9)</f>
        <v>0</v>
      </c>
      <c r="C9" s="10" t="n">
        <f aca="false">SUMIFS(Register!$G$7:$G$206,Register!$I$7:$I$206,A9)</f>
        <v>0</v>
      </c>
      <c r="D9" s="25" t="n">
        <f aca="false">IF($C$11=0,0,C9/$C$11)</f>
        <v>0</v>
      </c>
    </row>
    <row r="10" customFormat="false" ht="15" hidden="false" customHeight="false" outlineLevel="0" collapsed="false">
      <c r="A10" s="12" t="s">
        <v>31</v>
      </c>
      <c r="B10" s="24" t="n">
        <f aca="false">COUNTIFS(Register!$I$7:$I$206,A10)</f>
        <v>0</v>
      </c>
      <c r="C10" s="10" t="n">
        <f aca="false">SUMIFS(Register!$G$7:$G$206,Register!$I$7:$I$206,A10)</f>
        <v>0</v>
      </c>
      <c r="D10" s="25" t="n">
        <f aca="false">IF($C$11=0,0,C10/$C$11)</f>
        <v>0</v>
      </c>
    </row>
    <row r="11" customFormat="false" ht="15" hidden="false" customHeight="false" outlineLevel="0" collapsed="false">
      <c r="A11" s="26" t="s">
        <v>32</v>
      </c>
      <c r="B11" s="27" t="n">
        <f aca="false">SUM(B6:B10)</f>
        <v>0</v>
      </c>
      <c r="C11" s="28" t="n">
        <f aca="false">SUM(C6:C10)</f>
        <v>0</v>
      </c>
      <c r="D11" s="29" t="n">
        <f aca="false">IF(C11=0,0,SUM(D6:D10))</f>
        <v>0</v>
      </c>
    </row>
    <row r="13" customFormat="false" ht="15" hidden="false" customHeight="false" outlineLevel="0" collapsed="false">
      <c r="A13" s="3" t="s">
        <v>33</v>
      </c>
    </row>
    <row r="14" customFormat="false" ht="15" hidden="false" customHeight="false" outlineLevel="0" collapsed="false">
      <c r="A14" s="30" t="s">
        <v>34</v>
      </c>
      <c r="C14" s="31" t="n">
        <f aca="false">COUNTA(Register!$A$7:$A$206)</f>
        <v>0</v>
      </c>
      <c r="D14" s="5" t="s">
        <v>35</v>
      </c>
    </row>
    <row r="15" customFormat="false" ht="15" hidden="false" customHeight="false" outlineLevel="0" collapsed="false">
      <c r="A15" s="30" t="s">
        <v>36</v>
      </c>
      <c r="C15" s="31" t="n">
        <f aca="false">COUNTIFS(Register!$K$7:$K$206,"Settled")</f>
        <v>0</v>
      </c>
      <c r="D15" s="5" t="s">
        <v>37</v>
      </c>
    </row>
    <row r="16" customFormat="false" ht="15" hidden="false" customHeight="false" outlineLevel="0" collapsed="false">
      <c r="A16" s="30" t="s">
        <v>38</v>
      </c>
      <c r="C16" s="31" t="n">
        <f aca="false">COUNTIFS(Register!$K$7:$K$206,"Chase now")</f>
        <v>0</v>
      </c>
      <c r="D16" s="5" t="s">
        <v>39</v>
      </c>
    </row>
    <row r="17" customFormat="false" ht="15" hidden="false" customHeight="false" outlineLevel="0" collapsed="false">
      <c r="A17" s="30" t="s">
        <v>40</v>
      </c>
      <c r="C17" s="32" t="n">
        <f aca="false">SUMIFS(Register!$G$7:$G$206,Register!$H$7:$H$206,"&gt;0")</f>
        <v>0</v>
      </c>
      <c r="D17" s="5" t="s">
        <v>41</v>
      </c>
    </row>
    <row r="18" customFormat="false" ht="15" hidden="false" customHeight="false" outlineLevel="0" collapsed="false">
      <c r="A18" s="30" t="s">
        <v>42</v>
      </c>
      <c r="C18" s="32" t="n">
        <f aca="false">MAX(Register!$G$7:$G$206)</f>
        <v>0</v>
      </c>
      <c r="D18" s="5" t="s">
        <v>43</v>
      </c>
    </row>
    <row r="20" customFormat="false" ht="15" hidden="false" customHeight="false" outlineLevel="0" collapsed="false">
      <c r="A20" s="5" t="s">
        <v>44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30"/>
  </cols>
  <sheetData>
    <row r="1" customFormat="false" ht="25.5" hidden="false" customHeight="true" outlineLevel="0" collapsed="false">
      <c r="A1" s="1" t="s">
        <v>45</v>
      </c>
      <c r="B1" s="1"/>
      <c r="C1" s="1"/>
    </row>
    <row r="2" customFormat="false" ht="15" hidden="false" customHeight="true" outlineLevel="0" collapsed="false">
      <c r="A2" s="2" t="s">
        <v>46</v>
      </c>
      <c r="B2" s="2"/>
      <c r="C2" s="2"/>
    </row>
    <row r="4" customFormat="false" ht="15" hidden="false" customHeight="true" outlineLevel="0" collapsed="false">
      <c r="A4" s="33" t="s">
        <v>47</v>
      </c>
      <c r="B4" s="33"/>
      <c r="C4" s="33"/>
    </row>
    <row r="5" customFormat="false" ht="31.5" hidden="false" customHeight="true" outlineLevel="0" collapsed="false">
      <c r="A5" s="34" t="s">
        <v>48</v>
      </c>
      <c r="B5" s="34"/>
      <c r="C5" s="34"/>
    </row>
    <row r="7" customFormat="false" ht="15" hidden="false" customHeight="true" outlineLevel="0" collapsed="false">
      <c r="A7" s="33" t="s">
        <v>49</v>
      </c>
      <c r="B7" s="33"/>
      <c r="C7" s="33"/>
    </row>
    <row r="8" customFormat="false" ht="31.5" hidden="false" customHeight="true" outlineLevel="0" collapsed="false">
      <c r="A8" s="34" t="s">
        <v>50</v>
      </c>
      <c r="B8" s="34"/>
      <c r="C8" s="34"/>
    </row>
    <row r="10" customFormat="false" ht="15" hidden="false" customHeight="true" outlineLevel="0" collapsed="false">
      <c r="A10" s="33" t="s">
        <v>51</v>
      </c>
      <c r="B10" s="33"/>
      <c r="C10" s="33"/>
    </row>
    <row r="11" customFormat="false" ht="31.5" hidden="false" customHeight="true" outlineLevel="0" collapsed="false">
      <c r="A11" s="34" t="s">
        <v>52</v>
      </c>
      <c r="B11" s="34"/>
      <c r="C11" s="34"/>
    </row>
    <row r="13" customFormat="false" ht="15" hidden="false" customHeight="true" outlineLevel="0" collapsed="false">
      <c r="A13" s="33" t="s">
        <v>53</v>
      </c>
      <c r="B13" s="33"/>
      <c r="C13" s="33"/>
    </row>
    <row r="14" customFormat="false" ht="31.5" hidden="false" customHeight="true" outlineLevel="0" collapsed="false">
      <c r="A14" s="34" t="s">
        <v>54</v>
      </c>
      <c r="B14" s="34"/>
      <c r="C14" s="34"/>
    </row>
    <row r="16" customFormat="false" ht="15" hidden="false" customHeight="true" outlineLevel="0" collapsed="false">
      <c r="A16" s="33" t="s">
        <v>55</v>
      </c>
      <c r="B16" s="33"/>
      <c r="C16" s="33"/>
    </row>
    <row r="17" customFormat="false" ht="31.5" hidden="false" customHeight="true" outlineLevel="0" collapsed="false">
      <c r="A17" s="34" t="s">
        <v>56</v>
      </c>
      <c r="B17" s="34"/>
      <c r="C17" s="34"/>
    </row>
    <row r="19" customFormat="false" ht="15" hidden="false" customHeight="true" outlineLevel="0" collapsed="false">
      <c r="A19" s="33" t="s">
        <v>57</v>
      </c>
      <c r="B19" s="33"/>
      <c r="C19" s="33"/>
    </row>
    <row r="20" customFormat="false" ht="31.5" hidden="false" customHeight="true" outlineLevel="0" collapsed="false">
      <c r="A20" s="34" t="s">
        <v>58</v>
      </c>
      <c r="B20" s="34"/>
      <c r="C20" s="34"/>
    </row>
  </sheetData>
  <mergeCells count="14">
    <mergeCell ref="A1:C1"/>
    <mergeCell ref="A2:C2"/>
    <mergeCell ref="A4:C4"/>
    <mergeCell ref="A5:C5"/>
    <mergeCell ref="A7:C7"/>
    <mergeCell ref="A8:C8"/>
    <mergeCell ref="A10:C10"/>
    <mergeCell ref="A11:C11"/>
    <mergeCell ref="A13:C13"/>
    <mergeCell ref="A14:C14"/>
    <mergeCell ref="A16:C16"/>
    <mergeCell ref="A17:C17"/>
    <mergeCell ref="A19:C19"/>
    <mergeCell ref="A20:C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2026-07-23T18:16:59Z</dcterms:created>
  <dc:creator>openpyxl</dc:creator>
  <dc:description/>
  <dc:language>en-US</dc:language>
  <cp:lastModifiedBy/>
  <dcterms:modified xsi:type="dcterms:W3CDTF">2026-07-23T18:16:59Z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