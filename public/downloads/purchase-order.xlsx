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ad me" state="visible" r:id="rId4"/>
    <sheet sheetId="2" name="Settings" state="visible" r:id="rId5"/>
    <sheet sheetId="3" name="Purchase Order" state="visible" r:id="rId6"/>
    <sheet sheetId="4" name="PO Log" state="visible" r:id="rId7"/>
    <sheet sheetId="5" name="Summary" state="visible" r:id="rId8"/>
  </sheets>
  <calcPr calcId="171027"/>
</workbook>
</file>

<file path=xl/sharedStrings.xml><?xml version="1.0" encoding="utf-8"?>
<sst xmlns="http://schemas.openxmlformats.org/spreadsheetml/2006/main" count="118" uniqueCount="114">
  <si>
    <t>How this workbook works</t>
  </si>
  <si>
    <t>Explore Excel  ·  exploreexcel.com</t>
  </si>
  <si>
    <t>What this is</t>
  </si>
  <si>
    <t>A purchase order you can send to a vendor, and a running log of every order raised. The log ages each order against the delivery date you promised yourself, the same way the invoice register ages what customers owe you — one is money coming in, this is what you have committed to spend.</t>
  </si>
  <si>
    <t>Setting it up once</t>
  </si>
  <si>
    <t>Fill in the Settings sheet: your details, your sales tax rate, and how long a vendor normally takes. Those flow onto every order, and the expected delivery date calculates itself from the lead time so you are not guessing.</t>
  </si>
  <si>
    <t>Raising an order</t>
  </si>
  <si>
    <t>On the Purchase Order sheet fill the blue cells — PO number, date, the vendor block, and the line items. Quantity times unit price gives the line total, tax comes from Settings, and the page is already set to print on one sheet.</t>
  </si>
  <si>
    <t>The log is the point</t>
  </si>
  <si>
    <t>A purchase order on its own is paperwork. The log is what stops an order being forgotten: add a row as you send each one, put the value received against it as goods arrive, and the Days late and Delivery status columns take care of themselves.</t>
  </si>
  <si>
    <t>How ageing works here</t>
  </si>
  <si>
    <t>Ageing runs from the expected delivery date against today, so it changes every time you open the file. An order is On schedule until that date passes, then moves through the 30, 60 and 90 day buckets. Once the received value matches the order value it drops out entirely and reads Received.</t>
  </si>
  <si>
    <t>Partial deliveries</t>
  </si>
  <si>
    <t>Put what has actually arrived in the Received column, not the whole order value. Outstanding is the difference, and a partly delivered order stays in the ageing until the balance turns up — which is exactly when you want to be chasing it.</t>
  </si>
  <si>
    <t>The sample dates will age</t>
  </si>
  <si>
    <t>The five example orders use fixed dates from when this file was built, so before long they will all read as badly overdue. Delete them and enter your own; nothing else depends on them.</t>
  </si>
  <si>
    <t>Reading the colors</t>
  </si>
  <si>
    <t>Blue figures are yours to type over. Black figures are calculated — typing over one replaces the formula. Green shading is a heading or a total. This is the standard financial-modeling convention, so anyone in a finance or audit role will read it without being told.</t>
  </si>
  <si>
    <t>Settings</t>
  </si>
  <si>
    <t>Explore Excel  ·  exploreexcel.com  ·  Entered once, used on every order</t>
  </si>
  <si>
    <t>Field</t>
  </si>
  <si>
    <t>Value</t>
  </si>
  <si>
    <t>Business name</t>
  </si>
  <si>
    <t>Your Business Ltd</t>
  </si>
  <si>
    <t>Address line 1</t>
  </si>
  <si>
    <t>12 Example Street</t>
  </si>
  <si>
    <t>Address line 2</t>
  </si>
  <si>
    <t>Columbus</t>
  </si>
  <si>
    <t>State and ZIP</t>
  </si>
  <si>
    <t>OH 43004</t>
  </si>
  <si>
    <t>Email</t>
  </si>
  <si>
    <t>purchasing@yourbusiness.com</t>
  </si>
  <si>
    <t>Phone</t>
  </si>
  <si>
    <t>(614) 555 0100</t>
  </si>
  <si>
    <t>Sales tax rate</t>
  </si>
  <si>
    <t>Standard lead time (days)</t>
  </si>
  <si>
    <t>Payment terms (days)</t>
  </si>
  <si>
    <t>Purchase Order</t>
  </si>
  <si>
    <t>Explore Excel  ·  exploreexcel.com  ·  One order, ready to send</t>
  </si>
  <si>
    <t>PO number</t>
  </si>
  <si>
    <t>PO-1046</t>
  </si>
  <si>
    <t>Date raised</t>
  </si>
  <si>
    <t>Expected delivery</t>
  </si>
  <si>
    <t>Payment terms</t>
  </si>
  <si>
    <t>Vendor</t>
  </si>
  <si>
    <t>Deliver to</t>
  </si>
  <si>
    <t>Vendor name</t>
  </si>
  <si>
    <t>Site or warehouse</t>
  </si>
  <si>
    <t>Address</t>
  </si>
  <si>
    <t>Description</t>
  </si>
  <si>
    <t>Quantity</t>
  </si>
  <si>
    <t>Unit price</t>
  </si>
  <si>
    <t>Line total</t>
  </si>
  <si>
    <t>Aluminum bracket, 3 mm</t>
  </si>
  <si>
    <t>Hex bolt M8 x 40, zinc</t>
  </si>
  <si>
    <t>Thread lock compound, 50 ml</t>
  </si>
  <si>
    <t>Freight and handling</t>
  </si>
  <si>
    <t>Subtotal</t>
  </si>
  <si>
    <t>Sales tax</t>
  </si>
  <si>
    <t>Order total</t>
  </si>
  <si>
    <t>Terms</t>
  </si>
  <si>
    <t>Deliver to the address above on or before the expected delivery date. Quote the PO number on the packing slip and the invoice; an invoice without it may be returned. Partial deliveries are accepted and should be noted on the packing slip.</t>
  </si>
  <si>
    <t>Authorized by</t>
  </si>
  <si>
    <t>Date</t>
  </si>
  <si>
    <t>Purchase Order Log</t>
  </si>
  <si>
    <t>Explore Excel  ·  exploreexcel.com  ·  Ageing runs from the expected delivery date</t>
  </si>
  <si>
    <t>Today's date</t>
  </si>
  <si>
    <t>Ageing is measured against this. It updates every time you open the file.</t>
  </si>
  <si>
    <t>PO no.</t>
  </si>
  <si>
    <t>Raised</t>
  </si>
  <si>
    <t>Expected</t>
  </si>
  <si>
    <t>Order value</t>
  </si>
  <si>
    <t>Received</t>
  </si>
  <si>
    <t>Outstanding</t>
  </si>
  <si>
    <t>Days late</t>
  </si>
  <si>
    <t>Delivery status</t>
  </si>
  <si>
    <t/>
  </si>
  <si>
    <t>Action</t>
  </si>
  <si>
    <t>PO-1041</t>
  </si>
  <si>
    <t>Northaero Supplies</t>
  </si>
  <si>
    <t>PO-1042</t>
  </si>
  <si>
    <t>Southend Components</t>
  </si>
  <si>
    <t>PO-1043</t>
  </si>
  <si>
    <t>Westmoor Fabrication</t>
  </si>
  <si>
    <t>PO-1044</t>
  </si>
  <si>
    <t>PO-1045</t>
  </si>
  <si>
    <t>Delta Castings</t>
  </si>
  <si>
    <t>Commitments Summary</t>
  </si>
  <si>
    <t>Explore Excel  ·  exploreexcel.com  ·  All figures pull from the PO Log</t>
  </si>
  <si>
    <t>Ageing profile</t>
  </si>
  <si>
    <t>Bucket</t>
  </si>
  <si>
    <t>Orders</t>
  </si>
  <si>
    <t>% of total</t>
  </si>
  <si>
    <t>On schedule</t>
  </si>
  <si>
    <t>1-30 days</t>
  </si>
  <si>
    <t>31-60 days</t>
  </si>
  <si>
    <t>61-90 days</t>
  </si>
  <si>
    <t>90+ days</t>
  </si>
  <si>
    <t>Total outstanding</t>
  </si>
  <si>
    <t>Key figures</t>
  </si>
  <si>
    <t>Orders raised</t>
  </si>
  <si>
    <t>Every row with a PO number.</t>
  </si>
  <si>
    <t>Fully received</t>
  </si>
  <si>
    <t>Received value matches the order value.</t>
  </si>
  <si>
    <t>Needing a chase today</t>
  </si>
  <si>
    <t>Past the expected date and not fully received.</t>
  </si>
  <si>
    <t>Total committed</t>
  </si>
  <si>
    <t>Value of every order raised.</t>
  </si>
  <si>
    <t>Value still to arrive</t>
  </si>
  <si>
    <t>Ordered but not yet received.</t>
  </si>
  <si>
    <t>Overdue value</t>
  </si>
  <si>
    <t>The part of that which is already late.</t>
  </si>
  <si>
    <t>Check</t>
  </si>
  <si>
    <t>Buckets against the log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</si>
</sst>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dd-mmm-yy"/>
    <numFmt numFmtId="165" formatCode="#,##0;(#,##0);-"/>
    <numFmt numFmtId="166" formatCode="#,##0.00;(#,##0.00);&quot;-&quot;"/>
    <numFmt numFmtId="167" formatCode="0.0%;(0.0%);-"/>
  </numFmts>
  <fonts count="14" x14ac:knownFonts="1">
    <font>
      <color theme="1"/>
      <family val="2"/>
      <scheme val="minor"/>
      <sz val="11"/>
      <name val="Calibri"/>
    </font>
    <font>
      <b/>
      <color rgb="FFFFFFFF"/>
      <sz val="16"/>
      <name val="Arial"/>
    </font>
    <font>
      <color rgb="FFC6E4D9"/>
      <sz val="9"/>
      <name val="Arial"/>
    </font>
    <font>
      <b/>
      <color rgb="FF0A4A3A"/>
      <sz val="11"/>
      <name val="Arial"/>
    </font>
    <font>
      <color rgb="FF141414"/>
      <sz val="10"/>
      <name val="Arial"/>
    </font>
    <font>
      <b/>
      <color rgb="FFFFFFFF"/>
      <sz val="10"/>
      <name val="Arial"/>
    </font>
    <font>
      <b/>
      <color rgb="FF0A4A3A"/>
      <sz val="10"/>
      <name val="Arial"/>
    </font>
    <font>
      <color rgb="FF0000FF"/>
      <sz val="10"/>
      <name val="Arial"/>
    </font>
    <font>
      <b/>
      <color rgb="FF0A4A3A"/>
      <sz val="13"/>
      <name val="Arial"/>
    </font>
    <font>
      <b/>
      <color rgb="FF0000FF"/>
      <sz val="10"/>
      <name val="Arial"/>
    </font>
    <font>
      <color rgb="FF4A4A48"/>
      <sz val="10"/>
      <name val="Arial"/>
    </font>
    <font>
      <b/>
      <color rgb="FFFFFFFF"/>
      <sz val="11"/>
      <name val="Arial"/>
    </font>
    <font>
      <b/>
      <color rgb="FF141414"/>
      <sz val="10"/>
      <name val="Arial"/>
    </font>
    <font>
      <i/>
      <color rgb="FF4A4A48"/>
      <sz val="9"/>
      <name val="Arial"/>
    </font>
  </fonts>
  <fills count="6">
    <fill>
      <patternFill patternType="none"/>
    </fill>
    <fill>
      <patternFill patternType="gray125"/>
    </fill>
    <fill>
      <patternFill patternType="solid">
        <fgColor rgb="FF0F6E56"/>
      </patternFill>
    </fill>
    <fill>
      <patternFill patternType="solid">
        <fgColor rgb="FFFFFDF0"/>
      </patternFill>
    </fill>
    <fill>
      <patternFill patternType="solid">
        <fgColor rgb="FFFAFAF8"/>
      </patternFill>
    </fill>
    <fill>
      <patternFill patternType="solid">
        <fgColor rgb="FFE1F5EE"/>
      </patternFill>
    </fill>
  </fills>
  <borders count="3">
    <border>
      <left/>
      <right/>
      <top/>
      <bottom/>
      <diagonal/>
    </border>
    <border>
      <left style="thin">
        <color rgb="FFE4E4E0"/>
      </left>
      <right style="thin">
        <color rgb="FFE4E4E0"/>
      </right>
      <top style="thin">
        <color rgb="FFE4E4E0"/>
      </top>
      <bottom style="thin">
        <color rgb="FFE4E4E0"/>
      </bottom>
      <diagonal/>
    </border>
    <border>
      <left/>
      <right/>
      <top/>
      <bottom style="thin">
        <color rgb="FFE4E4E0"/>
      </bottom>
      <diagonal/>
    </border>
  </borders>
  <cellStyleXfs count="1">
    <xf numFmtId="0" fontId="0" fillId="0" borderId="0"/>
  </cellStyleXfs>
  <cellXfs count="45">
    <xf numFmtId="0" fontId="0" fillId="0" borderId="0" xfId="0"/>
    <xf numFmtId="0" fontId="1" fillId="2" borderId="0" xfId="0" applyFont="1" applyFill="1" applyAlignment="1">
      <alignment vertical="center"/>
    </xf>
    <xf numFmtId="0" fontId="2" fillId="2" borderId="0" xfId="0" applyFont="1" applyFill="1"/>
    <xf numFmtId="0" fontId="3" fillId="0" borderId="0" xfId="0" applyFont="1"/>
    <xf numFmtId="0" fontId="4" fillId="0" borderId="0" xfId="0" applyFont="1" applyAlignment="1">
      <alignment vertical="top" wrapText="1"/>
    </xf>
    <xf numFmtId="0" fontId="5" fillId="2" borderId="1" xfId="0" applyFont="1" applyFill="1" applyBorder="1" applyAlignment="1">
      <alignment horizontal="center" vertical="center" wrapText="1"/>
    </xf>
    <xf numFmtId="0" fontId="6" fillId="0" borderId="1" xfId="0" applyFont="1" applyBorder="1"/>
    <xf numFmtId="0" fontId="7" fillId="3" borderId="1" xfId="0" applyFont="1" applyFill="1" applyBorder="1"/>
    <xf numFmtId="0" fontId="6" fillId="4" borderId="1" xfId="0" applyFont="1" applyFill="1" applyBorder="1"/>
    <xf numFmtId="10" fontId="7" fillId="3" borderId="1" xfId="0" applyNumberFormat="1" applyFont="1" applyFill="1" applyBorder="1"/>
    <xf numFmtId="0" fontId="8" fillId="0" borderId="0" xfId="0" applyFont="1"/>
    <xf numFmtId="0" fontId="6" fillId="0" borderId="0" xfId="0" applyFont="1" applyAlignment="1">
      <alignment horizontal="right"/>
    </xf>
    <xf numFmtId="0" fontId="9" fillId="3" borderId="1" xfId="0" applyFont="1" applyFill="1" applyBorder="1" applyAlignment="1">
      <alignment horizontal="right"/>
    </xf>
    <xf numFmtId="0" fontId="10" fillId="0" borderId="0" xfId="0" applyFont="1"/>
    <xf numFmtId="164" fontId="9" fillId="3" borderId="1" xfId="0" applyNumberFormat="1" applyFont="1" applyFill="1" applyBorder="1" applyAlignment="1">
      <alignment horizontal="right"/>
    </xf>
    <xf numFmtId="164" fontId="4" fillId="0" borderId="1" xfId="0" applyNumberFormat="1" applyFont="1" applyBorder="1" applyAlignment="1">
      <alignment horizontal="right"/>
    </xf>
    <xf numFmtId="0" fontId="4" fillId="0" borderId="1" xfId="0" applyFont="1" applyBorder="1" applyAlignment="1">
      <alignment horizontal="right"/>
    </xf>
    <xf numFmtId="0" fontId="5" fillId="2" borderId="1" xfId="0" applyFont="1" applyFill="1" applyBorder="1"/>
    <xf numFmtId="0" fontId="0" fillId="0" borderId="1" xfId="0" applyBorder="1"/>
    <xf numFmtId="165" fontId="7" fillId="3" borderId="1" xfId="0" applyNumberFormat="1" applyFont="1" applyFill="1" applyBorder="1"/>
    <xf numFmtId="166" fontId="7" fillId="3" borderId="1" xfId="0" applyNumberFormat="1" applyFont="1" applyFill="1" applyBorder="1"/>
    <xf numFmtId="166" fontId="4" fillId="0" borderId="1" xfId="0" applyNumberFormat="1" applyFont="1" applyBorder="1"/>
    <xf numFmtId="166" fontId="4" fillId="4" borderId="1" xfId="0" applyNumberFormat="1" applyFont="1" applyFill="1" applyBorder="1"/>
    <xf numFmtId="0" fontId="5" fillId="2" borderId="1" xfId="0" applyFont="1" applyFill="1" applyBorder="1" applyAlignment="1">
      <alignment horizontal="right"/>
    </xf>
    <xf numFmtId="166" fontId="11" fillId="2" borderId="1" xfId="0" applyNumberFormat="1" applyFont="1" applyFill="1" applyBorder="1"/>
    <xf numFmtId="0" fontId="6" fillId="0" borderId="0" xfId="0" applyFont="1"/>
    <xf numFmtId="0" fontId="0" fillId="0" borderId="2" xfId="0" applyBorder="1"/>
    <xf numFmtId="164" fontId="12" fillId="5" borderId="1" xfId="0" applyNumberFormat="1" applyFont="1" applyFill="1" applyBorder="1"/>
    <xf numFmtId="0" fontId="13" fillId="0" borderId="0" xfId="0" applyFont="1"/>
    <xf numFmtId="164" fontId="7" fillId="3" borderId="1" xfId="0" applyNumberFormat="1" applyFont="1" applyFill="1" applyBorder="1"/>
    <xf numFmtId="165" fontId="4" fillId="0" borderId="1" xfId="0" applyNumberFormat="1" applyFont="1" applyBorder="1" applyAlignment="1">
      <alignment horizontal="center"/>
    </xf>
    <xf numFmtId="0" fontId="4" fillId="0" borderId="1" xfId="0" applyFont="1" applyBorder="1" applyAlignment="1">
      <alignment horizontal="center"/>
    </xf>
    <xf numFmtId="0" fontId="4" fillId="0" borderId="0" xfId="0" applyFont="1"/>
    <xf numFmtId="165" fontId="4" fillId="4" borderId="1" xfId="0" applyNumberFormat="1" applyFont="1" applyFill="1" applyBorder="1" applyAlignment="1">
      <alignment horizontal="center"/>
    </xf>
    <xf numFmtId="0" fontId="4" fillId="4" borderId="1" xfId="0" applyFont="1" applyFill="1" applyBorder="1" applyAlignment="1">
      <alignment horizontal="center"/>
    </xf>
    <xf numFmtId="0" fontId="4" fillId="4" borderId="0" xfId="0" applyFont="1" applyFill="1"/>
    <xf numFmtId="0" fontId="4" fillId="0" borderId="1" xfId="0" applyFont="1" applyBorder="1"/>
    <xf numFmtId="167" fontId="4" fillId="0" borderId="1" xfId="0" applyNumberFormat="1" applyFont="1" applyBorder="1"/>
    <xf numFmtId="0" fontId="4" fillId="4" borderId="1" xfId="0" applyFont="1" applyFill="1" applyBorder="1"/>
    <xf numFmtId="167" fontId="4" fillId="4" borderId="1" xfId="0" applyNumberFormat="1" applyFont="1" applyFill="1" applyBorder="1"/>
    <xf numFmtId="166" fontId="5" fillId="2" borderId="1" xfId="0" applyNumberFormat="1" applyFont="1" applyFill="1" applyBorder="1"/>
    <xf numFmtId="167" fontId="5" fillId="2" borderId="1" xfId="0" applyNumberFormat="1" applyFont="1" applyFill="1" applyBorder="1"/>
    <xf numFmtId="165" fontId="4" fillId="0" borderId="1" xfId="0" applyNumberFormat="1" applyFont="1" applyBorder="1"/>
    <xf numFmtId="165" fontId="4" fillId="4" borderId="1" xfId="0" applyNumberFormat="1" applyFont="1" applyFill="1" applyBorder="1"/>
    <xf numFmtId="0" fontId="6" fillId="5" borderId="1" xfId="0" applyFont="1" applyFill="1" applyBorder="1" applyAlignment="1">
      <alignment horizontal="center"/>
    </xf>
  </cellXfs>
  <cellStyles count="1">
    <cellStyle name="Normal" xfId="0" builtinId="0"/>
  </cellStyles>
  <dxfs count="2">
    <dxf>
      <font>
        <b/>
        <color rgb="FF7A2020"/>
      </font>
      <fill>
        <patternFill patternType="solid">
          <bgColor rgb="FFF6DEDE"/>
        </patternFill>
      </fill>
    </dxf>
    <dxf>
      <font>
        <b/>
        <color rgb="FF0A4A3A"/>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A4A48"/>
    <pageSetUpPr fitToPage="1"/>
  </sheetPr>
  <dimension ref="A1:A26"/>
  <sheetViews>
    <sheetView workbookViewId="0" showGridLines="0" zoomScale="100"/>
  </sheetViews>
  <sheetFormatPr defaultRowHeight="15" outlineLevelRow="0" outlineLevelCol="0" x14ac:dyDescent="55"/>
  <cols>
    <col min="1" max="1" width="104" customWidth="1"/>
  </cols>
  <sheetData>
    <row r="1" ht="25.5" customHeight="1" spans="1:1" x14ac:dyDescent="0.25">
      <c r="A1" s="1" t="s">
        <v>0</v>
      </c>
    </row>
    <row r="2" ht="15" customHeight="1" spans="1:1" x14ac:dyDescent="0.25">
      <c r="A2" s="2" t="s">
        <v>1</v>
      </c>
    </row>
    <row r="4" ht="15" customHeight="1" spans="1:1" x14ac:dyDescent="0.25">
      <c r="A4" s="3" t="s">
        <v>2</v>
      </c>
    </row>
    <row r="5" ht="55" customHeight="1" spans="1:1" x14ac:dyDescent="0.25">
      <c r="A5" s="4" t="s">
        <v>3</v>
      </c>
    </row>
    <row r="7" ht="15" customHeight="1" spans="1:1" x14ac:dyDescent="0.25">
      <c r="A7" s="3" t="s">
        <v>4</v>
      </c>
    </row>
    <row r="8" ht="42.25" customHeight="1" spans="1:1" x14ac:dyDescent="0.25">
      <c r="A8" s="4" t="s">
        <v>5</v>
      </c>
    </row>
    <row r="10" ht="15" customHeight="1" spans="1:1" x14ac:dyDescent="0.25">
      <c r="A10" s="3" t="s">
        <v>6</v>
      </c>
    </row>
    <row r="11" ht="42.25" customHeight="1" spans="1:1" x14ac:dyDescent="0.25">
      <c r="A11" s="4" t="s">
        <v>7</v>
      </c>
    </row>
    <row r="13" ht="15" customHeight="1" spans="1:1" x14ac:dyDescent="0.25">
      <c r="A13" s="3" t="s">
        <v>8</v>
      </c>
    </row>
    <row r="14" ht="42.25" customHeight="1" spans="1:1" x14ac:dyDescent="0.25">
      <c r="A14" s="4" t="s">
        <v>9</v>
      </c>
    </row>
    <row r="16" ht="15" customHeight="1" spans="1:1" x14ac:dyDescent="0.25">
      <c r="A16" s="3" t="s">
        <v>10</v>
      </c>
    </row>
    <row r="17" ht="55" customHeight="1" spans="1:1" x14ac:dyDescent="0.25">
      <c r="A17" s="4" t="s">
        <v>11</v>
      </c>
    </row>
    <row r="19" ht="15" customHeight="1" spans="1:1" x14ac:dyDescent="0.25">
      <c r="A19" s="3" t="s">
        <v>12</v>
      </c>
    </row>
    <row r="20" ht="42.25" customHeight="1" spans="1:1" x14ac:dyDescent="0.25">
      <c r="A20" s="4" t="s">
        <v>13</v>
      </c>
    </row>
    <row r="22" ht="15" customHeight="1" spans="1:1" x14ac:dyDescent="0.25">
      <c r="A22" s="3" t="s">
        <v>14</v>
      </c>
    </row>
    <row r="23" ht="29.5" customHeight="1" spans="1:1" x14ac:dyDescent="0.25">
      <c r="A23" s="4" t="s">
        <v>15</v>
      </c>
    </row>
    <row r="25" ht="15" customHeight="1" spans="1:1" x14ac:dyDescent="0.25">
      <c r="A25" s="3" t="s">
        <v>16</v>
      </c>
    </row>
    <row r="26" ht="42.25" customHeight="1" spans="1:1" x14ac:dyDescent="0.25">
      <c r="A26" s="4" t="s">
        <v>17</v>
      </c>
    </row>
  </sheetData>
  <printOptions horizontalCentered="1"/>
  <pageMargins left="0.4" right="0.4" top="0.6" bottom="0.6" header="0.3" footer="0.3"/>
  <pageSetup paperSize="1" orientation="portrait" fitToWidth="1" fitToHeight="0"/>
  <headerFooter>
    <oddFooter>&amp;L&amp;9Explore Excel&amp;R&amp;9Page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A4A48"/>
    <pageSetUpPr fitToPage="1"/>
  </sheetPr>
  <dimension ref="A1:B13"/>
  <sheetViews>
    <sheetView workbookViewId="0" showGridLines="0" zoomScale="100">
      <pane ySplit="4" topLeftCell="A5" activePane="bottomLeft" state="frozen"/>
      <selection pane="bottomLeft"/>
    </sheetView>
  </sheetViews>
  <sheetFormatPr defaultRowHeight="15" outlineLevelRow="0" outlineLevelCol="0" x14ac:dyDescent="55"/>
  <cols>
    <col min="1" max="2" width="30" customWidth="1"/>
  </cols>
  <sheetData>
    <row r="1" ht="25.5" customHeight="1" spans="1:2" x14ac:dyDescent="0.25">
      <c r="A1" s="1" t="s">
        <v>18</v>
      </c>
      <c r="B1" s="1"/>
    </row>
    <row r="2" ht="15" customHeight="1" spans="1:2" x14ac:dyDescent="0.25">
      <c r="A2" s="2" t="s">
        <v>19</v>
      </c>
      <c r="B2" s="2"/>
    </row>
    <row r="4" ht="24" customHeight="1" spans="1:2" x14ac:dyDescent="0.25">
      <c r="A4" s="5" t="s">
        <v>20</v>
      </c>
      <c r="B4" s="5" t="s">
        <v>21</v>
      </c>
    </row>
    <row r="5" spans="1:2" x14ac:dyDescent="0.25">
      <c r="A5" s="6" t="s">
        <v>22</v>
      </c>
      <c r="B5" s="7" t="s">
        <v>23</v>
      </c>
    </row>
    <row r="6" spans="1:2" x14ac:dyDescent="0.25">
      <c r="A6" s="8" t="s">
        <v>24</v>
      </c>
      <c r="B6" s="7" t="s">
        <v>25</v>
      </c>
    </row>
    <row r="7" spans="1:2" x14ac:dyDescent="0.25">
      <c r="A7" s="6" t="s">
        <v>26</v>
      </c>
      <c r="B7" s="7" t="s">
        <v>27</v>
      </c>
    </row>
    <row r="8" spans="1:2" x14ac:dyDescent="0.25">
      <c r="A8" s="8" t="s">
        <v>28</v>
      </c>
      <c r="B8" s="7" t="s">
        <v>29</v>
      </c>
    </row>
    <row r="9" spans="1:2" x14ac:dyDescent="0.25">
      <c r="A9" s="6" t="s">
        <v>30</v>
      </c>
      <c r="B9" s="7" t="s">
        <v>31</v>
      </c>
    </row>
    <row r="10" spans="1:2" x14ac:dyDescent="0.25">
      <c r="A10" s="8" t="s">
        <v>32</v>
      </c>
      <c r="B10" s="7" t="s">
        <v>33</v>
      </c>
    </row>
    <row r="11" spans="1:2" x14ac:dyDescent="0.25">
      <c r="A11" s="6" t="s">
        <v>34</v>
      </c>
      <c r="B11" s="9">
        <v>0.0875</v>
      </c>
    </row>
    <row r="12" spans="1:2" x14ac:dyDescent="0.25">
      <c r="A12" s="8" t="s">
        <v>35</v>
      </c>
      <c r="B12" s="7">
        <v>21</v>
      </c>
    </row>
    <row r="13" spans="1:2" x14ac:dyDescent="0.25">
      <c r="A13" s="6" t="s">
        <v>36</v>
      </c>
      <c r="B13" s="7">
        <v>30</v>
      </c>
    </row>
  </sheetData>
  <printOptions horizontalCentered="1"/>
  <pageMargins left="0.4" right="0.4" top="0.6" bottom="0.6" header="0.3" footer="0.3"/>
  <pageSetup paperSize="1" orientation="portrait" fitToWidth="1" fitToHeight="0"/>
  <headerFooter>
    <oddFooter>&amp;L&amp;9Explore Excel&amp;R&amp;9Page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F6E56"/>
    <pageSetUpPr fitToPage="1"/>
  </sheetPr>
  <dimension ref="A1:D34"/>
  <sheetViews>
    <sheetView workbookViewId="0" showGridLines="0" zoomScale="100"/>
  </sheetViews>
  <sheetFormatPr defaultRowHeight="15" outlineLevelRow="0" outlineLevelCol="0" x14ac:dyDescent="55"/>
  <cols>
    <col min="1" max="1" width="44" customWidth="1"/>
    <col min="2" max="2" width="12" customWidth="1"/>
    <col min="3" max="3" width="15" customWidth="1"/>
    <col min="4" max="4" width="17" customWidth="1"/>
  </cols>
  <sheetData>
    <row r="1" ht="25.5" customHeight="1" spans="1:4" x14ac:dyDescent="0.25">
      <c r="A1" s="1" t="s">
        <v>37</v>
      </c>
      <c r="B1" s="1"/>
      <c r="C1" s="1"/>
      <c r="D1" s="1"/>
    </row>
    <row r="2" ht="15" customHeight="1" spans="1:4" x14ac:dyDescent="0.25">
      <c r="A2" s="2" t="s">
        <v>38</v>
      </c>
      <c r="B2" s="2"/>
      <c r="C2" s="2"/>
      <c r="D2" s="2"/>
    </row>
    <row r="4" spans="1:4" x14ac:dyDescent="0.25">
      <c r="A4" s="10">
        <f>Settings!B5</f>
      </c>
      <c r="C4" s="11" t="s">
        <v>39</v>
      </c>
      <c r="D4" s="12" t="s">
        <v>40</v>
      </c>
    </row>
    <row r="5" spans="1:4" x14ac:dyDescent="0.25">
      <c r="A5" s="13">
        <f>Settings!B6</f>
      </c>
      <c r="C5" s="11" t="s">
        <v>41</v>
      </c>
      <c r="D5" s="14">
        <v>46238</v>
      </c>
    </row>
    <row r="6" spans="1:4" x14ac:dyDescent="0.25">
      <c r="A6" s="13">
        <f>Settings!B7</f>
      </c>
      <c r="C6" s="11" t="s">
        <v>42</v>
      </c>
      <c r="D6" s="15">
        <f>IF(D5="","",D5+Settings!$B$12)</f>
      </c>
    </row>
    <row r="7" spans="1:4" x14ac:dyDescent="0.25">
      <c r="A7" s="13">
        <f>Settings!B8</f>
      </c>
      <c r="C7" s="11" t="s">
        <v>43</v>
      </c>
      <c r="D7" s="16">
        <f>Settings!$B$13&amp;" days from invoice"</f>
      </c>
    </row>
    <row r="8" spans="1:1" x14ac:dyDescent="0.25">
      <c r="A8" s="13">
        <f>Settings!B9</f>
      </c>
    </row>
    <row r="9" spans="1:1" x14ac:dyDescent="0.25">
      <c r="A9" s="13">
        <f>Settings!B10</f>
      </c>
    </row>
    <row r="10" spans="1:3" x14ac:dyDescent="0.25">
      <c r="A10" s="17" t="s">
        <v>44</v>
      </c>
      <c r="C10" s="17" t="s">
        <v>45</v>
      </c>
    </row>
    <row r="11" spans="1:4" x14ac:dyDescent="0.25">
      <c r="A11" s="7" t="s">
        <v>46</v>
      </c>
      <c r="C11" s="7" t="s">
        <v>47</v>
      </c>
      <c r="D11" s="18"/>
    </row>
    <row r="12" spans="1:4" x14ac:dyDescent="0.25">
      <c r="A12" s="7" t="s">
        <v>48</v>
      </c>
      <c r="C12" s="7" t="s">
        <v>48</v>
      </c>
      <c r="D12" s="18"/>
    </row>
    <row r="13" ht="24" customHeight="1" spans="1:4" x14ac:dyDescent="0.25">
      <c r="A13" s="5" t="s">
        <v>49</v>
      </c>
      <c r="B13" s="5" t="s">
        <v>50</v>
      </c>
      <c r="C13" s="5" t="s">
        <v>51</v>
      </c>
      <c r="D13" s="5" t="s">
        <v>52</v>
      </c>
    </row>
    <row r="14" spans="1:4" x14ac:dyDescent="0.25">
      <c r="A14" s="7" t="s">
        <v>53</v>
      </c>
      <c r="B14" s="19">
        <v>250</v>
      </c>
      <c r="C14" s="20">
        <v>4.85</v>
      </c>
      <c r="D14" s="21">
        <f>IF(B14="","",ROUND(B14*C14,2))</f>
      </c>
    </row>
    <row r="15" spans="1:4" x14ac:dyDescent="0.25">
      <c r="A15" s="7" t="s">
        <v>54</v>
      </c>
      <c r="B15" s="19">
        <v>1000</v>
      </c>
      <c r="C15" s="20">
        <v>0.42</v>
      </c>
      <c r="D15" s="22">
        <f>IF(B15="","",ROUND(B15*C15,2))</f>
      </c>
    </row>
    <row r="16" spans="1:4" x14ac:dyDescent="0.25">
      <c r="A16" s="7" t="s">
        <v>55</v>
      </c>
      <c r="B16" s="19">
        <v>24</v>
      </c>
      <c r="C16" s="20">
        <v>11.75</v>
      </c>
      <c r="D16" s="21">
        <f>IF(B16="","",ROUND(B16*C16,2))</f>
      </c>
    </row>
    <row r="17" spans="1:4" x14ac:dyDescent="0.25">
      <c r="A17" s="7" t="s">
        <v>56</v>
      </c>
      <c r="B17" s="19">
        <v>1</v>
      </c>
      <c r="C17" s="20">
        <v>85</v>
      </c>
      <c r="D17" s="22">
        <f>IF(B17="","",ROUND(B17*C17,2))</f>
      </c>
    </row>
    <row r="18" spans="1:4" x14ac:dyDescent="0.25">
      <c r="A18" s="7"/>
      <c r="B18" s="19"/>
      <c r="C18" s="20"/>
      <c r="D18" s="21">
        <f>IF(B18="","",ROUND(B18*C18,2))</f>
      </c>
    </row>
    <row r="19" spans="1:4" x14ac:dyDescent="0.25">
      <c r="A19" s="7"/>
      <c r="B19" s="19"/>
      <c r="C19" s="20"/>
      <c r="D19" s="22">
        <f>IF(B19="","",ROUND(B19*C19,2))</f>
      </c>
    </row>
    <row r="20" spans="1:4" x14ac:dyDescent="0.25">
      <c r="A20" s="7"/>
      <c r="B20" s="19"/>
      <c r="C20" s="20"/>
      <c r="D20" s="21">
        <f>IF(B20="","",ROUND(B20*C20,2))</f>
      </c>
    </row>
    <row r="21" spans="1:4" x14ac:dyDescent="0.25">
      <c r="A21" s="7"/>
      <c r="B21" s="19"/>
      <c r="C21" s="20"/>
      <c r="D21" s="22">
        <f>IF(B21="","",ROUND(B21*C21,2))</f>
      </c>
    </row>
    <row r="22" spans="1:4" x14ac:dyDescent="0.25">
      <c r="A22" s="7"/>
      <c r="B22" s="19"/>
      <c r="C22" s="20"/>
      <c r="D22" s="21">
        <f>IF(B22="","",ROUND(B22*C22,2))</f>
      </c>
    </row>
    <row r="23" spans="1:4" x14ac:dyDescent="0.25">
      <c r="A23" s="7"/>
      <c r="B23" s="19"/>
      <c r="C23" s="20"/>
      <c r="D23" s="22">
        <f>IF(B23="","",ROUND(B23*C23,2))</f>
      </c>
    </row>
    <row r="24" spans="1:4" x14ac:dyDescent="0.25">
      <c r="A24" s="7"/>
      <c r="B24" s="19"/>
      <c r="C24" s="20"/>
      <c r="D24" s="21">
        <f>IF(B24="","",ROUND(B24*C24,2))</f>
      </c>
    </row>
    <row r="25" spans="1:4" x14ac:dyDescent="0.25">
      <c r="A25" s="7"/>
      <c r="B25" s="19"/>
      <c r="C25" s="20"/>
      <c r="D25" s="22">
        <f>IF(B25="","",ROUND(B25*C25,2))</f>
      </c>
    </row>
    <row r="26" spans="1:4" x14ac:dyDescent="0.25">
      <c r="A26" s="7"/>
      <c r="B26" s="19"/>
      <c r="C26" s="20"/>
      <c r="D26" s="21">
        <f>IF(B26="","",ROUND(B26*C26,2))</f>
      </c>
    </row>
    <row r="27" spans="3:4" x14ac:dyDescent="0.25">
      <c r="C27" s="16" t="s">
        <v>57</v>
      </c>
      <c r="D27" s="21">
        <f>SUM(D14:D26)</f>
      </c>
    </row>
    <row r="28" spans="3:4" x14ac:dyDescent="0.25">
      <c r="C28" s="16" t="s">
        <v>58</v>
      </c>
      <c r="D28" s="21">
        <f>ROUND(D27*Settings!$B$11,2)</f>
      </c>
    </row>
    <row r="29" spans="3:4" x14ac:dyDescent="0.25">
      <c r="C29" s="23" t="s">
        <v>59</v>
      </c>
      <c r="D29" s="24">
        <f>D27+D28</f>
      </c>
    </row>
    <row r="31" ht="15" customHeight="1" spans="1:1" x14ac:dyDescent="0.25">
      <c r="A31" s="3" t="s">
        <v>60</v>
      </c>
    </row>
    <row r="32" ht="80.5" customHeight="1" spans="1:1" x14ac:dyDescent="0.25">
      <c r="A32" s="4" t="s">
        <v>61</v>
      </c>
    </row>
    <row r="34" spans="1:4" x14ac:dyDescent="0.25">
      <c r="A34" s="25" t="s">
        <v>62</v>
      </c>
      <c r="B34" s="26"/>
      <c r="C34" s="11" t="s">
        <v>63</v>
      </c>
      <c r="D34" s="26"/>
    </row>
  </sheetData>
  <printOptions horizontalCentered="1"/>
  <pageMargins left="0.4" right="0.4" top="0.6" bottom="0.6" header="0.3" footer="0.3"/>
  <pageSetup paperSize="1" orientation="portrait" fitToWidth="1" fitToHeight="0"/>
  <headerFooter>
    <oddFooter>&amp;L&amp;9Explore Excel&amp;R&amp;9Page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A4A3A"/>
    <pageSetUpPr fitToPage="1"/>
  </sheetPr>
  <dimension ref="A1:K206"/>
  <sheetViews>
    <sheetView workbookViewId="0" showGridLines="0" zoomScale="100">
      <pane xSplit="2" ySplit="6" topLeftCell="C7" activePane="bottomRight" state="frozen"/>
      <selection pane="bottomRight"/>
    </sheetView>
  </sheetViews>
  <sheetFormatPr defaultRowHeight="15" outlineLevelRow="0" outlineLevelCol="0" x14ac:dyDescent="55"/>
  <cols>
    <col min="1" max="1" width="12" customWidth="1"/>
    <col min="2" max="2" width="22" customWidth="1"/>
    <col min="3" max="4" width="11" customWidth="1"/>
    <col min="5" max="5" width="13" customWidth="1"/>
    <col min="6" max="6" width="12" customWidth="1"/>
    <col min="7" max="7" width="13" customWidth="1"/>
    <col min="8" max="8" width="11" customWidth="1"/>
    <col min="9" max="9" width="15" customWidth="1"/>
    <col min="10" max="10" width="2" customWidth="1"/>
    <col min="11" max="11" width="14" customWidth="1"/>
  </cols>
  <sheetData>
    <row r="1" ht="25.5" customHeight="1" spans="1:11" x14ac:dyDescent="0.25">
      <c r="A1" s="1" t="s">
        <v>64</v>
      </c>
      <c r="B1" s="1"/>
      <c r="C1" s="1"/>
      <c r="D1" s="1"/>
      <c r="E1" s="1"/>
      <c r="F1" s="1"/>
      <c r="G1" s="1"/>
      <c r="H1" s="1"/>
      <c r="I1" s="1"/>
      <c r="J1" s="1"/>
      <c r="K1" s="1"/>
    </row>
    <row r="2" ht="15" customHeight="1" spans="1:11" x14ac:dyDescent="0.25">
      <c r="A2" s="2" t="s">
        <v>65</v>
      </c>
      <c r="B2" s="2"/>
      <c r="C2" s="2"/>
      <c r="D2" s="2"/>
      <c r="E2" s="2"/>
      <c r="F2" s="2"/>
      <c r="G2" s="2"/>
      <c r="H2" s="2"/>
      <c r="I2" s="2"/>
      <c r="J2" s="2"/>
      <c r="K2" s="2"/>
    </row>
    <row r="4" spans="1:4" x14ac:dyDescent="0.25">
      <c r="A4" s="25" t="s">
        <v>66</v>
      </c>
      <c r="C4" s="27">
        <f>TODAY()</f>
      </c>
      <c r="D4" s="28" t="s">
        <v>67</v>
      </c>
    </row>
    <row r="6" ht="24" customHeight="1" spans="1:11" x14ac:dyDescent="0.25">
      <c r="A6" s="5" t="s">
        <v>68</v>
      </c>
      <c r="B6" s="5" t="s">
        <v>44</v>
      </c>
      <c r="C6" s="5" t="s">
        <v>69</v>
      </c>
      <c r="D6" s="5" t="s">
        <v>70</v>
      </c>
      <c r="E6" s="5" t="s">
        <v>71</v>
      </c>
      <c r="F6" s="5" t="s">
        <v>72</v>
      </c>
      <c r="G6" s="5" t="s">
        <v>73</v>
      </c>
      <c r="H6" s="5" t="s">
        <v>74</v>
      </c>
      <c r="I6" s="5" t="s">
        <v>75</v>
      </c>
      <c r="J6" s="5" t="s">
        <v>76</v>
      </c>
      <c r="K6" s="5" t="s">
        <v>77</v>
      </c>
    </row>
    <row r="7" spans="1:11" x14ac:dyDescent="0.25">
      <c r="A7" s="7" t="s">
        <v>78</v>
      </c>
      <c r="B7" s="7" t="s">
        <v>79</v>
      </c>
      <c r="C7" s="29">
        <v>46210</v>
      </c>
      <c r="D7" s="29">
        <v>46231</v>
      </c>
      <c r="E7" s="20">
        <v>2174.46</v>
      </c>
      <c r="F7" s="20">
        <v>2174.46</v>
      </c>
      <c r="G7" s="21">
        <f>IF(E7="","",E7-N(F7))</f>
      </c>
      <c r="H7" s="30">
        <f>IF(OR(D7="",G7=""),"",IF(G7&lt;=0,0,MAX(0,$C$4-D7)))</f>
      </c>
      <c r="I7" s="31">
        <f>IF(H7="","",IF(G7&lt;=0,"Received",IF(H7=0,"On schedule",IF(H7&lt;=30,"1-30 days",IF(H7&lt;=60,"31-60 days",IF(H7&lt;=90,"61-90 days","90+ days"))))))</f>
      </c>
      <c r="J7" s="32"/>
      <c r="K7" s="31">
        <f>IF(A7="","",IF(G7&lt;=0,"Complete",IF(H7&gt;0,"Chase vendor",IF(D7-$C$4&lt;=7,"Due soon","Open"))))</f>
      </c>
    </row>
    <row r="8" spans="1:11" x14ac:dyDescent="0.25">
      <c r="A8" s="7" t="s">
        <v>80</v>
      </c>
      <c r="B8" s="7" t="s">
        <v>81</v>
      </c>
      <c r="C8" s="29">
        <v>46215</v>
      </c>
      <c r="D8" s="29">
        <v>46236</v>
      </c>
      <c r="E8" s="20">
        <v>3480</v>
      </c>
      <c r="F8" s="20">
        <v>0</v>
      </c>
      <c r="G8" s="22">
        <f>IF(E8="","",E8-N(F8))</f>
      </c>
      <c r="H8" s="33">
        <f>IF(OR(D8="",G8=""),"",IF(G8&lt;=0,0,MAX(0,$C$4-D8)))</f>
      </c>
      <c r="I8" s="34">
        <f>IF(H8="","",IF(G8&lt;=0,"Received",IF(H8=0,"On schedule",IF(H8&lt;=30,"1-30 days",IF(H8&lt;=60,"31-60 days",IF(H8&lt;=90,"61-90 days","90+ days"))))))</f>
      </c>
      <c r="J8" s="35"/>
      <c r="K8" s="34">
        <f>IF(A8="","",IF(G8&lt;=0,"Complete",IF(H8&gt;0,"Chase vendor",IF(D8-$C$4&lt;=7,"Due soon","Open"))))</f>
      </c>
    </row>
    <row r="9" spans="1:11" x14ac:dyDescent="0.25">
      <c r="A9" s="7" t="s">
        <v>82</v>
      </c>
      <c r="B9" s="7" t="s">
        <v>83</v>
      </c>
      <c r="C9" s="29">
        <v>46224</v>
      </c>
      <c r="D9" s="29">
        <v>46252</v>
      </c>
      <c r="E9" s="20">
        <v>1290.75</v>
      </c>
      <c r="F9" s="20">
        <v>0</v>
      </c>
      <c r="G9" s="21">
        <f>IF(E9="","",E9-N(F9))</f>
      </c>
      <c r="H9" s="30">
        <f>IF(OR(D9="",G9=""),"",IF(G9&lt;=0,0,MAX(0,$C$4-D9)))</f>
      </c>
      <c r="I9" s="31">
        <f>IF(H9="","",IF(G9&lt;=0,"Received",IF(H9=0,"On schedule",IF(H9&lt;=30,"1-30 days",IF(H9&lt;=60,"31-60 days",IF(H9&lt;=90,"61-90 days","90+ days"))))))</f>
      </c>
      <c r="J9" s="32"/>
      <c r="K9" s="31">
        <f>IF(A9="","",IF(G9&lt;=0,"Complete",IF(H9&gt;0,"Chase vendor",IF(D9-$C$4&lt;=7,"Due soon","Open"))))</f>
      </c>
    </row>
    <row r="10" spans="1:11" x14ac:dyDescent="0.25">
      <c r="A10" s="7" t="s">
        <v>84</v>
      </c>
      <c r="B10" s="7" t="s">
        <v>79</v>
      </c>
      <c r="C10" s="29">
        <v>46180</v>
      </c>
      <c r="D10" s="29">
        <v>46201</v>
      </c>
      <c r="E10" s="20">
        <v>940</v>
      </c>
      <c r="F10" s="20">
        <v>400</v>
      </c>
      <c r="G10" s="22">
        <f>IF(E10="","",E10-N(F10))</f>
      </c>
      <c r="H10" s="33">
        <f>IF(OR(D10="",G10=""),"",IF(G10&lt;=0,0,MAX(0,$C$4-D10)))</f>
      </c>
      <c r="I10" s="34">
        <f>IF(H10="","",IF(G10&lt;=0,"Received",IF(H10=0,"On schedule",IF(H10&lt;=30,"1-30 days",IF(H10&lt;=60,"31-60 days",IF(H10&lt;=90,"61-90 days","90+ days"))))))</f>
      </c>
      <c r="J10" s="35"/>
      <c r="K10" s="34">
        <f>IF(A10="","",IF(G10&lt;=0,"Complete",IF(H10&gt;0,"Chase vendor",IF(D10-$C$4&lt;=7,"Due soon","Open"))))</f>
      </c>
    </row>
    <row r="11" spans="1:11" x14ac:dyDescent="0.25">
      <c r="A11" s="7" t="s">
        <v>85</v>
      </c>
      <c r="B11" s="7" t="s">
        <v>86</v>
      </c>
      <c r="C11" s="29">
        <v>46232</v>
      </c>
      <c r="D11" s="29">
        <v>46266</v>
      </c>
      <c r="E11" s="20">
        <v>5600</v>
      </c>
      <c r="F11" s="20">
        <v>0</v>
      </c>
      <c r="G11" s="21">
        <f>IF(E11="","",E11-N(F11))</f>
      </c>
      <c r="H11" s="30">
        <f>IF(OR(D11="",G11=""),"",IF(G11&lt;=0,0,MAX(0,$C$4-D11)))</f>
      </c>
      <c r="I11" s="31">
        <f>IF(H11="","",IF(G11&lt;=0,"Received",IF(H11=0,"On schedule",IF(H11&lt;=30,"1-30 days",IF(H11&lt;=60,"31-60 days",IF(H11&lt;=90,"61-90 days","90+ days"))))))</f>
      </c>
      <c r="J11" s="32"/>
      <c r="K11" s="31">
        <f>IF(A11="","",IF(G11&lt;=0,"Complete",IF(H11&gt;0,"Chase vendor",IF(D11-$C$4&lt;=7,"Due soon","Open"))))</f>
      </c>
    </row>
    <row r="12" spans="1:11" x14ac:dyDescent="0.25">
      <c r="A12" s="7"/>
      <c r="B12" s="7"/>
      <c r="C12" s="29"/>
      <c r="D12" s="29"/>
      <c r="E12" s="20"/>
      <c r="F12" s="20"/>
      <c r="G12" s="22">
        <f>IF(E12="","",E12-N(F12))</f>
      </c>
      <c r="H12" s="33">
        <f>IF(OR(D12="",G12=""),"",IF(G12&lt;=0,0,MAX(0,$C$4-D12)))</f>
      </c>
      <c r="I12" s="34">
        <f>IF(H12="","",IF(G12&lt;=0,"Received",IF(H12=0,"On schedule",IF(H12&lt;=30,"1-30 days",IF(H12&lt;=60,"31-60 days",IF(H12&lt;=90,"61-90 days","90+ days"))))))</f>
      </c>
      <c r="J12" s="35"/>
      <c r="K12" s="34">
        <f>IF(A12="","",IF(G12&lt;=0,"Complete",IF(H12&gt;0,"Chase vendor",IF(D12-$C$4&lt;=7,"Due soon","Open"))))</f>
      </c>
    </row>
    <row r="13" spans="1:11" x14ac:dyDescent="0.25">
      <c r="A13" s="7"/>
      <c r="B13" s="7"/>
      <c r="C13" s="29"/>
      <c r="D13" s="29"/>
      <c r="E13" s="20"/>
      <c r="F13" s="20"/>
      <c r="G13" s="21">
        <f>IF(E13="","",E13-N(F13))</f>
      </c>
      <c r="H13" s="30">
        <f>IF(OR(D13="",G13=""),"",IF(G13&lt;=0,0,MAX(0,$C$4-D13)))</f>
      </c>
      <c r="I13" s="31">
        <f>IF(H13="","",IF(G13&lt;=0,"Received",IF(H13=0,"On schedule",IF(H13&lt;=30,"1-30 days",IF(H13&lt;=60,"31-60 days",IF(H13&lt;=90,"61-90 days","90+ days"))))))</f>
      </c>
      <c r="J13" s="32"/>
      <c r="K13" s="31">
        <f>IF(A13="","",IF(G13&lt;=0,"Complete",IF(H13&gt;0,"Chase vendor",IF(D13-$C$4&lt;=7,"Due soon","Open"))))</f>
      </c>
    </row>
    <row r="14" spans="1:11" x14ac:dyDescent="0.25">
      <c r="A14" s="7"/>
      <c r="B14" s="7"/>
      <c r="C14" s="29"/>
      <c r="D14" s="29"/>
      <c r="E14" s="20"/>
      <c r="F14" s="20"/>
      <c r="G14" s="22">
        <f>IF(E14="","",E14-N(F14))</f>
      </c>
      <c r="H14" s="33">
        <f>IF(OR(D14="",G14=""),"",IF(G14&lt;=0,0,MAX(0,$C$4-D14)))</f>
      </c>
      <c r="I14" s="34">
        <f>IF(H14="","",IF(G14&lt;=0,"Received",IF(H14=0,"On schedule",IF(H14&lt;=30,"1-30 days",IF(H14&lt;=60,"31-60 days",IF(H14&lt;=90,"61-90 days","90+ days"))))))</f>
      </c>
      <c r="J14" s="35"/>
      <c r="K14" s="34">
        <f>IF(A14="","",IF(G14&lt;=0,"Complete",IF(H14&gt;0,"Chase vendor",IF(D14-$C$4&lt;=7,"Due soon","Open"))))</f>
      </c>
    </row>
    <row r="15" spans="1:11" x14ac:dyDescent="0.25">
      <c r="A15" s="7"/>
      <c r="B15" s="7"/>
      <c r="C15" s="29"/>
      <c r="D15" s="29"/>
      <c r="E15" s="20"/>
      <c r="F15" s="20"/>
      <c r="G15" s="21">
        <f>IF(E15="","",E15-N(F15))</f>
      </c>
      <c r="H15" s="30">
        <f>IF(OR(D15="",G15=""),"",IF(G15&lt;=0,0,MAX(0,$C$4-D15)))</f>
      </c>
      <c r="I15" s="31">
        <f>IF(H15="","",IF(G15&lt;=0,"Received",IF(H15=0,"On schedule",IF(H15&lt;=30,"1-30 days",IF(H15&lt;=60,"31-60 days",IF(H15&lt;=90,"61-90 days","90+ days"))))))</f>
      </c>
      <c r="J15" s="32"/>
      <c r="K15" s="31">
        <f>IF(A15="","",IF(G15&lt;=0,"Complete",IF(H15&gt;0,"Chase vendor",IF(D15-$C$4&lt;=7,"Due soon","Open"))))</f>
      </c>
    </row>
    <row r="16" spans="1:11" x14ac:dyDescent="0.25">
      <c r="A16" s="7"/>
      <c r="B16" s="7"/>
      <c r="C16" s="29"/>
      <c r="D16" s="29"/>
      <c r="E16" s="20"/>
      <c r="F16" s="20"/>
      <c r="G16" s="22">
        <f>IF(E16="","",E16-N(F16))</f>
      </c>
      <c r="H16" s="33">
        <f>IF(OR(D16="",G16=""),"",IF(G16&lt;=0,0,MAX(0,$C$4-D16)))</f>
      </c>
      <c r="I16" s="34">
        <f>IF(H16="","",IF(G16&lt;=0,"Received",IF(H16=0,"On schedule",IF(H16&lt;=30,"1-30 days",IF(H16&lt;=60,"31-60 days",IF(H16&lt;=90,"61-90 days","90+ days"))))))</f>
      </c>
      <c r="J16" s="35"/>
      <c r="K16" s="34">
        <f>IF(A16="","",IF(G16&lt;=0,"Complete",IF(H16&gt;0,"Chase vendor",IF(D16-$C$4&lt;=7,"Due soon","Open"))))</f>
      </c>
    </row>
    <row r="17" spans="1:11" x14ac:dyDescent="0.25">
      <c r="A17" s="7"/>
      <c r="B17" s="7"/>
      <c r="C17" s="29"/>
      <c r="D17" s="29"/>
      <c r="E17" s="20"/>
      <c r="F17" s="20"/>
      <c r="G17" s="21">
        <f>IF(E17="","",E17-N(F17))</f>
      </c>
      <c r="H17" s="30">
        <f>IF(OR(D17="",G17=""),"",IF(G17&lt;=0,0,MAX(0,$C$4-D17)))</f>
      </c>
      <c r="I17" s="31">
        <f>IF(H17="","",IF(G17&lt;=0,"Received",IF(H17=0,"On schedule",IF(H17&lt;=30,"1-30 days",IF(H17&lt;=60,"31-60 days",IF(H17&lt;=90,"61-90 days","90+ days"))))))</f>
      </c>
      <c r="J17" s="32"/>
      <c r="K17" s="31">
        <f>IF(A17="","",IF(G17&lt;=0,"Complete",IF(H17&gt;0,"Chase vendor",IF(D17-$C$4&lt;=7,"Due soon","Open"))))</f>
      </c>
    </row>
    <row r="18" spans="1:11" x14ac:dyDescent="0.25">
      <c r="A18" s="7"/>
      <c r="B18" s="7"/>
      <c r="C18" s="29"/>
      <c r="D18" s="29"/>
      <c r="E18" s="20"/>
      <c r="F18" s="20"/>
      <c r="G18" s="22">
        <f>IF(E18="","",E18-N(F18))</f>
      </c>
      <c r="H18" s="33">
        <f>IF(OR(D18="",G18=""),"",IF(G18&lt;=0,0,MAX(0,$C$4-D18)))</f>
      </c>
      <c r="I18" s="34">
        <f>IF(H18="","",IF(G18&lt;=0,"Received",IF(H18=0,"On schedule",IF(H18&lt;=30,"1-30 days",IF(H18&lt;=60,"31-60 days",IF(H18&lt;=90,"61-90 days","90+ days"))))))</f>
      </c>
      <c r="J18" s="35"/>
      <c r="K18" s="34">
        <f>IF(A18="","",IF(G18&lt;=0,"Complete",IF(H18&gt;0,"Chase vendor",IF(D18-$C$4&lt;=7,"Due soon","Open"))))</f>
      </c>
    </row>
    <row r="19" spans="1:11" x14ac:dyDescent="0.25">
      <c r="A19" s="7"/>
      <c r="B19" s="7"/>
      <c r="C19" s="29"/>
      <c r="D19" s="29"/>
      <c r="E19" s="20"/>
      <c r="F19" s="20"/>
      <c r="G19" s="21">
        <f>IF(E19="","",E19-N(F19))</f>
      </c>
      <c r="H19" s="30">
        <f>IF(OR(D19="",G19=""),"",IF(G19&lt;=0,0,MAX(0,$C$4-D19)))</f>
      </c>
      <c r="I19" s="31">
        <f>IF(H19="","",IF(G19&lt;=0,"Received",IF(H19=0,"On schedule",IF(H19&lt;=30,"1-30 days",IF(H19&lt;=60,"31-60 days",IF(H19&lt;=90,"61-90 days","90+ days"))))))</f>
      </c>
      <c r="J19" s="32"/>
      <c r="K19" s="31">
        <f>IF(A19="","",IF(G19&lt;=0,"Complete",IF(H19&gt;0,"Chase vendor",IF(D19-$C$4&lt;=7,"Due soon","Open"))))</f>
      </c>
    </row>
    <row r="20" spans="1:11" x14ac:dyDescent="0.25">
      <c r="A20" s="7"/>
      <c r="B20" s="7"/>
      <c r="C20" s="29"/>
      <c r="D20" s="29"/>
      <c r="E20" s="20"/>
      <c r="F20" s="20"/>
      <c r="G20" s="22">
        <f>IF(E20="","",E20-N(F20))</f>
      </c>
      <c r="H20" s="33">
        <f>IF(OR(D20="",G20=""),"",IF(G20&lt;=0,0,MAX(0,$C$4-D20)))</f>
      </c>
      <c r="I20" s="34">
        <f>IF(H20="","",IF(G20&lt;=0,"Received",IF(H20=0,"On schedule",IF(H20&lt;=30,"1-30 days",IF(H20&lt;=60,"31-60 days",IF(H20&lt;=90,"61-90 days","90+ days"))))))</f>
      </c>
      <c r="J20" s="35"/>
      <c r="K20" s="34">
        <f>IF(A20="","",IF(G20&lt;=0,"Complete",IF(H20&gt;0,"Chase vendor",IF(D20-$C$4&lt;=7,"Due soon","Open"))))</f>
      </c>
    </row>
    <row r="21" spans="1:11" x14ac:dyDescent="0.25">
      <c r="A21" s="7"/>
      <c r="B21" s="7"/>
      <c r="C21" s="29"/>
      <c r="D21" s="29"/>
      <c r="E21" s="20"/>
      <c r="F21" s="20"/>
      <c r="G21" s="21">
        <f>IF(E21="","",E21-N(F21))</f>
      </c>
      <c r="H21" s="30">
        <f>IF(OR(D21="",G21=""),"",IF(G21&lt;=0,0,MAX(0,$C$4-D21)))</f>
      </c>
      <c r="I21" s="31">
        <f>IF(H21="","",IF(G21&lt;=0,"Received",IF(H21=0,"On schedule",IF(H21&lt;=30,"1-30 days",IF(H21&lt;=60,"31-60 days",IF(H21&lt;=90,"61-90 days","90+ days"))))))</f>
      </c>
      <c r="J21" s="32"/>
      <c r="K21" s="31">
        <f>IF(A21="","",IF(G21&lt;=0,"Complete",IF(H21&gt;0,"Chase vendor",IF(D21-$C$4&lt;=7,"Due soon","Open"))))</f>
      </c>
    </row>
    <row r="22" spans="1:11" x14ac:dyDescent="0.25">
      <c r="A22" s="7"/>
      <c r="B22" s="7"/>
      <c r="C22" s="29"/>
      <c r="D22" s="29"/>
      <c r="E22" s="20"/>
      <c r="F22" s="20"/>
      <c r="G22" s="22">
        <f>IF(E22="","",E22-N(F22))</f>
      </c>
      <c r="H22" s="33">
        <f>IF(OR(D22="",G22=""),"",IF(G22&lt;=0,0,MAX(0,$C$4-D22)))</f>
      </c>
      <c r="I22" s="34">
        <f>IF(H22="","",IF(G22&lt;=0,"Received",IF(H22=0,"On schedule",IF(H22&lt;=30,"1-30 days",IF(H22&lt;=60,"31-60 days",IF(H22&lt;=90,"61-90 days","90+ days"))))))</f>
      </c>
      <c r="J22" s="35"/>
      <c r="K22" s="34">
        <f>IF(A22="","",IF(G22&lt;=0,"Complete",IF(H22&gt;0,"Chase vendor",IF(D22-$C$4&lt;=7,"Due soon","Open"))))</f>
      </c>
    </row>
    <row r="23" spans="1:11" x14ac:dyDescent="0.25">
      <c r="A23" s="7"/>
      <c r="B23" s="7"/>
      <c r="C23" s="29"/>
      <c r="D23" s="29"/>
      <c r="E23" s="20"/>
      <c r="F23" s="20"/>
      <c r="G23" s="21">
        <f>IF(E23="","",E23-N(F23))</f>
      </c>
      <c r="H23" s="30">
        <f>IF(OR(D23="",G23=""),"",IF(G23&lt;=0,0,MAX(0,$C$4-D23)))</f>
      </c>
      <c r="I23" s="31">
        <f>IF(H23="","",IF(G23&lt;=0,"Received",IF(H23=0,"On schedule",IF(H23&lt;=30,"1-30 days",IF(H23&lt;=60,"31-60 days",IF(H23&lt;=90,"61-90 days","90+ days"))))))</f>
      </c>
      <c r="J23" s="32"/>
      <c r="K23" s="31">
        <f>IF(A23="","",IF(G23&lt;=0,"Complete",IF(H23&gt;0,"Chase vendor",IF(D23-$C$4&lt;=7,"Due soon","Open"))))</f>
      </c>
    </row>
    <row r="24" spans="1:11" x14ac:dyDescent="0.25">
      <c r="A24" s="7"/>
      <c r="B24" s="7"/>
      <c r="C24" s="29"/>
      <c r="D24" s="29"/>
      <c r="E24" s="20"/>
      <c r="F24" s="20"/>
      <c r="G24" s="22">
        <f>IF(E24="","",E24-N(F24))</f>
      </c>
      <c r="H24" s="33">
        <f>IF(OR(D24="",G24=""),"",IF(G24&lt;=0,0,MAX(0,$C$4-D24)))</f>
      </c>
      <c r="I24" s="34">
        <f>IF(H24="","",IF(G24&lt;=0,"Received",IF(H24=0,"On schedule",IF(H24&lt;=30,"1-30 days",IF(H24&lt;=60,"31-60 days",IF(H24&lt;=90,"61-90 days","90+ days"))))))</f>
      </c>
      <c r="J24" s="35"/>
      <c r="K24" s="34">
        <f>IF(A24="","",IF(G24&lt;=0,"Complete",IF(H24&gt;0,"Chase vendor",IF(D24-$C$4&lt;=7,"Due soon","Open"))))</f>
      </c>
    </row>
    <row r="25" spans="1:11" x14ac:dyDescent="0.25">
      <c r="A25" s="7"/>
      <c r="B25" s="7"/>
      <c r="C25" s="29"/>
      <c r="D25" s="29"/>
      <c r="E25" s="20"/>
      <c r="F25" s="20"/>
      <c r="G25" s="21">
        <f>IF(E25="","",E25-N(F25))</f>
      </c>
      <c r="H25" s="30">
        <f>IF(OR(D25="",G25=""),"",IF(G25&lt;=0,0,MAX(0,$C$4-D25)))</f>
      </c>
      <c r="I25" s="31">
        <f>IF(H25="","",IF(G25&lt;=0,"Received",IF(H25=0,"On schedule",IF(H25&lt;=30,"1-30 days",IF(H25&lt;=60,"31-60 days",IF(H25&lt;=90,"61-90 days","90+ days"))))))</f>
      </c>
      <c r="J25" s="32"/>
      <c r="K25" s="31">
        <f>IF(A25="","",IF(G25&lt;=0,"Complete",IF(H25&gt;0,"Chase vendor",IF(D25-$C$4&lt;=7,"Due soon","Open"))))</f>
      </c>
    </row>
    <row r="26" spans="1:11" x14ac:dyDescent="0.25">
      <c r="A26" s="7"/>
      <c r="B26" s="7"/>
      <c r="C26" s="29"/>
      <c r="D26" s="29"/>
      <c r="E26" s="20"/>
      <c r="F26" s="20"/>
      <c r="G26" s="22">
        <f>IF(E26="","",E26-N(F26))</f>
      </c>
      <c r="H26" s="33">
        <f>IF(OR(D26="",G26=""),"",IF(G26&lt;=0,0,MAX(0,$C$4-D26)))</f>
      </c>
      <c r="I26" s="34">
        <f>IF(H26="","",IF(G26&lt;=0,"Received",IF(H26=0,"On schedule",IF(H26&lt;=30,"1-30 days",IF(H26&lt;=60,"31-60 days",IF(H26&lt;=90,"61-90 days","90+ days"))))))</f>
      </c>
      <c r="J26" s="35"/>
      <c r="K26" s="34">
        <f>IF(A26="","",IF(G26&lt;=0,"Complete",IF(H26&gt;0,"Chase vendor",IF(D26-$C$4&lt;=7,"Due soon","Open"))))</f>
      </c>
    </row>
    <row r="27" spans="1:11" x14ac:dyDescent="0.25">
      <c r="A27" s="7"/>
      <c r="B27" s="7"/>
      <c r="C27" s="29"/>
      <c r="D27" s="29"/>
      <c r="E27" s="20"/>
      <c r="F27" s="20"/>
      <c r="G27" s="21">
        <f>IF(E27="","",E27-N(F27))</f>
      </c>
      <c r="H27" s="30">
        <f>IF(OR(D27="",G27=""),"",IF(G27&lt;=0,0,MAX(0,$C$4-D27)))</f>
      </c>
      <c r="I27" s="31">
        <f>IF(H27="","",IF(G27&lt;=0,"Received",IF(H27=0,"On schedule",IF(H27&lt;=30,"1-30 days",IF(H27&lt;=60,"31-60 days",IF(H27&lt;=90,"61-90 days","90+ days"))))))</f>
      </c>
      <c r="J27" s="32"/>
      <c r="K27" s="31">
        <f>IF(A27="","",IF(G27&lt;=0,"Complete",IF(H27&gt;0,"Chase vendor",IF(D27-$C$4&lt;=7,"Due soon","Open"))))</f>
      </c>
    </row>
    <row r="28" spans="1:11" x14ac:dyDescent="0.25">
      <c r="A28" s="7"/>
      <c r="B28" s="7"/>
      <c r="C28" s="29"/>
      <c r="D28" s="29"/>
      <c r="E28" s="20"/>
      <c r="F28" s="20"/>
      <c r="G28" s="22">
        <f>IF(E28="","",E28-N(F28))</f>
      </c>
      <c r="H28" s="33">
        <f>IF(OR(D28="",G28=""),"",IF(G28&lt;=0,0,MAX(0,$C$4-D28)))</f>
      </c>
      <c r="I28" s="34">
        <f>IF(H28="","",IF(G28&lt;=0,"Received",IF(H28=0,"On schedule",IF(H28&lt;=30,"1-30 days",IF(H28&lt;=60,"31-60 days",IF(H28&lt;=90,"61-90 days","90+ days"))))))</f>
      </c>
      <c r="J28" s="35"/>
      <c r="K28" s="34">
        <f>IF(A28="","",IF(G28&lt;=0,"Complete",IF(H28&gt;0,"Chase vendor",IF(D28-$C$4&lt;=7,"Due soon","Open"))))</f>
      </c>
    </row>
    <row r="29" spans="1:11" x14ac:dyDescent="0.25">
      <c r="A29" s="7"/>
      <c r="B29" s="7"/>
      <c r="C29" s="29"/>
      <c r="D29" s="29"/>
      <c r="E29" s="20"/>
      <c r="F29" s="20"/>
      <c r="G29" s="21">
        <f>IF(E29="","",E29-N(F29))</f>
      </c>
      <c r="H29" s="30">
        <f>IF(OR(D29="",G29=""),"",IF(G29&lt;=0,0,MAX(0,$C$4-D29)))</f>
      </c>
      <c r="I29" s="31">
        <f>IF(H29="","",IF(G29&lt;=0,"Received",IF(H29=0,"On schedule",IF(H29&lt;=30,"1-30 days",IF(H29&lt;=60,"31-60 days",IF(H29&lt;=90,"61-90 days","90+ days"))))))</f>
      </c>
      <c r="J29" s="32"/>
      <c r="K29" s="31">
        <f>IF(A29="","",IF(G29&lt;=0,"Complete",IF(H29&gt;0,"Chase vendor",IF(D29-$C$4&lt;=7,"Due soon","Open"))))</f>
      </c>
    </row>
    <row r="30" spans="1:11" x14ac:dyDescent="0.25">
      <c r="A30" s="7"/>
      <c r="B30" s="7"/>
      <c r="C30" s="29"/>
      <c r="D30" s="29"/>
      <c r="E30" s="20"/>
      <c r="F30" s="20"/>
      <c r="G30" s="22">
        <f>IF(E30="","",E30-N(F30))</f>
      </c>
      <c r="H30" s="33">
        <f>IF(OR(D30="",G30=""),"",IF(G30&lt;=0,0,MAX(0,$C$4-D30)))</f>
      </c>
      <c r="I30" s="34">
        <f>IF(H30="","",IF(G30&lt;=0,"Received",IF(H30=0,"On schedule",IF(H30&lt;=30,"1-30 days",IF(H30&lt;=60,"31-60 days",IF(H30&lt;=90,"61-90 days","90+ days"))))))</f>
      </c>
      <c r="J30" s="35"/>
      <c r="K30" s="34">
        <f>IF(A30="","",IF(G30&lt;=0,"Complete",IF(H30&gt;0,"Chase vendor",IF(D30-$C$4&lt;=7,"Due soon","Open"))))</f>
      </c>
    </row>
    <row r="31" spans="1:11" x14ac:dyDescent="0.25">
      <c r="A31" s="7"/>
      <c r="B31" s="7"/>
      <c r="C31" s="29"/>
      <c r="D31" s="29"/>
      <c r="E31" s="20"/>
      <c r="F31" s="20"/>
      <c r="G31" s="21">
        <f>IF(E31="","",E31-N(F31))</f>
      </c>
      <c r="H31" s="30">
        <f>IF(OR(D31="",G31=""),"",IF(G31&lt;=0,0,MAX(0,$C$4-D31)))</f>
      </c>
      <c r="I31" s="31">
        <f>IF(H31="","",IF(G31&lt;=0,"Received",IF(H31=0,"On schedule",IF(H31&lt;=30,"1-30 days",IF(H31&lt;=60,"31-60 days",IF(H31&lt;=90,"61-90 days","90+ days"))))))</f>
      </c>
      <c r="J31" s="32"/>
      <c r="K31" s="31">
        <f>IF(A31="","",IF(G31&lt;=0,"Complete",IF(H31&gt;0,"Chase vendor",IF(D31-$C$4&lt;=7,"Due soon","Open"))))</f>
      </c>
    </row>
    <row r="32" spans="1:11" x14ac:dyDescent="0.25">
      <c r="A32" s="7"/>
      <c r="B32" s="7"/>
      <c r="C32" s="29"/>
      <c r="D32" s="29"/>
      <c r="E32" s="20"/>
      <c r="F32" s="20"/>
      <c r="G32" s="22">
        <f>IF(E32="","",E32-N(F32))</f>
      </c>
      <c r="H32" s="33">
        <f>IF(OR(D32="",G32=""),"",IF(G32&lt;=0,0,MAX(0,$C$4-D32)))</f>
      </c>
      <c r="I32" s="34">
        <f>IF(H32="","",IF(G32&lt;=0,"Received",IF(H32=0,"On schedule",IF(H32&lt;=30,"1-30 days",IF(H32&lt;=60,"31-60 days",IF(H32&lt;=90,"61-90 days","90+ days"))))))</f>
      </c>
      <c r="J32" s="35"/>
      <c r="K32" s="34">
        <f>IF(A32="","",IF(G32&lt;=0,"Complete",IF(H32&gt;0,"Chase vendor",IF(D32-$C$4&lt;=7,"Due soon","Open"))))</f>
      </c>
    </row>
    <row r="33" spans="1:11" x14ac:dyDescent="0.25">
      <c r="A33" s="7"/>
      <c r="B33" s="7"/>
      <c r="C33" s="29"/>
      <c r="D33" s="29"/>
      <c r="E33" s="20"/>
      <c r="F33" s="20"/>
      <c r="G33" s="21">
        <f>IF(E33="","",E33-N(F33))</f>
      </c>
      <c r="H33" s="30">
        <f>IF(OR(D33="",G33=""),"",IF(G33&lt;=0,0,MAX(0,$C$4-D33)))</f>
      </c>
      <c r="I33" s="31">
        <f>IF(H33="","",IF(G33&lt;=0,"Received",IF(H33=0,"On schedule",IF(H33&lt;=30,"1-30 days",IF(H33&lt;=60,"31-60 days",IF(H33&lt;=90,"61-90 days","90+ days"))))))</f>
      </c>
      <c r="J33" s="32"/>
      <c r="K33" s="31">
        <f>IF(A33="","",IF(G33&lt;=0,"Complete",IF(H33&gt;0,"Chase vendor",IF(D33-$C$4&lt;=7,"Due soon","Open"))))</f>
      </c>
    </row>
    <row r="34" spans="1:11" x14ac:dyDescent="0.25">
      <c r="A34" s="7"/>
      <c r="B34" s="7"/>
      <c r="C34" s="29"/>
      <c r="D34" s="29"/>
      <c r="E34" s="20"/>
      <c r="F34" s="20"/>
      <c r="G34" s="22">
        <f>IF(E34="","",E34-N(F34))</f>
      </c>
      <c r="H34" s="33">
        <f>IF(OR(D34="",G34=""),"",IF(G34&lt;=0,0,MAX(0,$C$4-D34)))</f>
      </c>
      <c r="I34" s="34">
        <f>IF(H34="","",IF(G34&lt;=0,"Received",IF(H34=0,"On schedule",IF(H34&lt;=30,"1-30 days",IF(H34&lt;=60,"31-60 days",IF(H34&lt;=90,"61-90 days","90+ days"))))))</f>
      </c>
      <c r="J34" s="35"/>
      <c r="K34" s="34">
        <f>IF(A34="","",IF(G34&lt;=0,"Complete",IF(H34&gt;0,"Chase vendor",IF(D34-$C$4&lt;=7,"Due soon","Open"))))</f>
      </c>
    </row>
    <row r="35" spans="1:11" x14ac:dyDescent="0.25">
      <c r="A35" s="7"/>
      <c r="B35" s="7"/>
      <c r="C35" s="29"/>
      <c r="D35" s="29"/>
      <c r="E35" s="20"/>
      <c r="F35" s="20"/>
      <c r="G35" s="21">
        <f>IF(E35="","",E35-N(F35))</f>
      </c>
      <c r="H35" s="30">
        <f>IF(OR(D35="",G35=""),"",IF(G35&lt;=0,0,MAX(0,$C$4-D35)))</f>
      </c>
      <c r="I35" s="31">
        <f>IF(H35="","",IF(G35&lt;=0,"Received",IF(H35=0,"On schedule",IF(H35&lt;=30,"1-30 days",IF(H35&lt;=60,"31-60 days",IF(H35&lt;=90,"61-90 days","90+ days"))))))</f>
      </c>
      <c r="J35" s="32"/>
      <c r="K35" s="31">
        <f>IF(A35="","",IF(G35&lt;=0,"Complete",IF(H35&gt;0,"Chase vendor",IF(D35-$C$4&lt;=7,"Due soon","Open"))))</f>
      </c>
    </row>
    <row r="36" spans="1:11" x14ac:dyDescent="0.25">
      <c r="A36" s="7"/>
      <c r="B36" s="7"/>
      <c r="C36" s="29"/>
      <c r="D36" s="29"/>
      <c r="E36" s="20"/>
      <c r="F36" s="20"/>
      <c r="G36" s="22">
        <f>IF(E36="","",E36-N(F36))</f>
      </c>
      <c r="H36" s="33">
        <f>IF(OR(D36="",G36=""),"",IF(G36&lt;=0,0,MAX(0,$C$4-D36)))</f>
      </c>
      <c r="I36" s="34">
        <f>IF(H36="","",IF(G36&lt;=0,"Received",IF(H36=0,"On schedule",IF(H36&lt;=30,"1-30 days",IF(H36&lt;=60,"31-60 days",IF(H36&lt;=90,"61-90 days","90+ days"))))))</f>
      </c>
      <c r="J36" s="35"/>
      <c r="K36" s="34">
        <f>IF(A36="","",IF(G36&lt;=0,"Complete",IF(H36&gt;0,"Chase vendor",IF(D36-$C$4&lt;=7,"Due soon","Open"))))</f>
      </c>
    </row>
    <row r="37" spans="1:11" x14ac:dyDescent="0.25">
      <c r="A37" s="7"/>
      <c r="B37" s="7"/>
      <c r="C37" s="29"/>
      <c r="D37" s="29"/>
      <c r="E37" s="20"/>
      <c r="F37" s="20"/>
      <c r="G37" s="21">
        <f>IF(E37="","",E37-N(F37))</f>
      </c>
      <c r="H37" s="30">
        <f>IF(OR(D37="",G37=""),"",IF(G37&lt;=0,0,MAX(0,$C$4-D37)))</f>
      </c>
      <c r="I37" s="31">
        <f>IF(H37="","",IF(G37&lt;=0,"Received",IF(H37=0,"On schedule",IF(H37&lt;=30,"1-30 days",IF(H37&lt;=60,"31-60 days",IF(H37&lt;=90,"61-90 days","90+ days"))))))</f>
      </c>
      <c r="J37" s="32"/>
      <c r="K37" s="31">
        <f>IF(A37="","",IF(G37&lt;=0,"Complete",IF(H37&gt;0,"Chase vendor",IF(D37-$C$4&lt;=7,"Due soon","Open"))))</f>
      </c>
    </row>
    <row r="38" spans="1:11" x14ac:dyDescent="0.25">
      <c r="A38" s="7"/>
      <c r="B38" s="7"/>
      <c r="C38" s="29"/>
      <c r="D38" s="29"/>
      <c r="E38" s="20"/>
      <c r="F38" s="20"/>
      <c r="G38" s="22">
        <f>IF(E38="","",E38-N(F38))</f>
      </c>
      <c r="H38" s="33">
        <f>IF(OR(D38="",G38=""),"",IF(G38&lt;=0,0,MAX(0,$C$4-D38)))</f>
      </c>
      <c r="I38" s="34">
        <f>IF(H38="","",IF(G38&lt;=0,"Received",IF(H38=0,"On schedule",IF(H38&lt;=30,"1-30 days",IF(H38&lt;=60,"31-60 days",IF(H38&lt;=90,"61-90 days","90+ days"))))))</f>
      </c>
      <c r="J38" s="35"/>
      <c r="K38" s="34">
        <f>IF(A38="","",IF(G38&lt;=0,"Complete",IF(H38&gt;0,"Chase vendor",IF(D38-$C$4&lt;=7,"Due soon","Open"))))</f>
      </c>
    </row>
    <row r="39" spans="1:11" x14ac:dyDescent="0.25">
      <c r="A39" s="7"/>
      <c r="B39" s="7"/>
      <c r="C39" s="29"/>
      <c r="D39" s="29"/>
      <c r="E39" s="20"/>
      <c r="F39" s="20"/>
      <c r="G39" s="21">
        <f>IF(E39="","",E39-N(F39))</f>
      </c>
      <c r="H39" s="30">
        <f>IF(OR(D39="",G39=""),"",IF(G39&lt;=0,0,MAX(0,$C$4-D39)))</f>
      </c>
      <c r="I39" s="31">
        <f>IF(H39="","",IF(G39&lt;=0,"Received",IF(H39=0,"On schedule",IF(H39&lt;=30,"1-30 days",IF(H39&lt;=60,"31-60 days",IF(H39&lt;=90,"61-90 days","90+ days"))))))</f>
      </c>
      <c r="J39" s="32"/>
      <c r="K39" s="31">
        <f>IF(A39="","",IF(G39&lt;=0,"Complete",IF(H39&gt;0,"Chase vendor",IF(D39-$C$4&lt;=7,"Due soon","Open"))))</f>
      </c>
    </row>
    <row r="40" spans="1:11" x14ac:dyDescent="0.25">
      <c r="A40" s="7"/>
      <c r="B40" s="7"/>
      <c r="C40" s="29"/>
      <c r="D40" s="29"/>
      <c r="E40" s="20"/>
      <c r="F40" s="20"/>
      <c r="G40" s="22">
        <f>IF(E40="","",E40-N(F40))</f>
      </c>
      <c r="H40" s="33">
        <f>IF(OR(D40="",G40=""),"",IF(G40&lt;=0,0,MAX(0,$C$4-D40)))</f>
      </c>
      <c r="I40" s="34">
        <f>IF(H40="","",IF(G40&lt;=0,"Received",IF(H40=0,"On schedule",IF(H40&lt;=30,"1-30 days",IF(H40&lt;=60,"31-60 days",IF(H40&lt;=90,"61-90 days","90+ days"))))))</f>
      </c>
      <c r="J40" s="35"/>
      <c r="K40" s="34">
        <f>IF(A40="","",IF(G40&lt;=0,"Complete",IF(H40&gt;0,"Chase vendor",IF(D40-$C$4&lt;=7,"Due soon","Open"))))</f>
      </c>
    </row>
    <row r="41" spans="1:11" x14ac:dyDescent="0.25">
      <c r="A41" s="7"/>
      <c r="B41" s="7"/>
      <c r="C41" s="29"/>
      <c r="D41" s="29"/>
      <c r="E41" s="20"/>
      <c r="F41" s="20"/>
      <c r="G41" s="21">
        <f>IF(E41="","",E41-N(F41))</f>
      </c>
      <c r="H41" s="30">
        <f>IF(OR(D41="",G41=""),"",IF(G41&lt;=0,0,MAX(0,$C$4-D41)))</f>
      </c>
      <c r="I41" s="31">
        <f>IF(H41="","",IF(G41&lt;=0,"Received",IF(H41=0,"On schedule",IF(H41&lt;=30,"1-30 days",IF(H41&lt;=60,"31-60 days",IF(H41&lt;=90,"61-90 days","90+ days"))))))</f>
      </c>
      <c r="J41" s="32"/>
      <c r="K41" s="31">
        <f>IF(A41="","",IF(G41&lt;=0,"Complete",IF(H41&gt;0,"Chase vendor",IF(D41-$C$4&lt;=7,"Due soon","Open"))))</f>
      </c>
    </row>
    <row r="42" spans="1:11" x14ac:dyDescent="0.25">
      <c r="A42" s="7"/>
      <c r="B42" s="7"/>
      <c r="C42" s="29"/>
      <c r="D42" s="29"/>
      <c r="E42" s="20"/>
      <c r="F42" s="20"/>
      <c r="G42" s="22">
        <f>IF(E42="","",E42-N(F42))</f>
      </c>
      <c r="H42" s="33">
        <f>IF(OR(D42="",G42=""),"",IF(G42&lt;=0,0,MAX(0,$C$4-D42)))</f>
      </c>
      <c r="I42" s="34">
        <f>IF(H42="","",IF(G42&lt;=0,"Received",IF(H42=0,"On schedule",IF(H42&lt;=30,"1-30 days",IF(H42&lt;=60,"31-60 days",IF(H42&lt;=90,"61-90 days","90+ days"))))))</f>
      </c>
      <c r="J42" s="35"/>
      <c r="K42" s="34">
        <f>IF(A42="","",IF(G42&lt;=0,"Complete",IF(H42&gt;0,"Chase vendor",IF(D42-$C$4&lt;=7,"Due soon","Open"))))</f>
      </c>
    </row>
    <row r="43" spans="1:11" x14ac:dyDescent="0.25">
      <c r="A43" s="7"/>
      <c r="B43" s="7"/>
      <c r="C43" s="29"/>
      <c r="D43" s="29"/>
      <c r="E43" s="20"/>
      <c r="F43" s="20"/>
      <c r="G43" s="21">
        <f>IF(E43="","",E43-N(F43))</f>
      </c>
      <c r="H43" s="30">
        <f>IF(OR(D43="",G43=""),"",IF(G43&lt;=0,0,MAX(0,$C$4-D43)))</f>
      </c>
      <c r="I43" s="31">
        <f>IF(H43="","",IF(G43&lt;=0,"Received",IF(H43=0,"On schedule",IF(H43&lt;=30,"1-30 days",IF(H43&lt;=60,"31-60 days",IF(H43&lt;=90,"61-90 days","90+ days"))))))</f>
      </c>
      <c r="J43" s="32"/>
      <c r="K43" s="31">
        <f>IF(A43="","",IF(G43&lt;=0,"Complete",IF(H43&gt;0,"Chase vendor",IF(D43-$C$4&lt;=7,"Due soon","Open"))))</f>
      </c>
    </row>
    <row r="44" spans="1:11" x14ac:dyDescent="0.25">
      <c r="A44" s="7"/>
      <c r="B44" s="7"/>
      <c r="C44" s="29"/>
      <c r="D44" s="29"/>
      <c r="E44" s="20"/>
      <c r="F44" s="20"/>
      <c r="G44" s="22">
        <f>IF(E44="","",E44-N(F44))</f>
      </c>
      <c r="H44" s="33">
        <f>IF(OR(D44="",G44=""),"",IF(G44&lt;=0,0,MAX(0,$C$4-D44)))</f>
      </c>
      <c r="I44" s="34">
        <f>IF(H44="","",IF(G44&lt;=0,"Received",IF(H44=0,"On schedule",IF(H44&lt;=30,"1-30 days",IF(H44&lt;=60,"31-60 days",IF(H44&lt;=90,"61-90 days","90+ days"))))))</f>
      </c>
      <c r="J44" s="35"/>
      <c r="K44" s="34">
        <f>IF(A44="","",IF(G44&lt;=0,"Complete",IF(H44&gt;0,"Chase vendor",IF(D44-$C$4&lt;=7,"Due soon","Open"))))</f>
      </c>
    </row>
    <row r="45" spans="1:11" x14ac:dyDescent="0.25">
      <c r="A45" s="7"/>
      <c r="B45" s="7"/>
      <c r="C45" s="29"/>
      <c r="D45" s="29"/>
      <c r="E45" s="20"/>
      <c r="F45" s="20"/>
      <c r="G45" s="21">
        <f>IF(E45="","",E45-N(F45))</f>
      </c>
      <c r="H45" s="30">
        <f>IF(OR(D45="",G45=""),"",IF(G45&lt;=0,0,MAX(0,$C$4-D45)))</f>
      </c>
      <c r="I45" s="31">
        <f>IF(H45="","",IF(G45&lt;=0,"Received",IF(H45=0,"On schedule",IF(H45&lt;=30,"1-30 days",IF(H45&lt;=60,"31-60 days",IF(H45&lt;=90,"61-90 days","90+ days"))))))</f>
      </c>
      <c r="J45" s="32"/>
      <c r="K45" s="31">
        <f>IF(A45="","",IF(G45&lt;=0,"Complete",IF(H45&gt;0,"Chase vendor",IF(D45-$C$4&lt;=7,"Due soon","Open"))))</f>
      </c>
    </row>
    <row r="46" spans="1:11" x14ac:dyDescent="0.25">
      <c r="A46" s="7"/>
      <c r="B46" s="7"/>
      <c r="C46" s="29"/>
      <c r="D46" s="29"/>
      <c r="E46" s="20"/>
      <c r="F46" s="20"/>
      <c r="G46" s="22">
        <f>IF(E46="","",E46-N(F46))</f>
      </c>
      <c r="H46" s="33">
        <f>IF(OR(D46="",G46=""),"",IF(G46&lt;=0,0,MAX(0,$C$4-D46)))</f>
      </c>
      <c r="I46" s="34">
        <f>IF(H46="","",IF(G46&lt;=0,"Received",IF(H46=0,"On schedule",IF(H46&lt;=30,"1-30 days",IF(H46&lt;=60,"31-60 days",IF(H46&lt;=90,"61-90 days","90+ days"))))))</f>
      </c>
      <c r="J46" s="35"/>
      <c r="K46" s="34">
        <f>IF(A46="","",IF(G46&lt;=0,"Complete",IF(H46&gt;0,"Chase vendor",IF(D46-$C$4&lt;=7,"Due soon","Open"))))</f>
      </c>
    </row>
    <row r="47" spans="1:11" x14ac:dyDescent="0.25">
      <c r="A47" s="7"/>
      <c r="B47" s="7"/>
      <c r="C47" s="29"/>
      <c r="D47" s="29"/>
      <c r="E47" s="20"/>
      <c r="F47" s="20"/>
      <c r="G47" s="21">
        <f>IF(E47="","",E47-N(F47))</f>
      </c>
      <c r="H47" s="30">
        <f>IF(OR(D47="",G47=""),"",IF(G47&lt;=0,0,MAX(0,$C$4-D47)))</f>
      </c>
      <c r="I47" s="31">
        <f>IF(H47="","",IF(G47&lt;=0,"Received",IF(H47=0,"On schedule",IF(H47&lt;=30,"1-30 days",IF(H47&lt;=60,"31-60 days",IF(H47&lt;=90,"61-90 days","90+ days"))))))</f>
      </c>
      <c r="J47" s="32"/>
      <c r="K47" s="31">
        <f>IF(A47="","",IF(G47&lt;=0,"Complete",IF(H47&gt;0,"Chase vendor",IF(D47-$C$4&lt;=7,"Due soon","Open"))))</f>
      </c>
    </row>
    <row r="48" spans="1:11" x14ac:dyDescent="0.25">
      <c r="A48" s="7"/>
      <c r="B48" s="7"/>
      <c r="C48" s="29"/>
      <c r="D48" s="29"/>
      <c r="E48" s="20"/>
      <c r="F48" s="20"/>
      <c r="G48" s="22">
        <f>IF(E48="","",E48-N(F48))</f>
      </c>
      <c r="H48" s="33">
        <f>IF(OR(D48="",G48=""),"",IF(G48&lt;=0,0,MAX(0,$C$4-D48)))</f>
      </c>
      <c r="I48" s="34">
        <f>IF(H48="","",IF(G48&lt;=0,"Received",IF(H48=0,"On schedule",IF(H48&lt;=30,"1-30 days",IF(H48&lt;=60,"31-60 days",IF(H48&lt;=90,"61-90 days","90+ days"))))))</f>
      </c>
      <c r="J48" s="35"/>
      <c r="K48" s="34">
        <f>IF(A48="","",IF(G48&lt;=0,"Complete",IF(H48&gt;0,"Chase vendor",IF(D48-$C$4&lt;=7,"Due soon","Open"))))</f>
      </c>
    </row>
    <row r="49" spans="1:11" x14ac:dyDescent="0.25">
      <c r="A49" s="7"/>
      <c r="B49" s="7"/>
      <c r="C49" s="29"/>
      <c r="D49" s="29"/>
      <c r="E49" s="20"/>
      <c r="F49" s="20"/>
      <c r="G49" s="21">
        <f>IF(E49="","",E49-N(F49))</f>
      </c>
      <c r="H49" s="30">
        <f>IF(OR(D49="",G49=""),"",IF(G49&lt;=0,0,MAX(0,$C$4-D49)))</f>
      </c>
      <c r="I49" s="31">
        <f>IF(H49="","",IF(G49&lt;=0,"Received",IF(H49=0,"On schedule",IF(H49&lt;=30,"1-30 days",IF(H49&lt;=60,"31-60 days",IF(H49&lt;=90,"61-90 days","90+ days"))))))</f>
      </c>
      <c r="J49" s="32"/>
      <c r="K49" s="31">
        <f>IF(A49="","",IF(G49&lt;=0,"Complete",IF(H49&gt;0,"Chase vendor",IF(D49-$C$4&lt;=7,"Due soon","Open"))))</f>
      </c>
    </row>
    <row r="50" spans="1:11" x14ac:dyDescent="0.25">
      <c r="A50" s="7"/>
      <c r="B50" s="7"/>
      <c r="C50" s="29"/>
      <c r="D50" s="29"/>
      <c r="E50" s="20"/>
      <c r="F50" s="20"/>
      <c r="G50" s="22">
        <f>IF(E50="","",E50-N(F50))</f>
      </c>
      <c r="H50" s="33">
        <f>IF(OR(D50="",G50=""),"",IF(G50&lt;=0,0,MAX(0,$C$4-D50)))</f>
      </c>
      <c r="I50" s="34">
        <f>IF(H50="","",IF(G50&lt;=0,"Received",IF(H50=0,"On schedule",IF(H50&lt;=30,"1-30 days",IF(H50&lt;=60,"31-60 days",IF(H50&lt;=90,"61-90 days","90+ days"))))))</f>
      </c>
      <c r="J50" s="35"/>
      <c r="K50" s="34">
        <f>IF(A50="","",IF(G50&lt;=0,"Complete",IF(H50&gt;0,"Chase vendor",IF(D50-$C$4&lt;=7,"Due soon","Open"))))</f>
      </c>
    </row>
    <row r="51" spans="1:11" x14ac:dyDescent="0.25">
      <c r="A51" s="7"/>
      <c r="B51" s="7"/>
      <c r="C51" s="29"/>
      <c r="D51" s="29"/>
      <c r="E51" s="20"/>
      <c r="F51" s="20"/>
      <c r="G51" s="21">
        <f>IF(E51="","",E51-N(F51))</f>
      </c>
      <c r="H51" s="30">
        <f>IF(OR(D51="",G51=""),"",IF(G51&lt;=0,0,MAX(0,$C$4-D51)))</f>
      </c>
      <c r="I51" s="31">
        <f>IF(H51="","",IF(G51&lt;=0,"Received",IF(H51=0,"On schedule",IF(H51&lt;=30,"1-30 days",IF(H51&lt;=60,"31-60 days",IF(H51&lt;=90,"61-90 days","90+ days"))))))</f>
      </c>
      <c r="J51" s="32"/>
      <c r="K51" s="31">
        <f>IF(A51="","",IF(G51&lt;=0,"Complete",IF(H51&gt;0,"Chase vendor",IF(D51-$C$4&lt;=7,"Due soon","Open"))))</f>
      </c>
    </row>
    <row r="52" spans="1:11" x14ac:dyDescent="0.25">
      <c r="A52" s="7"/>
      <c r="B52" s="7"/>
      <c r="C52" s="29"/>
      <c r="D52" s="29"/>
      <c r="E52" s="20"/>
      <c r="F52" s="20"/>
      <c r="G52" s="22">
        <f>IF(E52="","",E52-N(F52))</f>
      </c>
      <c r="H52" s="33">
        <f>IF(OR(D52="",G52=""),"",IF(G52&lt;=0,0,MAX(0,$C$4-D52)))</f>
      </c>
      <c r="I52" s="34">
        <f>IF(H52="","",IF(G52&lt;=0,"Received",IF(H52=0,"On schedule",IF(H52&lt;=30,"1-30 days",IF(H52&lt;=60,"31-60 days",IF(H52&lt;=90,"61-90 days","90+ days"))))))</f>
      </c>
      <c r="J52" s="35"/>
      <c r="K52" s="34">
        <f>IF(A52="","",IF(G52&lt;=0,"Complete",IF(H52&gt;0,"Chase vendor",IF(D52-$C$4&lt;=7,"Due soon","Open"))))</f>
      </c>
    </row>
    <row r="53" spans="1:11" x14ac:dyDescent="0.25">
      <c r="A53" s="7"/>
      <c r="B53" s="7"/>
      <c r="C53" s="29"/>
      <c r="D53" s="29"/>
      <c r="E53" s="20"/>
      <c r="F53" s="20"/>
      <c r="G53" s="21">
        <f>IF(E53="","",E53-N(F53))</f>
      </c>
      <c r="H53" s="30">
        <f>IF(OR(D53="",G53=""),"",IF(G53&lt;=0,0,MAX(0,$C$4-D53)))</f>
      </c>
      <c r="I53" s="31">
        <f>IF(H53="","",IF(G53&lt;=0,"Received",IF(H53=0,"On schedule",IF(H53&lt;=30,"1-30 days",IF(H53&lt;=60,"31-60 days",IF(H53&lt;=90,"61-90 days","90+ days"))))))</f>
      </c>
      <c r="J53" s="32"/>
      <c r="K53" s="31">
        <f>IF(A53="","",IF(G53&lt;=0,"Complete",IF(H53&gt;0,"Chase vendor",IF(D53-$C$4&lt;=7,"Due soon","Open"))))</f>
      </c>
    </row>
    <row r="54" spans="1:11" x14ac:dyDescent="0.25">
      <c r="A54" s="7"/>
      <c r="B54" s="7"/>
      <c r="C54" s="29"/>
      <c r="D54" s="29"/>
      <c r="E54" s="20"/>
      <c r="F54" s="20"/>
      <c r="G54" s="22">
        <f>IF(E54="","",E54-N(F54))</f>
      </c>
      <c r="H54" s="33">
        <f>IF(OR(D54="",G54=""),"",IF(G54&lt;=0,0,MAX(0,$C$4-D54)))</f>
      </c>
      <c r="I54" s="34">
        <f>IF(H54="","",IF(G54&lt;=0,"Received",IF(H54=0,"On schedule",IF(H54&lt;=30,"1-30 days",IF(H54&lt;=60,"31-60 days",IF(H54&lt;=90,"61-90 days","90+ days"))))))</f>
      </c>
      <c r="J54" s="35"/>
      <c r="K54" s="34">
        <f>IF(A54="","",IF(G54&lt;=0,"Complete",IF(H54&gt;0,"Chase vendor",IF(D54-$C$4&lt;=7,"Due soon","Open"))))</f>
      </c>
    </row>
    <row r="55" spans="1:11" x14ac:dyDescent="0.25">
      <c r="A55" s="7"/>
      <c r="B55" s="7"/>
      <c r="C55" s="29"/>
      <c r="D55" s="29"/>
      <c r="E55" s="20"/>
      <c r="F55" s="20"/>
      <c r="G55" s="21">
        <f>IF(E55="","",E55-N(F55))</f>
      </c>
      <c r="H55" s="30">
        <f>IF(OR(D55="",G55=""),"",IF(G55&lt;=0,0,MAX(0,$C$4-D55)))</f>
      </c>
      <c r="I55" s="31">
        <f>IF(H55="","",IF(G55&lt;=0,"Received",IF(H55=0,"On schedule",IF(H55&lt;=30,"1-30 days",IF(H55&lt;=60,"31-60 days",IF(H55&lt;=90,"61-90 days","90+ days"))))))</f>
      </c>
      <c r="J55" s="32"/>
      <c r="K55" s="31">
        <f>IF(A55="","",IF(G55&lt;=0,"Complete",IF(H55&gt;0,"Chase vendor",IF(D55-$C$4&lt;=7,"Due soon","Open"))))</f>
      </c>
    </row>
    <row r="56" spans="1:11" x14ac:dyDescent="0.25">
      <c r="A56" s="7"/>
      <c r="B56" s="7"/>
      <c r="C56" s="29"/>
      <c r="D56" s="29"/>
      <c r="E56" s="20"/>
      <c r="F56" s="20"/>
      <c r="G56" s="22">
        <f>IF(E56="","",E56-N(F56))</f>
      </c>
      <c r="H56" s="33">
        <f>IF(OR(D56="",G56=""),"",IF(G56&lt;=0,0,MAX(0,$C$4-D56)))</f>
      </c>
      <c r="I56" s="34">
        <f>IF(H56="","",IF(G56&lt;=0,"Received",IF(H56=0,"On schedule",IF(H56&lt;=30,"1-30 days",IF(H56&lt;=60,"31-60 days",IF(H56&lt;=90,"61-90 days","90+ days"))))))</f>
      </c>
      <c r="J56" s="35"/>
      <c r="K56" s="34">
        <f>IF(A56="","",IF(G56&lt;=0,"Complete",IF(H56&gt;0,"Chase vendor",IF(D56-$C$4&lt;=7,"Due soon","Open"))))</f>
      </c>
    </row>
    <row r="57" spans="1:11" x14ac:dyDescent="0.25">
      <c r="A57" s="7"/>
      <c r="B57" s="7"/>
      <c r="C57" s="29"/>
      <c r="D57" s="29"/>
      <c r="E57" s="20"/>
      <c r="F57" s="20"/>
      <c r="G57" s="21">
        <f>IF(E57="","",E57-N(F57))</f>
      </c>
      <c r="H57" s="30">
        <f>IF(OR(D57="",G57=""),"",IF(G57&lt;=0,0,MAX(0,$C$4-D57)))</f>
      </c>
      <c r="I57" s="31">
        <f>IF(H57="","",IF(G57&lt;=0,"Received",IF(H57=0,"On schedule",IF(H57&lt;=30,"1-30 days",IF(H57&lt;=60,"31-60 days",IF(H57&lt;=90,"61-90 days","90+ days"))))))</f>
      </c>
      <c r="J57" s="32"/>
      <c r="K57" s="31">
        <f>IF(A57="","",IF(G57&lt;=0,"Complete",IF(H57&gt;0,"Chase vendor",IF(D57-$C$4&lt;=7,"Due soon","Open"))))</f>
      </c>
    </row>
    <row r="58" spans="1:11" x14ac:dyDescent="0.25">
      <c r="A58" s="7"/>
      <c r="B58" s="7"/>
      <c r="C58" s="29"/>
      <c r="D58" s="29"/>
      <c r="E58" s="20"/>
      <c r="F58" s="20"/>
      <c r="G58" s="22">
        <f>IF(E58="","",E58-N(F58))</f>
      </c>
      <c r="H58" s="33">
        <f>IF(OR(D58="",G58=""),"",IF(G58&lt;=0,0,MAX(0,$C$4-D58)))</f>
      </c>
      <c r="I58" s="34">
        <f>IF(H58="","",IF(G58&lt;=0,"Received",IF(H58=0,"On schedule",IF(H58&lt;=30,"1-30 days",IF(H58&lt;=60,"31-60 days",IF(H58&lt;=90,"61-90 days","90+ days"))))))</f>
      </c>
      <c r="J58" s="35"/>
      <c r="K58" s="34">
        <f>IF(A58="","",IF(G58&lt;=0,"Complete",IF(H58&gt;0,"Chase vendor",IF(D58-$C$4&lt;=7,"Due soon","Open"))))</f>
      </c>
    </row>
    <row r="59" spans="1:11" x14ac:dyDescent="0.25">
      <c r="A59" s="7"/>
      <c r="B59" s="7"/>
      <c r="C59" s="29"/>
      <c r="D59" s="29"/>
      <c r="E59" s="20"/>
      <c r="F59" s="20"/>
      <c r="G59" s="21">
        <f>IF(E59="","",E59-N(F59))</f>
      </c>
      <c r="H59" s="30">
        <f>IF(OR(D59="",G59=""),"",IF(G59&lt;=0,0,MAX(0,$C$4-D59)))</f>
      </c>
      <c r="I59" s="31">
        <f>IF(H59="","",IF(G59&lt;=0,"Received",IF(H59=0,"On schedule",IF(H59&lt;=30,"1-30 days",IF(H59&lt;=60,"31-60 days",IF(H59&lt;=90,"61-90 days","90+ days"))))))</f>
      </c>
      <c r="J59" s="32"/>
      <c r="K59" s="31">
        <f>IF(A59="","",IF(G59&lt;=0,"Complete",IF(H59&gt;0,"Chase vendor",IF(D59-$C$4&lt;=7,"Due soon","Open"))))</f>
      </c>
    </row>
    <row r="60" spans="1:11" x14ac:dyDescent="0.25">
      <c r="A60" s="7"/>
      <c r="B60" s="7"/>
      <c r="C60" s="29"/>
      <c r="D60" s="29"/>
      <c r="E60" s="20"/>
      <c r="F60" s="20"/>
      <c r="G60" s="22">
        <f>IF(E60="","",E60-N(F60))</f>
      </c>
      <c r="H60" s="33">
        <f>IF(OR(D60="",G60=""),"",IF(G60&lt;=0,0,MAX(0,$C$4-D60)))</f>
      </c>
      <c r="I60" s="34">
        <f>IF(H60="","",IF(G60&lt;=0,"Received",IF(H60=0,"On schedule",IF(H60&lt;=30,"1-30 days",IF(H60&lt;=60,"31-60 days",IF(H60&lt;=90,"61-90 days","90+ days"))))))</f>
      </c>
      <c r="J60" s="35"/>
      <c r="K60" s="34">
        <f>IF(A60="","",IF(G60&lt;=0,"Complete",IF(H60&gt;0,"Chase vendor",IF(D60-$C$4&lt;=7,"Due soon","Open"))))</f>
      </c>
    </row>
    <row r="61" spans="1:11" x14ac:dyDescent="0.25">
      <c r="A61" s="7"/>
      <c r="B61" s="7"/>
      <c r="C61" s="29"/>
      <c r="D61" s="29"/>
      <c r="E61" s="20"/>
      <c r="F61" s="20"/>
      <c r="G61" s="21">
        <f>IF(E61="","",E61-N(F61))</f>
      </c>
      <c r="H61" s="30">
        <f>IF(OR(D61="",G61=""),"",IF(G61&lt;=0,0,MAX(0,$C$4-D61)))</f>
      </c>
      <c r="I61" s="31">
        <f>IF(H61="","",IF(G61&lt;=0,"Received",IF(H61=0,"On schedule",IF(H61&lt;=30,"1-30 days",IF(H61&lt;=60,"31-60 days",IF(H61&lt;=90,"61-90 days","90+ days"))))))</f>
      </c>
      <c r="J61" s="32"/>
      <c r="K61" s="31">
        <f>IF(A61="","",IF(G61&lt;=0,"Complete",IF(H61&gt;0,"Chase vendor",IF(D61-$C$4&lt;=7,"Due soon","Open"))))</f>
      </c>
    </row>
    <row r="62" spans="1:11" x14ac:dyDescent="0.25">
      <c r="A62" s="7"/>
      <c r="B62" s="7"/>
      <c r="C62" s="29"/>
      <c r="D62" s="29"/>
      <c r="E62" s="20"/>
      <c r="F62" s="20"/>
      <c r="G62" s="22">
        <f>IF(E62="","",E62-N(F62))</f>
      </c>
      <c r="H62" s="33">
        <f>IF(OR(D62="",G62=""),"",IF(G62&lt;=0,0,MAX(0,$C$4-D62)))</f>
      </c>
      <c r="I62" s="34">
        <f>IF(H62="","",IF(G62&lt;=0,"Received",IF(H62=0,"On schedule",IF(H62&lt;=30,"1-30 days",IF(H62&lt;=60,"31-60 days",IF(H62&lt;=90,"61-90 days","90+ days"))))))</f>
      </c>
      <c r="J62" s="35"/>
      <c r="K62" s="34">
        <f>IF(A62="","",IF(G62&lt;=0,"Complete",IF(H62&gt;0,"Chase vendor",IF(D62-$C$4&lt;=7,"Due soon","Open"))))</f>
      </c>
    </row>
    <row r="63" spans="1:11" x14ac:dyDescent="0.25">
      <c r="A63" s="7"/>
      <c r="B63" s="7"/>
      <c r="C63" s="29"/>
      <c r="D63" s="29"/>
      <c r="E63" s="20"/>
      <c r="F63" s="20"/>
      <c r="G63" s="21">
        <f>IF(E63="","",E63-N(F63))</f>
      </c>
      <c r="H63" s="30">
        <f>IF(OR(D63="",G63=""),"",IF(G63&lt;=0,0,MAX(0,$C$4-D63)))</f>
      </c>
      <c r="I63" s="31">
        <f>IF(H63="","",IF(G63&lt;=0,"Received",IF(H63=0,"On schedule",IF(H63&lt;=30,"1-30 days",IF(H63&lt;=60,"31-60 days",IF(H63&lt;=90,"61-90 days","90+ days"))))))</f>
      </c>
      <c r="J63" s="32"/>
      <c r="K63" s="31">
        <f>IF(A63="","",IF(G63&lt;=0,"Complete",IF(H63&gt;0,"Chase vendor",IF(D63-$C$4&lt;=7,"Due soon","Open"))))</f>
      </c>
    </row>
    <row r="64" spans="1:11" x14ac:dyDescent="0.25">
      <c r="A64" s="7"/>
      <c r="B64" s="7"/>
      <c r="C64" s="29"/>
      <c r="D64" s="29"/>
      <c r="E64" s="20"/>
      <c r="F64" s="20"/>
      <c r="G64" s="22">
        <f>IF(E64="","",E64-N(F64))</f>
      </c>
      <c r="H64" s="33">
        <f>IF(OR(D64="",G64=""),"",IF(G64&lt;=0,0,MAX(0,$C$4-D64)))</f>
      </c>
      <c r="I64" s="34">
        <f>IF(H64="","",IF(G64&lt;=0,"Received",IF(H64=0,"On schedule",IF(H64&lt;=30,"1-30 days",IF(H64&lt;=60,"31-60 days",IF(H64&lt;=90,"61-90 days","90+ days"))))))</f>
      </c>
      <c r="J64" s="35"/>
      <c r="K64" s="34">
        <f>IF(A64="","",IF(G64&lt;=0,"Complete",IF(H64&gt;0,"Chase vendor",IF(D64-$C$4&lt;=7,"Due soon","Open"))))</f>
      </c>
    </row>
    <row r="65" spans="1:11" x14ac:dyDescent="0.25">
      <c r="A65" s="7"/>
      <c r="B65" s="7"/>
      <c r="C65" s="29"/>
      <c r="D65" s="29"/>
      <c r="E65" s="20"/>
      <c r="F65" s="20"/>
      <c r="G65" s="21">
        <f>IF(E65="","",E65-N(F65))</f>
      </c>
      <c r="H65" s="30">
        <f>IF(OR(D65="",G65=""),"",IF(G65&lt;=0,0,MAX(0,$C$4-D65)))</f>
      </c>
      <c r="I65" s="31">
        <f>IF(H65="","",IF(G65&lt;=0,"Received",IF(H65=0,"On schedule",IF(H65&lt;=30,"1-30 days",IF(H65&lt;=60,"31-60 days",IF(H65&lt;=90,"61-90 days","90+ days"))))))</f>
      </c>
      <c r="J65" s="32"/>
      <c r="K65" s="31">
        <f>IF(A65="","",IF(G65&lt;=0,"Complete",IF(H65&gt;0,"Chase vendor",IF(D65-$C$4&lt;=7,"Due soon","Open"))))</f>
      </c>
    </row>
    <row r="66" spans="1:11" x14ac:dyDescent="0.25">
      <c r="A66" s="7"/>
      <c r="B66" s="7"/>
      <c r="C66" s="29"/>
      <c r="D66" s="29"/>
      <c r="E66" s="20"/>
      <c r="F66" s="20"/>
      <c r="G66" s="22">
        <f>IF(E66="","",E66-N(F66))</f>
      </c>
      <c r="H66" s="33">
        <f>IF(OR(D66="",G66=""),"",IF(G66&lt;=0,0,MAX(0,$C$4-D66)))</f>
      </c>
      <c r="I66" s="34">
        <f>IF(H66="","",IF(G66&lt;=0,"Received",IF(H66=0,"On schedule",IF(H66&lt;=30,"1-30 days",IF(H66&lt;=60,"31-60 days",IF(H66&lt;=90,"61-90 days","90+ days"))))))</f>
      </c>
      <c r="J66" s="35"/>
      <c r="K66" s="34">
        <f>IF(A66="","",IF(G66&lt;=0,"Complete",IF(H66&gt;0,"Chase vendor",IF(D66-$C$4&lt;=7,"Due soon","Open"))))</f>
      </c>
    </row>
    <row r="67" spans="1:11" x14ac:dyDescent="0.25">
      <c r="A67" s="7"/>
      <c r="B67" s="7"/>
      <c r="C67" s="29"/>
      <c r="D67" s="29"/>
      <c r="E67" s="20"/>
      <c r="F67" s="20"/>
      <c r="G67" s="21">
        <f>IF(E67="","",E67-N(F67))</f>
      </c>
      <c r="H67" s="30">
        <f>IF(OR(D67="",G67=""),"",IF(G67&lt;=0,0,MAX(0,$C$4-D67)))</f>
      </c>
      <c r="I67" s="31">
        <f>IF(H67="","",IF(G67&lt;=0,"Received",IF(H67=0,"On schedule",IF(H67&lt;=30,"1-30 days",IF(H67&lt;=60,"31-60 days",IF(H67&lt;=90,"61-90 days","90+ days"))))))</f>
      </c>
      <c r="J67" s="32"/>
      <c r="K67" s="31">
        <f>IF(A67="","",IF(G67&lt;=0,"Complete",IF(H67&gt;0,"Chase vendor",IF(D67-$C$4&lt;=7,"Due soon","Open"))))</f>
      </c>
    </row>
    <row r="68" spans="1:11" x14ac:dyDescent="0.25">
      <c r="A68" s="7"/>
      <c r="B68" s="7"/>
      <c r="C68" s="29"/>
      <c r="D68" s="29"/>
      <c r="E68" s="20"/>
      <c r="F68" s="20"/>
      <c r="G68" s="22">
        <f>IF(E68="","",E68-N(F68))</f>
      </c>
      <c r="H68" s="33">
        <f>IF(OR(D68="",G68=""),"",IF(G68&lt;=0,0,MAX(0,$C$4-D68)))</f>
      </c>
      <c r="I68" s="34">
        <f>IF(H68="","",IF(G68&lt;=0,"Received",IF(H68=0,"On schedule",IF(H68&lt;=30,"1-30 days",IF(H68&lt;=60,"31-60 days",IF(H68&lt;=90,"61-90 days","90+ days"))))))</f>
      </c>
      <c r="J68" s="35"/>
      <c r="K68" s="34">
        <f>IF(A68="","",IF(G68&lt;=0,"Complete",IF(H68&gt;0,"Chase vendor",IF(D68-$C$4&lt;=7,"Due soon","Open"))))</f>
      </c>
    </row>
    <row r="69" spans="1:11" x14ac:dyDescent="0.25">
      <c r="A69" s="7"/>
      <c r="B69" s="7"/>
      <c r="C69" s="29"/>
      <c r="D69" s="29"/>
      <c r="E69" s="20"/>
      <c r="F69" s="20"/>
      <c r="G69" s="21">
        <f>IF(E69="","",E69-N(F69))</f>
      </c>
      <c r="H69" s="30">
        <f>IF(OR(D69="",G69=""),"",IF(G69&lt;=0,0,MAX(0,$C$4-D69)))</f>
      </c>
      <c r="I69" s="31">
        <f>IF(H69="","",IF(G69&lt;=0,"Received",IF(H69=0,"On schedule",IF(H69&lt;=30,"1-30 days",IF(H69&lt;=60,"31-60 days",IF(H69&lt;=90,"61-90 days","90+ days"))))))</f>
      </c>
      <c r="J69" s="32"/>
      <c r="K69" s="31">
        <f>IF(A69="","",IF(G69&lt;=0,"Complete",IF(H69&gt;0,"Chase vendor",IF(D69-$C$4&lt;=7,"Due soon","Open"))))</f>
      </c>
    </row>
    <row r="70" spans="1:11" x14ac:dyDescent="0.25">
      <c r="A70" s="7"/>
      <c r="B70" s="7"/>
      <c r="C70" s="29"/>
      <c r="D70" s="29"/>
      <c r="E70" s="20"/>
      <c r="F70" s="20"/>
      <c r="G70" s="22">
        <f>IF(E70="","",E70-N(F70))</f>
      </c>
      <c r="H70" s="33">
        <f>IF(OR(D70="",G70=""),"",IF(G70&lt;=0,0,MAX(0,$C$4-D70)))</f>
      </c>
      <c r="I70" s="34">
        <f>IF(H70="","",IF(G70&lt;=0,"Received",IF(H70=0,"On schedule",IF(H70&lt;=30,"1-30 days",IF(H70&lt;=60,"31-60 days",IF(H70&lt;=90,"61-90 days","90+ days"))))))</f>
      </c>
      <c r="J70" s="35"/>
      <c r="K70" s="34">
        <f>IF(A70="","",IF(G70&lt;=0,"Complete",IF(H70&gt;0,"Chase vendor",IF(D70-$C$4&lt;=7,"Due soon","Open"))))</f>
      </c>
    </row>
    <row r="71" spans="1:11" x14ac:dyDescent="0.25">
      <c r="A71" s="7"/>
      <c r="B71" s="7"/>
      <c r="C71" s="29"/>
      <c r="D71" s="29"/>
      <c r="E71" s="20"/>
      <c r="F71" s="20"/>
      <c r="G71" s="21">
        <f>IF(E71="","",E71-N(F71))</f>
      </c>
      <c r="H71" s="30">
        <f>IF(OR(D71="",G71=""),"",IF(G71&lt;=0,0,MAX(0,$C$4-D71)))</f>
      </c>
      <c r="I71" s="31">
        <f>IF(H71="","",IF(G71&lt;=0,"Received",IF(H71=0,"On schedule",IF(H71&lt;=30,"1-30 days",IF(H71&lt;=60,"31-60 days",IF(H71&lt;=90,"61-90 days","90+ days"))))))</f>
      </c>
      <c r="J71" s="32"/>
      <c r="K71" s="31">
        <f>IF(A71="","",IF(G71&lt;=0,"Complete",IF(H71&gt;0,"Chase vendor",IF(D71-$C$4&lt;=7,"Due soon","Open"))))</f>
      </c>
    </row>
    <row r="72" spans="1:11" x14ac:dyDescent="0.25">
      <c r="A72" s="7"/>
      <c r="B72" s="7"/>
      <c r="C72" s="29"/>
      <c r="D72" s="29"/>
      <c r="E72" s="20"/>
      <c r="F72" s="20"/>
      <c r="G72" s="22">
        <f>IF(E72="","",E72-N(F72))</f>
      </c>
      <c r="H72" s="33">
        <f>IF(OR(D72="",G72=""),"",IF(G72&lt;=0,0,MAX(0,$C$4-D72)))</f>
      </c>
      <c r="I72" s="34">
        <f>IF(H72="","",IF(G72&lt;=0,"Received",IF(H72=0,"On schedule",IF(H72&lt;=30,"1-30 days",IF(H72&lt;=60,"31-60 days",IF(H72&lt;=90,"61-90 days","90+ days"))))))</f>
      </c>
      <c r="J72" s="35"/>
      <c r="K72" s="34">
        <f>IF(A72="","",IF(G72&lt;=0,"Complete",IF(H72&gt;0,"Chase vendor",IF(D72-$C$4&lt;=7,"Due soon","Open"))))</f>
      </c>
    </row>
    <row r="73" spans="1:11" x14ac:dyDescent="0.25">
      <c r="A73" s="7"/>
      <c r="B73" s="7"/>
      <c r="C73" s="29"/>
      <c r="D73" s="29"/>
      <c r="E73" s="20"/>
      <c r="F73" s="20"/>
      <c r="G73" s="21">
        <f>IF(E73="","",E73-N(F73))</f>
      </c>
      <c r="H73" s="30">
        <f>IF(OR(D73="",G73=""),"",IF(G73&lt;=0,0,MAX(0,$C$4-D73)))</f>
      </c>
      <c r="I73" s="31">
        <f>IF(H73="","",IF(G73&lt;=0,"Received",IF(H73=0,"On schedule",IF(H73&lt;=30,"1-30 days",IF(H73&lt;=60,"31-60 days",IF(H73&lt;=90,"61-90 days","90+ days"))))))</f>
      </c>
      <c r="J73" s="32"/>
      <c r="K73" s="31">
        <f>IF(A73="","",IF(G73&lt;=0,"Complete",IF(H73&gt;0,"Chase vendor",IF(D73-$C$4&lt;=7,"Due soon","Open"))))</f>
      </c>
    </row>
    <row r="74" spans="1:11" x14ac:dyDescent="0.25">
      <c r="A74" s="7"/>
      <c r="B74" s="7"/>
      <c r="C74" s="29"/>
      <c r="D74" s="29"/>
      <c r="E74" s="20"/>
      <c r="F74" s="20"/>
      <c r="G74" s="22">
        <f>IF(E74="","",E74-N(F74))</f>
      </c>
      <c r="H74" s="33">
        <f>IF(OR(D74="",G74=""),"",IF(G74&lt;=0,0,MAX(0,$C$4-D74)))</f>
      </c>
      <c r="I74" s="34">
        <f>IF(H74="","",IF(G74&lt;=0,"Received",IF(H74=0,"On schedule",IF(H74&lt;=30,"1-30 days",IF(H74&lt;=60,"31-60 days",IF(H74&lt;=90,"61-90 days","90+ days"))))))</f>
      </c>
      <c r="J74" s="35"/>
      <c r="K74" s="34">
        <f>IF(A74="","",IF(G74&lt;=0,"Complete",IF(H74&gt;0,"Chase vendor",IF(D74-$C$4&lt;=7,"Due soon","Open"))))</f>
      </c>
    </row>
    <row r="75" spans="1:11" x14ac:dyDescent="0.25">
      <c r="A75" s="7"/>
      <c r="B75" s="7"/>
      <c r="C75" s="29"/>
      <c r="D75" s="29"/>
      <c r="E75" s="20"/>
      <c r="F75" s="20"/>
      <c r="G75" s="21">
        <f>IF(E75="","",E75-N(F75))</f>
      </c>
      <c r="H75" s="30">
        <f>IF(OR(D75="",G75=""),"",IF(G75&lt;=0,0,MAX(0,$C$4-D75)))</f>
      </c>
      <c r="I75" s="31">
        <f>IF(H75="","",IF(G75&lt;=0,"Received",IF(H75=0,"On schedule",IF(H75&lt;=30,"1-30 days",IF(H75&lt;=60,"31-60 days",IF(H75&lt;=90,"61-90 days","90+ days"))))))</f>
      </c>
      <c r="J75" s="32"/>
      <c r="K75" s="31">
        <f>IF(A75="","",IF(G75&lt;=0,"Complete",IF(H75&gt;0,"Chase vendor",IF(D75-$C$4&lt;=7,"Due soon","Open"))))</f>
      </c>
    </row>
    <row r="76" spans="1:11" x14ac:dyDescent="0.25">
      <c r="A76" s="7"/>
      <c r="B76" s="7"/>
      <c r="C76" s="29"/>
      <c r="D76" s="29"/>
      <c r="E76" s="20"/>
      <c r="F76" s="20"/>
      <c r="G76" s="22">
        <f>IF(E76="","",E76-N(F76))</f>
      </c>
      <c r="H76" s="33">
        <f>IF(OR(D76="",G76=""),"",IF(G76&lt;=0,0,MAX(0,$C$4-D76)))</f>
      </c>
      <c r="I76" s="34">
        <f>IF(H76="","",IF(G76&lt;=0,"Received",IF(H76=0,"On schedule",IF(H76&lt;=30,"1-30 days",IF(H76&lt;=60,"31-60 days",IF(H76&lt;=90,"61-90 days","90+ days"))))))</f>
      </c>
      <c r="J76" s="35"/>
      <c r="K76" s="34">
        <f>IF(A76="","",IF(G76&lt;=0,"Complete",IF(H76&gt;0,"Chase vendor",IF(D76-$C$4&lt;=7,"Due soon","Open"))))</f>
      </c>
    </row>
    <row r="77" spans="1:11" x14ac:dyDescent="0.25">
      <c r="A77" s="7"/>
      <c r="B77" s="7"/>
      <c r="C77" s="29"/>
      <c r="D77" s="29"/>
      <c r="E77" s="20"/>
      <c r="F77" s="20"/>
      <c r="G77" s="21">
        <f>IF(E77="","",E77-N(F77))</f>
      </c>
      <c r="H77" s="30">
        <f>IF(OR(D77="",G77=""),"",IF(G77&lt;=0,0,MAX(0,$C$4-D77)))</f>
      </c>
      <c r="I77" s="31">
        <f>IF(H77="","",IF(G77&lt;=0,"Received",IF(H77=0,"On schedule",IF(H77&lt;=30,"1-30 days",IF(H77&lt;=60,"31-60 days",IF(H77&lt;=90,"61-90 days","90+ days"))))))</f>
      </c>
      <c r="J77" s="32"/>
      <c r="K77" s="31">
        <f>IF(A77="","",IF(G77&lt;=0,"Complete",IF(H77&gt;0,"Chase vendor",IF(D77-$C$4&lt;=7,"Due soon","Open"))))</f>
      </c>
    </row>
    <row r="78" spans="1:11" x14ac:dyDescent="0.25">
      <c r="A78" s="7"/>
      <c r="B78" s="7"/>
      <c r="C78" s="29"/>
      <c r="D78" s="29"/>
      <c r="E78" s="20"/>
      <c r="F78" s="20"/>
      <c r="G78" s="22">
        <f>IF(E78="","",E78-N(F78))</f>
      </c>
      <c r="H78" s="33">
        <f>IF(OR(D78="",G78=""),"",IF(G78&lt;=0,0,MAX(0,$C$4-D78)))</f>
      </c>
      <c r="I78" s="34">
        <f>IF(H78="","",IF(G78&lt;=0,"Received",IF(H78=0,"On schedule",IF(H78&lt;=30,"1-30 days",IF(H78&lt;=60,"31-60 days",IF(H78&lt;=90,"61-90 days","90+ days"))))))</f>
      </c>
      <c r="J78" s="35"/>
      <c r="K78" s="34">
        <f>IF(A78="","",IF(G78&lt;=0,"Complete",IF(H78&gt;0,"Chase vendor",IF(D78-$C$4&lt;=7,"Due soon","Open"))))</f>
      </c>
    </row>
    <row r="79" spans="1:11" x14ac:dyDescent="0.25">
      <c r="A79" s="7"/>
      <c r="B79" s="7"/>
      <c r="C79" s="29"/>
      <c r="D79" s="29"/>
      <c r="E79" s="20"/>
      <c r="F79" s="20"/>
      <c r="G79" s="21">
        <f>IF(E79="","",E79-N(F79))</f>
      </c>
      <c r="H79" s="30">
        <f>IF(OR(D79="",G79=""),"",IF(G79&lt;=0,0,MAX(0,$C$4-D79)))</f>
      </c>
      <c r="I79" s="31">
        <f>IF(H79="","",IF(G79&lt;=0,"Received",IF(H79=0,"On schedule",IF(H79&lt;=30,"1-30 days",IF(H79&lt;=60,"31-60 days",IF(H79&lt;=90,"61-90 days","90+ days"))))))</f>
      </c>
      <c r="J79" s="32"/>
      <c r="K79" s="31">
        <f>IF(A79="","",IF(G79&lt;=0,"Complete",IF(H79&gt;0,"Chase vendor",IF(D79-$C$4&lt;=7,"Due soon","Open"))))</f>
      </c>
    </row>
    <row r="80" spans="1:11" x14ac:dyDescent="0.25">
      <c r="A80" s="7"/>
      <c r="B80" s="7"/>
      <c r="C80" s="29"/>
      <c r="D80" s="29"/>
      <c r="E80" s="20"/>
      <c r="F80" s="20"/>
      <c r="G80" s="22">
        <f>IF(E80="","",E80-N(F80))</f>
      </c>
      <c r="H80" s="33">
        <f>IF(OR(D80="",G80=""),"",IF(G80&lt;=0,0,MAX(0,$C$4-D80)))</f>
      </c>
      <c r="I80" s="34">
        <f>IF(H80="","",IF(G80&lt;=0,"Received",IF(H80=0,"On schedule",IF(H80&lt;=30,"1-30 days",IF(H80&lt;=60,"31-60 days",IF(H80&lt;=90,"61-90 days","90+ days"))))))</f>
      </c>
      <c r="J80" s="35"/>
      <c r="K80" s="34">
        <f>IF(A80="","",IF(G80&lt;=0,"Complete",IF(H80&gt;0,"Chase vendor",IF(D80-$C$4&lt;=7,"Due soon","Open"))))</f>
      </c>
    </row>
    <row r="81" spans="1:11" x14ac:dyDescent="0.25">
      <c r="A81" s="7"/>
      <c r="B81" s="7"/>
      <c r="C81" s="29"/>
      <c r="D81" s="29"/>
      <c r="E81" s="20"/>
      <c r="F81" s="20"/>
      <c r="G81" s="21">
        <f>IF(E81="","",E81-N(F81))</f>
      </c>
      <c r="H81" s="30">
        <f>IF(OR(D81="",G81=""),"",IF(G81&lt;=0,0,MAX(0,$C$4-D81)))</f>
      </c>
      <c r="I81" s="31">
        <f>IF(H81="","",IF(G81&lt;=0,"Received",IF(H81=0,"On schedule",IF(H81&lt;=30,"1-30 days",IF(H81&lt;=60,"31-60 days",IF(H81&lt;=90,"61-90 days","90+ days"))))))</f>
      </c>
      <c r="J81" s="32"/>
      <c r="K81" s="31">
        <f>IF(A81="","",IF(G81&lt;=0,"Complete",IF(H81&gt;0,"Chase vendor",IF(D81-$C$4&lt;=7,"Due soon","Open"))))</f>
      </c>
    </row>
    <row r="82" spans="1:11" x14ac:dyDescent="0.25">
      <c r="A82" s="7"/>
      <c r="B82" s="7"/>
      <c r="C82" s="29"/>
      <c r="D82" s="29"/>
      <c r="E82" s="20"/>
      <c r="F82" s="20"/>
      <c r="G82" s="22">
        <f>IF(E82="","",E82-N(F82))</f>
      </c>
      <c r="H82" s="33">
        <f>IF(OR(D82="",G82=""),"",IF(G82&lt;=0,0,MAX(0,$C$4-D82)))</f>
      </c>
      <c r="I82" s="34">
        <f>IF(H82="","",IF(G82&lt;=0,"Received",IF(H82=0,"On schedule",IF(H82&lt;=30,"1-30 days",IF(H82&lt;=60,"31-60 days",IF(H82&lt;=90,"61-90 days","90+ days"))))))</f>
      </c>
      <c r="J82" s="35"/>
      <c r="K82" s="34">
        <f>IF(A82="","",IF(G82&lt;=0,"Complete",IF(H82&gt;0,"Chase vendor",IF(D82-$C$4&lt;=7,"Due soon","Open"))))</f>
      </c>
    </row>
    <row r="83" spans="1:11" x14ac:dyDescent="0.25">
      <c r="A83" s="7"/>
      <c r="B83" s="7"/>
      <c r="C83" s="29"/>
      <c r="D83" s="29"/>
      <c r="E83" s="20"/>
      <c r="F83" s="20"/>
      <c r="G83" s="21">
        <f>IF(E83="","",E83-N(F83))</f>
      </c>
      <c r="H83" s="30">
        <f>IF(OR(D83="",G83=""),"",IF(G83&lt;=0,0,MAX(0,$C$4-D83)))</f>
      </c>
      <c r="I83" s="31">
        <f>IF(H83="","",IF(G83&lt;=0,"Received",IF(H83=0,"On schedule",IF(H83&lt;=30,"1-30 days",IF(H83&lt;=60,"31-60 days",IF(H83&lt;=90,"61-90 days","90+ days"))))))</f>
      </c>
      <c r="J83" s="32"/>
      <c r="K83" s="31">
        <f>IF(A83="","",IF(G83&lt;=0,"Complete",IF(H83&gt;0,"Chase vendor",IF(D83-$C$4&lt;=7,"Due soon","Open"))))</f>
      </c>
    </row>
    <row r="84" spans="1:11" x14ac:dyDescent="0.25">
      <c r="A84" s="7"/>
      <c r="B84" s="7"/>
      <c r="C84" s="29"/>
      <c r="D84" s="29"/>
      <c r="E84" s="20"/>
      <c r="F84" s="20"/>
      <c r="G84" s="22">
        <f>IF(E84="","",E84-N(F84))</f>
      </c>
      <c r="H84" s="33">
        <f>IF(OR(D84="",G84=""),"",IF(G84&lt;=0,0,MAX(0,$C$4-D84)))</f>
      </c>
      <c r="I84" s="34">
        <f>IF(H84="","",IF(G84&lt;=0,"Received",IF(H84=0,"On schedule",IF(H84&lt;=30,"1-30 days",IF(H84&lt;=60,"31-60 days",IF(H84&lt;=90,"61-90 days","90+ days"))))))</f>
      </c>
      <c r="J84" s="35"/>
      <c r="K84" s="34">
        <f>IF(A84="","",IF(G84&lt;=0,"Complete",IF(H84&gt;0,"Chase vendor",IF(D84-$C$4&lt;=7,"Due soon","Open"))))</f>
      </c>
    </row>
    <row r="85" spans="1:11" x14ac:dyDescent="0.25">
      <c r="A85" s="7"/>
      <c r="B85" s="7"/>
      <c r="C85" s="29"/>
      <c r="D85" s="29"/>
      <c r="E85" s="20"/>
      <c r="F85" s="20"/>
      <c r="G85" s="21">
        <f>IF(E85="","",E85-N(F85))</f>
      </c>
      <c r="H85" s="30">
        <f>IF(OR(D85="",G85=""),"",IF(G85&lt;=0,0,MAX(0,$C$4-D85)))</f>
      </c>
      <c r="I85" s="31">
        <f>IF(H85="","",IF(G85&lt;=0,"Received",IF(H85=0,"On schedule",IF(H85&lt;=30,"1-30 days",IF(H85&lt;=60,"31-60 days",IF(H85&lt;=90,"61-90 days","90+ days"))))))</f>
      </c>
      <c r="J85" s="32"/>
      <c r="K85" s="31">
        <f>IF(A85="","",IF(G85&lt;=0,"Complete",IF(H85&gt;0,"Chase vendor",IF(D85-$C$4&lt;=7,"Due soon","Open"))))</f>
      </c>
    </row>
    <row r="86" spans="1:11" x14ac:dyDescent="0.25">
      <c r="A86" s="7"/>
      <c r="B86" s="7"/>
      <c r="C86" s="29"/>
      <c r="D86" s="29"/>
      <c r="E86" s="20"/>
      <c r="F86" s="20"/>
      <c r="G86" s="22">
        <f>IF(E86="","",E86-N(F86))</f>
      </c>
      <c r="H86" s="33">
        <f>IF(OR(D86="",G86=""),"",IF(G86&lt;=0,0,MAX(0,$C$4-D86)))</f>
      </c>
      <c r="I86" s="34">
        <f>IF(H86="","",IF(G86&lt;=0,"Received",IF(H86=0,"On schedule",IF(H86&lt;=30,"1-30 days",IF(H86&lt;=60,"31-60 days",IF(H86&lt;=90,"61-90 days","90+ days"))))))</f>
      </c>
      <c r="J86" s="35"/>
      <c r="K86" s="34">
        <f>IF(A86="","",IF(G86&lt;=0,"Complete",IF(H86&gt;0,"Chase vendor",IF(D86-$C$4&lt;=7,"Due soon","Open"))))</f>
      </c>
    </row>
    <row r="87" spans="1:11" x14ac:dyDescent="0.25">
      <c r="A87" s="7"/>
      <c r="B87" s="7"/>
      <c r="C87" s="29"/>
      <c r="D87" s="29"/>
      <c r="E87" s="20"/>
      <c r="F87" s="20"/>
      <c r="G87" s="21">
        <f>IF(E87="","",E87-N(F87))</f>
      </c>
      <c r="H87" s="30">
        <f>IF(OR(D87="",G87=""),"",IF(G87&lt;=0,0,MAX(0,$C$4-D87)))</f>
      </c>
      <c r="I87" s="31">
        <f>IF(H87="","",IF(G87&lt;=0,"Received",IF(H87=0,"On schedule",IF(H87&lt;=30,"1-30 days",IF(H87&lt;=60,"31-60 days",IF(H87&lt;=90,"61-90 days","90+ days"))))))</f>
      </c>
      <c r="J87" s="32"/>
      <c r="K87" s="31">
        <f>IF(A87="","",IF(G87&lt;=0,"Complete",IF(H87&gt;0,"Chase vendor",IF(D87-$C$4&lt;=7,"Due soon","Open"))))</f>
      </c>
    </row>
    <row r="88" spans="1:11" x14ac:dyDescent="0.25">
      <c r="A88" s="7"/>
      <c r="B88" s="7"/>
      <c r="C88" s="29"/>
      <c r="D88" s="29"/>
      <c r="E88" s="20"/>
      <c r="F88" s="20"/>
      <c r="G88" s="22">
        <f>IF(E88="","",E88-N(F88))</f>
      </c>
      <c r="H88" s="33">
        <f>IF(OR(D88="",G88=""),"",IF(G88&lt;=0,0,MAX(0,$C$4-D88)))</f>
      </c>
      <c r="I88" s="34">
        <f>IF(H88="","",IF(G88&lt;=0,"Received",IF(H88=0,"On schedule",IF(H88&lt;=30,"1-30 days",IF(H88&lt;=60,"31-60 days",IF(H88&lt;=90,"61-90 days","90+ days"))))))</f>
      </c>
      <c r="J88" s="35"/>
      <c r="K88" s="34">
        <f>IF(A88="","",IF(G88&lt;=0,"Complete",IF(H88&gt;0,"Chase vendor",IF(D88-$C$4&lt;=7,"Due soon","Open"))))</f>
      </c>
    </row>
    <row r="89" spans="1:11" x14ac:dyDescent="0.25">
      <c r="A89" s="7"/>
      <c r="B89" s="7"/>
      <c r="C89" s="29"/>
      <c r="D89" s="29"/>
      <c r="E89" s="20"/>
      <c r="F89" s="20"/>
      <c r="G89" s="21">
        <f>IF(E89="","",E89-N(F89))</f>
      </c>
      <c r="H89" s="30">
        <f>IF(OR(D89="",G89=""),"",IF(G89&lt;=0,0,MAX(0,$C$4-D89)))</f>
      </c>
      <c r="I89" s="31">
        <f>IF(H89="","",IF(G89&lt;=0,"Received",IF(H89=0,"On schedule",IF(H89&lt;=30,"1-30 days",IF(H89&lt;=60,"31-60 days",IF(H89&lt;=90,"61-90 days","90+ days"))))))</f>
      </c>
      <c r="J89" s="32"/>
      <c r="K89" s="31">
        <f>IF(A89="","",IF(G89&lt;=0,"Complete",IF(H89&gt;0,"Chase vendor",IF(D89-$C$4&lt;=7,"Due soon","Open"))))</f>
      </c>
    </row>
    <row r="90" spans="1:11" x14ac:dyDescent="0.25">
      <c r="A90" s="7"/>
      <c r="B90" s="7"/>
      <c r="C90" s="29"/>
      <c r="D90" s="29"/>
      <c r="E90" s="20"/>
      <c r="F90" s="20"/>
      <c r="G90" s="22">
        <f>IF(E90="","",E90-N(F90))</f>
      </c>
      <c r="H90" s="33">
        <f>IF(OR(D90="",G90=""),"",IF(G90&lt;=0,0,MAX(0,$C$4-D90)))</f>
      </c>
      <c r="I90" s="34">
        <f>IF(H90="","",IF(G90&lt;=0,"Received",IF(H90=0,"On schedule",IF(H90&lt;=30,"1-30 days",IF(H90&lt;=60,"31-60 days",IF(H90&lt;=90,"61-90 days","90+ days"))))))</f>
      </c>
      <c r="J90" s="35"/>
      <c r="K90" s="34">
        <f>IF(A90="","",IF(G90&lt;=0,"Complete",IF(H90&gt;0,"Chase vendor",IF(D90-$C$4&lt;=7,"Due soon","Open"))))</f>
      </c>
    </row>
    <row r="91" spans="1:11" x14ac:dyDescent="0.25">
      <c r="A91" s="7"/>
      <c r="B91" s="7"/>
      <c r="C91" s="29"/>
      <c r="D91" s="29"/>
      <c r="E91" s="20"/>
      <c r="F91" s="20"/>
      <c r="G91" s="21">
        <f>IF(E91="","",E91-N(F91))</f>
      </c>
      <c r="H91" s="30">
        <f>IF(OR(D91="",G91=""),"",IF(G91&lt;=0,0,MAX(0,$C$4-D91)))</f>
      </c>
      <c r="I91" s="31">
        <f>IF(H91="","",IF(G91&lt;=0,"Received",IF(H91=0,"On schedule",IF(H91&lt;=30,"1-30 days",IF(H91&lt;=60,"31-60 days",IF(H91&lt;=90,"61-90 days","90+ days"))))))</f>
      </c>
      <c r="J91" s="32"/>
      <c r="K91" s="31">
        <f>IF(A91="","",IF(G91&lt;=0,"Complete",IF(H91&gt;0,"Chase vendor",IF(D91-$C$4&lt;=7,"Due soon","Open"))))</f>
      </c>
    </row>
    <row r="92" spans="1:11" x14ac:dyDescent="0.25">
      <c r="A92" s="7"/>
      <c r="B92" s="7"/>
      <c r="C92" s="29"/>
      <c r="D92" s="29"/>
      <c r="E92" s="20"/>
      <c r="F92" s="20"/>
      <c r="G92" s="22">
        <f>IF(E92="","",E92-N(F92))</f>
      </c>
      <c r="H92" s="33">
        <f>IF(OR(D92="",G92=""),"",IF(G92&lt;=0,0,MAX(0,$C$4-D92)))</f>
      </c>
      <c r="I92" s="34">
        <f>IF(H92="","",IF(G92&lt;=0,"Received",IF(H92=0,"On schedule",IF(H92&lt;=30,"1-30 days",IF(H92&lt;=60,"31-60 days",IF(H92&lt;=90,"61-90 days","90+ days"))))))</f>
      </c>
      <c r="J92" s="35"/>
      <c r="K92" s="34">
        <f>IF(A92="","",IF(G92&lt;=0,"Complete",IF(H92&gt;0,"Chase vendor",IF(D92-$C$4&lt;=7,"Due soon","Open"))))</f>
      </c>
    </row>
    <row r="93" spans="1:11" x14ac:dyDescent="0.25">
      <c r="A93" s="7"/>
      <c r="B93" s="7"/>
      <c r="C93" s="29"/>
      <c r="D93" s="29"/>
      <c r="E93" s="20"/>
      <c r="F93" s="20"/>
      <c r="G93" s="21">
        <f>IF(E93="","",E93-N(F93))</f>
      </c>
      <c r="H93" s="30">
        <f>IF(OR(D93="",G93=""),"",IF(G93&lt;=0,0,MAX(0,$C$4-D93)))</f>
      </c>
      <c r="I93" s="31">
        <f>IF(H93="","",IF(G93&lt;=0,"Received",IF(H93=0,"On schedule",IF(H93&lt;=30,"1-30 days",IF(H93&lt;=60,"31-60 days",IF(H93&lt;=90,"61-90 days","90+ days"))))))</f>
      </c>
      <c r="J93" s="32"/>
      <c r="K93" s="31">
        <f>IF(A93="","",IF(G93&lt;=0,"Complete",IF(H93&gt;0,"Chase vendor",IF(D93-$C$4&lt;=7,"Due soon","Open"))))</f>
      </c>
    </row>
    <row r="94" spans="1:11" x14ac:dyDescent="0.25">
      <c r="A94" s="7"/>
      <c r="B94" s="7"/>
      <c r="C94" s="29"/>
      <c r="D94" s="29"/>
      <c r="E94" s="20"/>
      <c r="F94" s="20"/>
      <c r="G94" s="22">
        <f>IF(E94="","",E94-N(F94))</f>
      </c>
      <c r="H94" s="33">
        <f>IF(OR(D94="",G94=""),"",IF(G94&lt;=0,0,MAX(0,$C$4-D94)))</f>
      </c>
      <c r="I94" s="34">
        <f>IF(H94="","",IF(G94&lt;=0,"Received",IF(H94=0,"On schedule",IF(H94&lt;=30,"1-30 days",IF(H94&lt;=60,"31-60 days",IF(H94&lt;=90,"61-90 days","90+ days"))))))</f>
      </c>
      <c r="J94" s="35"/>
      <c r="K94" s="34">
        <f>IF(A94="","",IF(G94&lt;=0,"Complete",IF(H94&gt;0,"Chase vendor",IF(D94-$C$4&lt;=7,"Due soon","Open"))))</f>
      </c>
    </row>
    <row r="95" spans="1:11" x14ac:dyDescent="0.25">
      <c r="A95" s="7"/>
      <c r="B95" s="7"/>
      <c r="C95" s="29"/>
      <c r="D95" s="29"/>
      <c r="E95" s="20"/>
      <c r="F95" s="20"/>
      <c r="G95" s="21">
        <f>IF(E95="","",E95-N(F95))</f>
      </c>
      <c r="H95" s="30">
        <f>IF(OR(D95="",G95=""),"",IF(G95&lt;=0,0,MAX(0,$C$4-D95)))</f>
      </c>
      <c r="I95" s="31">
        <f>IF(H95="","",IF(G95&lt;=0,"Received",IF(H95=0,"On schedule",IF(H95&lt;=30,"1-30 days",IF(H95&lt;=60,"31-60 days",IF(H95&lt;=90,"61-90 days","90+ days"))))))</f>
      </c>
      <c r="J95" s="32"/>
      <c r="K95" s="31">
        <f>IF(A95="","",IF(G95&lt;=0,"Complete",IF(H95&gt;0,"Chase vendor",IF(D95-$C$4&lt;=7,"Due soon","Open"))))</f>
      </c>
    </row>
    <row r="96" spans="1:11" x14ac:dyDescent="0.25">
      <c r="A96" s="7"/>
      <c r="B96" s="7"/>
      <c r="C96" s="29"/>
      <c r="D96" s="29"/>
      <c r="E96" s="20"/>
      <c r="F96" s="20"/>
      <c r="G96" s="22">
        <f>IF(E96="","",E96-N(F96))</f>
      </c>
      <c r="H96" s="33">
        <f>IF(OR(D96="",G96=""),"",IF(G96&lt;=0,0,MAX(0,$C$4-D96)))</f>
      </c>
      <c r="I96" s="34">
        <f>IF(H96="","",IF(G96&lt;=0,"Received",IF(H96=0,"On schedule",IF(H96&lt;=30,"1-30 days",IF(H96&lt;=60,"31-60 days",IF(H96&lt;=90,"61-90 days","90+ days"))))))</f>
      </c>
      <c r="J96" s="35"/>
      <c r="K96" s="34">
        <f>IF(A96="","",IF(G96&lt;=0,"Complete",IF(H96&gt;0,"Chase vendor",IF(D96-$C$4&lt;=7,"Due soon","Open"))))</f>
      </c>
    </row>
    <row r="97" spans="1:11" x14ac:dyDescent="0.25">
      <c r="A97" s="7"/>
      <c r="B97" s="7"/>
      <c r="C97" s="29"/>
      <c r="D97" s="29"/>
      <c r="E97" s="20"/>
      <c r="F97" s="20"/>
      <c r="G97" s="21">
        <f>IF(E97="","",E97-N(F97))</f>
      </c>
      <c r="H97" s="30">
        <f>IF(OR(D97="",G97=""),"",IF(G97&lt;=0,0,MAX(0,$C$4-D97)))</f>
      </c>
      <c r="I97" s="31">
        <f>IF(H97="","",IF(G97&lt;=0,"Received",IF(H97=0,"On schedule",IF(H97&lt;=30,"1-30 days",IF(H97&lt;=60,"31-60 days",IF(H97&lt;=90,"61-90 days","90+ days"))))))</f>
      </c>
      <c r="J97" s="32"/>
      <c r="K97" s="31">
        <f>IF(A97="","",IF(G97&lt;=0,"Complete",IF(H97&gt;0,"Chase vendor",IF(D97-$C$4&lt;=7,"Due soon","Open"))))</f>
      </c>
    </row>
    <row r="98" spans="1:11" x14ac:dyDescent="0.25">
      <c r="A98" s="7"/>
      <c r="B98" s="7"/>
      <c r="C98" s="29"/>
      <c r="D98" s="29"/>
      <c r="E98" s="20"/>
      <c r="F98" s="20"/>
      <c r="G98" s="22">
        <f>IF(E98="","",E98-N(F98))</f>
      </c>
      <c r="H98" s="33">
        <f>IF(OR(D98="",G98=""),"",IF(G98&lt;=0,0,MAX(0,$C$4-D98)))</f>
      </c>
      <c r="I98" s="34">
        <f>IF(H98="","",IF(G98&lt;=0,"Received",IF(H98=0,"On schedule",IF(H98&lt;=30,"1-30 days",IF(H98&lt;=60,"31-60 days",IF(H98&lt;=90,"61-90 days","90+ days"))))))</f>
      </c>
      <c r="J98" s="35"/>
      <c r="K98" s="34">
        <f>IF(A98="","",IF(G98&lt;=0,"Complete",IF(H98&gt;0,"Chase vendor",IF(D98-$C$4&lt;=7,"Due soon","Open"))))</f>
      </c>
    </row>
    <row r="99" spans="1:11" x14ac:dyDescent="0.25">
      <c r="A99" s="7"/>
      <c r="B99" s="7"/>
      <c r="C99" s="29"/>
      <c r="D99" s="29"/>
      <c r="E99" s="20"/>
      <c r="F99" s="20"/>
      <c r="G99" s="21">
        <f>IF(E99="","",E99-N(F99))</f>
      </c>
      <c r="H99" s="30">
        <f>IF(OR(D99="",G99=""),"",IF(G99&lt;=0,0,MAX(0,$C$4-D99)))</f>
      </c>
      <c r="I99" s="31">
        <f>IF(H99="","",IF(G99&lt;=0,"Received",IF(H99=0,"On schedule",IF(H99&lt;=30,"1-30 days",IF(H99&lt;=60,"31-60 days",IF(H99&lt;=90,"61-90 days","90+ days"))))))</f>
      </c>
      <c r="J99" s="32"/>
      <c r="K99" s="31">
        <f>IF(A99="","",IF(G99&lt;=0,"Complete",IF(H99&gt;0,"Chase vendor",IF(D99-$C$4&lt;=7,"Due soon","Open"))))</f>
      </c>
    </row>
    <row r="100" spans="1:11" x14ac:dyDescent="0.25">
      <c r="A100" s="7"/>
      <c r="B100" s="7"/>
      <c r="C100" s="29"/>
      <c r="D100" s="29"/>
      <c r="E100" s="20"/>
      <c r="F100" s="20"/>
      <c r="G100" s="22">
        <f>IF(E100="","",E100-N(F100))</f>
      </c>
      <c r="H100" s="33">
        <f>IF(OR(D100="",G100=""),"",IF(G100&lt;=0,0,MAX(0,$C$4-D100)))</f>
      </c>
      <c r="I100" s="34">
        <f>IF(H100="","",IF(G100&lt;=0,"Received",IF(H100=0,"On schedule",IF(H100&lt;=30,"1-30 days",IF(H100&lt;=60,"31-60 days",IF(H100&lt;=90,"61-90 days","90+ days"))))))</f>
      </c>
      <c r="J100" s="35"/>
      <c r="K100" s="34">
        <f>IF(A100="","",IF(G100&lt;=0,"Complete",IF(H100&gt;0,"Chase vendor",IF(D100-$C$4&lt;=7,"Due soon","Open"))))</f>
      </c>
    </row>
    <row r="101" spans="1:11" x14ac:dyDescent="0.25">
      <c r="A101" s="7"/>
      <c r="B101" s="7"/>
      <c r="C101" s="29"/>
      <c r="D101" s="29"/>
      <c r="E101" s="20"/>
      <c r="F101" s="20"/>
      <c r="G101" s="21">
        <f>IF(E101="","",E101-N(F101))</f>
      </c>
      <c r="H101" s="30">
        <f>IF(OR(D101="",G101=""),"",IF(G101&lt;=0,0,MAX(0,$C$4-D101)))</f>
      </c>
      <c r="I101" s="31">
        <f>IF(H101="","",IF(G101&lt;=0,"Received",IF(H101=0,"On schedule",IF(H101&lt;=30,"1-30 days",IF(H101&lt;=60,"31-60 days",IF(H101&lt;=90,"61-90 days","90+ days"))))))</f>
      </c>
      <c r="J101" s="32"/>
      <c r="K101" s="31">
        <f>IF(A101="","",IF(G101&lt;=0,"Complete",IF(H101&gt;0,"Chase vendor",IF(D101-$C$4&lt;=7,"Due soon","Open"))))</f>
      </c>
    </row>
    <row r="102" spans="1:11" x14ac:dyDescent="0.25">
      <c r="A102" s="7"/>
      <c r="B102" s="7"/>
      <c r="C102" s="29"/>
      <c r="D102" s="29"/>
      <c r="E102" s="20"/>
      <c r="F102" s="20"/>
      <c r="G102" s="22">
        <f>IF(E102="","",E102-N(F102))</f>
      </c>
      <c r="H102" s="33">
        <f>IF(OR(D102="",G102=""),"",IF(G102&lt;=0,0,MAX(0,$C$4-D102)))</f>
      </c>
      <c r="I102" s="34">
        <f>IF(H102="","",IF(G102&lt;=0,"Received",IF(H102=0,"On schedule",IF(H102&lt;=30,"1-30 days",IF(H102&lt;=60,"31-60 days",IF(H102&lt;=90,"61-90 days","90+ days"))))))</f>
      </c>
      <c r="J102" s="35"/>
      <c r="K102" s="34">
        <f>IF(A102="","",IF(G102&lt;=0,"Complete",IF(H102&gt;0,"Chase vendor",IF(D102-$C$4&lt;=7,"Due soon","Open"))))</f>
      </c>
    </row>
    <row r="103" spans="1:11" x14ac:dyDescent="0.25">
      <c r="A103" s="7"/>
      <c r="B103" s="7"/>
      <c r="C103" s="29"/>
      <c r="D103" s="29"/>
      <c r="E103" s="20"/>
      <c r="F103" s="20"/>
      <c r="G103" s="21">
        <f>IF(E103="","",E103-N(F103))</f>
      </c>
      <c r="H103" s="30">
        <f>IF(OR(D103="",G103=""),"",IF(G103&lt;=0,0,MAX(0,$C$4-D103)))</f>
      </c>
      <c r="I103" s="31">
        <f>IF(H103="","",IF(G103&lt;=0,"Received",IF(H103=0,"On schedule",IF(H103&lt;=30,"1-30 days",IF(H103&lt;=60,"31-60 days",IF(H103&lt;=90,"61-90 days","90+ days"))))))</f>
      </c>
      <c r="J103" s="32"/>
      <c r="K103" s="31">
        <f>IF(A103="","",IF(G103&lt;=0,"Complete",IF(H103&gt;0,"Chase vendor",IF(D103-$C$4&lt;=7,"Due soon","Open"))))</f>
      </c>
    </row>
    <row r="104" spans="1:11" x14ac:dyDescent="0.25">
      <c r="A104" s="7"/>
      <c r="B104" s="7"/>
      <c r="C104" s="29"/>
      <c r="D104" s="29"/>
      <c r="E104" s="20"/>
      <c r="F104" s="20"/>
      <c r="G104" s="22">
        <f>IF(E104="","",E104-N(F104))</f>
      </c>
      <c r="H104" s="33">
        <f>IF(OR(D104="",G104=""),"",IF(G104&lt;=0,0,MAX(0,$C$4-D104)))</f>
      </c>
      <c r="I104" s="34">
        <f>IF(H104="","",IF(G104&lt;=0,"Received",IF(H104=0,"On schedule",IF(H104&lt;=30,"1-30 days",IF(H104&lt;=60,"31-60 days",IF(H104&lt;=90,"61-90 days","90+ days"))))))</f>
      </c>
      <c r="J104" s="35"/>
      <c r="K104" s="34">
        <f>IF(A104="","",IF(G104&lt;=0,"Complete",IF(H104&gt;0,"Chase vendor",IF(D104-$C$4&lt;=7,"Due soon","Open"))))</f>
      </c>
    </row>
    <row r="105" spans="1:11" x14ac:dyDescent="0.25">
      <c r="A105" s="7"/>
      <c r="B105" s="7"/>
      <c r="C105" s="29"/>
      <c r="D105" s="29"/>
      <c r="E105" s="20"/>
      <c r="F105" s="20"/>
      <c r="G105" s="21">
        <f>IF(E105="","",E105-N(F105))</f>
      </c>
      <c r="H105" s="30">
        <f>IF(OR(D105="",G105=""),"",IF(G105&lt;=0,0,MAX(0,$C$4-D105)))</f>
      </c>
      <c r="I105" s="31">
        <f>IF(H105="","",IF(G105&lt;=0,"Received",IF(H105=0,"On schedule",IF(H105&lt;=30,"1-30 days",IF(H105&lt;=60,"31-60 days",IF(H105&lt;=90,"61-90 days","90+ days"))))))</f>
      </c>
      <c r="J105" s="32"/>
      <c r="K105" s="31">
        <f>IF(A105="","",IF(G105&lt;=0,"Complete",IF(H105&gt;0,"Chase vendor",IF(D105-$C$4&lt;=7,"Due soon","Open"))))</f>
      </c>
    </row>
    <row r="106" spans="1:11" x14ac:dyDescent="0.25">
      <c r="A106" s="7"/>
      <c r="B106" s="7"/>
      <c r="C106" s="29"/>
      <c r="D106" s="29"/>
      <c r="E106" s="20"/>
      <c r="F106" s="20"/>
      <c r="G106" s="22">
        <f>IF(E106="","",E106-N(F106))</f>
      </c>
      <c r="H106" s="33">
        <f>IF(OR(D106="",G106=""),"",IF(G106&lt;=0,0,MAX(0,$C$4-D106)))</f>
      </c>
      <c r="I106" s="34">
        <f>IF(H106="","",IF(G106&lt;=0,"Received",IF(H106=0,"On schedule",IF(H106&lt;=30,"1-30 days",IF(H106&lt;=60,"31-60 days",IF(H106&lt;=90,"61-90 days","90+ days"))))))</f>
      </c>
      <c r="J106" s="35"/>
      <c r="K106" s="34">
        <f>IF(A106="","",IF(G106&lt;=0,"Complete",IF(H106&gt;0,"Chase vendor",IF(D106-$C$4&lt;=7,"Due soon","Open"))))</f>
      </c>
    </row>
    <row r="107" spans="1:11" x14ac:dyDescent="0.25">
      <c r="A107" s="7"/>
      <c r="B107" s="7"/>
      <c r="C107" s="29"/>
      <c r="D107" s="29"/>
      <c r="E107" s="20"/>
      <c r="F107" s="20"/>
      <c r="G107" s="21">
        <f>IF(E107="","",E107-N(F107))</f>
      </c>
      <c r="H107" s="30">
        <f>IF(OR(D107="",G107=""),"",IF(G107&lt;=0,0,MAX(0,$C$4-D107)))</f>
      </c>
      <c r="I107" s="31">
        <f>IF(H107="","",IF(G107&lt;=0,"Received",IF(H107=0,"On schedule",IF(H107&lt;=30,"1-30 days",IF(H107&lt;=60,"31-60 days",IF(H107&lt;=90,"61-90 days","90+ days"))))))</f>
      </c>
      <c r="J107" s="32"/>
      <c r="K107" s="31">
        <f>IF(A107="","",IF(G107&lt;=0,"Complete",IF(H107&gt;0,"Chase vendor",IF(D107-$C$4&lt;=7,"Due soon","Open"))))</f>
      </c>
    </row>
    <row r="108" spans="1:11" x14ac:dyDescent="0.25">
      <c r="A108" s="7"/>
      <c r="B108" s="7"/>
      <c r="C108" s="29"/>
      <c r="D108" s="29"/>
      <c r="E108" s="20"/>
      <c r="F108" s="20"/>
      <c r="G108" s="22">
        <f>IF(E108="","",E108-N(F108))</f>
      </c>
      <c r="H108" s="33">
        <f>IF(OR(D108="",G108=""),"",IF(G108&lt;=0,0,MAX(0,$C$4-D108)))</f>
      </c>
      <c r="I108" s="34">
        <f>IF(H108="","",IF(G108&lt;=0,"Received",IF(H108=0,"On schedule",IF(H108&lt;=30,"1-30 days",IF(H108&lt;=60,"31-60 days",IF(H108&lt;=90,"61-90 days","90+ days"))))))</f>
      </c>
      <c r="J108" s="35"/>
      <c r="K108" s="34">
        <f>IF(A108="","",IF(G108&lt;=0,"Complete",IF(H108&gt;0,"Chase vendor",IF(D108-$C$4&lt;=7,"Due soon","Open"))))</f>
      </c>
    </row>
    <row r="109" spans="1:11" x14ac:dyDescent="0.25">
      <c r="A109" s="7"/>
      <c r="B109" s="7"/>
      <c r="C109" s="29"/>
      <c r="D109" s="29"/>
      <c r="E109" s="20"/>
      <c r="F109" s="20"/>
      <c r="G109" s="21">
        <f>IF(E109="","",E109-N(F109))</f>
      </c>
      <c r="H109" s="30">
        <f>IF(OR(D109="",G109=""),"",IF(G109&lt;=0,0,MAX(0,$C$4-D109)))</f>
      </c>
      <c r="I109" s="31">
        <f>IF(H109="","",IF(G109&lt;=0,"Received",IF(H109=0,"On schedule",IF(H109&lt;=30,"1-30 days",IF(H109&lt;=60,"31-60 days",IF(H109&lt;=90,"61-90 days","90+ days"))))))</f>
      </c>
      <c r="J109" s="32"/>
      <c r="K109" s="31">
        <f>IF(A109="","",IF(G109&lt;=0,"Complete",IF(H109&gt;0,"Chase vendor",IF(D109-$C$4&lt;=7,"Due soon","Open"))))</f>
      </c>
    </row>
    <row r="110" spans="1:11" x14ac:dyDescent="0.25">
      <c r="A110" s="7"/>
      <c r="B110" s="7"/>
      <c r="C110" s="29"/>
      <c r="D110" s="29"/>
      <c r="E110" s="20"/>
      <c r="F110" s="20"/>
      <c r="G110" s="22">
        <f>IF(E110="","",E110-N(F110))</f>
      </c>
      <c r="H110" s="33">
        <f>IF(OR(D110="",G110=""),"",IF(G110&lt;=0,0,MAX(0,$C$4-D110)))</f>
      </c>
      <c r="I110" s="34">
        <f>IF(H110="","",IF(G110&lt;=0,"Received",IF(H110=0,"On schedule",IF(H110&lt;=30,"1-30 days",IF(H110&lt;=60,"31-60 days",IF(H110&lt;=90,"61-90 days","90+ days"))))))</f>
      </c>
      <c r="J110" s="35"/>
      <c r="K110" s="34">
        <f>IF(A110="","",IF(G110&lt;=0,"Complete",IF(H110&gt;0,"Chase vendor",IF(D110-$C$4&lt;=7,"Due soon","Open"))))</f>
      </c>
    </row>
    <row r="111" spans="1:11" x14ac:dyDescent="0.25">
      <c r="A111" s="7"/>
      <c r="B111" s="7"/>
      <c r="C111" s="29"/>
      <c r="D111" s="29"/>
      <c r="E111" s="20"/>
      <c r="F111" s="20"/>
      <c r="G111" s="21">
        <f>IF(E111="","",E111-N(F111))</f>
      </c>
      <c r="H111" s="30">
        <f>IF(OR(D111="",G111=""),"",IF(G111&lt;=0,0,MAX(0,$C$4-D111)))</f>
      </c>
      <c r="I111" s="31">
        <f>IF(H111="","",IF(G111&lt;=0,"Received",IF(H111=0,"On schedule",IF(H111&lt;=30,"1-30 days",IF(H111&lt;=60,"31-60 days",IF(H111&lt;=90,"61-90 days","90+ days"))))))</f>
      </c>
      <c r="J111" s="32"/>
      <c r="K111" s="31">
        <f>IF(A111="","",IF(G111&lt;=0,"Complete",IF(H111&gt;0,"Chase vendor",IF(D111-$C$4&lt;=7,"Due soon","Open"))))</f>
      </c>
    </row>
    <row r="112" spans="1:11" x14ac:dyDescent="0.25">
      <c r="A112" s="7"/>
      <c r="B112" s="7"/>
      <c r="C112" s="29"/>
      <c r="D112" s="29"/>
      <c r="E112" s="20"/>
      <c r="F112" s="20"/>
      <c r="G112" s="22">
        <f>IF(E112="","",E112-N(F112))</f>
      </c>
      <c r="H112" s="33">
        <f>IF(OR(D112="",G112=""),"",IF(G112&lt;=0,0,MAX(0,$C$4-D112)))</f>
      </c>
      <c r="I112" s="34">
        <f>IF(H112="","",IF(G112&lt;=0,"Received",IF(H112=0,"On schedule",IF(H112&lt;=30,"1-30 days",IF(H112&lt;=60,"31-60 days",IF(H112&lt;=90,"61-90 days","90+ days"))))))</f>
      </c>
      <c r="J112" s="35"/>
      <c r="K112" s="34">
        <f>IF(A112="","",IF(G112&lt;=0,"Complete",IF(H112&gt;0,"Chase vendor",IF(D112-$C$4&lt;=7,"Due soon","Open"))))</f>
      </c>
    </row>
    <row r="113" spans="1:11" x14ac:dyDescent="0.25">
      <c r="A113" s="7"/>
      <c r="B113" s="7"/>
      <c r="C113" s="29"/>
      <c r="D113" s="29"/>
      <c r="E113" s="20"/>
      <c r="F113" s="20"/>
      <c r="G113" s="21">
        <f>IF(E113="","",E113-N(F113))</f>
      </c>
      <c r="H113" s="30">
        <f>IF(OR(D113="",G113=""),"",IF(G113&lt;=0,0,MAX(0,$C$4-D113)))</f>
      </c>
      <c r="I113" s="31">
        <f>IF(H113="","",IF(G113&lt;=0,"Received",IF(H113=0,"On schedule",IF(H113&lt;=30,"1-30 days",IF(H113&lt;=60,"31-60 days",IF(H113&lt;=90,"61-90 days","90+ days"))))))</f>
      </c>
      <c r="J113" s="32"/>
      <c r="K113" s="31">
        <f>IF(A113="","",IF(G113&lt;=0,"Complete",IF(H113&gt;0,"Chase vendor",IF(D113-$C$4&lt;=7,"Due soon","Open"))))</f>
      </c>
    </row>
    <row r="114" spans="1:11" x14ac:dyDescent="0.25">
      <c r="A114" s="7"/>
      <c r="B114" s="7"/>
      <c r="C114" s="29"/>
      <c r="D114" s="29"/>
      <c r="E114" s="20"/>
      <c r="F114" s="20"/>
      <c r="G114" s="22">
        <f>IF(E114="","",E114-N(F114))</f>
      </c>
      <c r="H114" s="33">
        <f>IF(OR(D114="",G114=""),"",IF(G114&lt;=0,0,MAX(0,$C$4-D114)))</f>
      </c>
      <c r="I114" s="34">
        <f>IF(H114="","",IF(G114&lt;=0,"Received",IF(H114=0,"On schedule",IF(H114&lt;=30,"1-30 days",IF(H114&lt;=60,"31-60 days",IF(H114&lt;=90,"61-90 days","90+ days"))))))</f>
      </c>
      <c r="J114" s="35"/>
      <c r="K114" s="34">
        <f>IF(A114="","",IF(G114&lt;=0,"Complete",IF(H114&gt;0,"Chase vendor",IF(D114-$C$4&lt;=7,"Due soon","Open"))))</f>
      </c>
    </row>
    <row r="115" spans="1:11" x14ac:dyDescent="0.25">
      <c r="A115" s="7"/>
      <c r="B115" s="7"/>
      <c r="C115" s="29"/>
      <c r="D115" s="29"/>
      <c r="E115" s="20"/>
      <c r="F115" s="20"/>
      <c r="G115" s="21">
        <f>IF(E115="","",E115-N(F115))</f>
      </c>
      <c r="H115" s="30">
        <f>IF(OR(D115="",G115=""),"",IF(G115&lt;=0,0,MAX(0,$C$4-D115)))</f>
      </c>
      <c r="I115" s="31">
        <f>IF(H115="","",IF(G115&lt;=0,"Received",IF(H115=0,"On schedule",IF(H115&lt;=30,"1-30 days",IF(H115&lt;=60,"31-60 days",IF(H115&lt;=90,"61-90 days","90+ days"))))))</f>
      </c>
      <c r="J115" s="32"/>
      <c r="K115" s="31">
        <f>IF(A115="","",IF(G115&lt;=0,"Complete",IF(H115&gt;0,"Chase vendor",IF(D115-$C$4&lt;=7,"Due soon","Open"))))</f>
      </c>
    </row>
    <row r="116" spans="1:11" x14ac:dyDescent="0.25">
      <c r="A116" s="7"/>
      <c r="B116" s="7"/>
      <c r="C116" s="29"/>
      <c r="D116" s="29"/>
      <c r="E116" s="20"/>
      <c r="F116" s="20"/>
      <c r="G116" s="22">
        <f>IF(E116="","",E116-N(F116))</f>
      </c>
      <c r="H116" s="33">
        <f>IF(OR(D116="",G116=""),"",IF(G116&lt;=0,0,MAX(0,$C$4-D116)))</f>
      </c>
      <c r="I116" s="34">
        <f>IF(H116="","",IF(G116&lt;=0,"Received",IF(H116=0,"On schedule",IF(H116&lt;=30,"1-30 days",IF(H116&lt;=60,"31-60 days",IF(H116&lt;=90,"61-90 days","90+ days"))))))</f>
      </c>
      <c r="J116" s="35"/>
      <c r="K116" s="34">
        <f>IF(A116="","",IF(G116&lt;=0,"Complete",IF(H116&gt;0,"Chase vendor",IF(D116-$C$4&lt;=7,"Due soon","Open"))))</f>
      </c>
    </row>
    <row r="117" spans="1:11" x14ac:dyDescent="0.25">
      <c r="A117" s="7"/>
      <c r="B117" s="7"/>
      <c r="C117" s="29"/>
      <c r="D117" s="29"/>
      <c r="E117" s="20"/>
      <c r="F117" s="20"/>
      <c r="G117" s="21">
        <f>IF(E117="","",E117-N(F117))</f>
      </c>
      <c r="H117" s="30">
        <f>IF(OR(D117="",G117=""),"",IF(G117&lt;=0,0,MAX(0,$C$4-D117)))</f>
      </c>
      <c r="I117" s="31">
        <f>IF(H117="","",IF(G117&lt;=0,"Received",IF(H117=0,"On schedule",IF(H117&lt;=30,"1-30 days",IF(H117&lt;=60,"31-60 days",IF(H117&lt;=90,"61-90 days","90+ days"))))))</f>
      </c>
      <c r="J117" s="32"/>
      <c r="K117" s="31">
        <f>IF(A117="","",IF(G117&lt;=0,"Complete",IF(H117&gt;0,"Chase vendor",IF(D117-$C$4&lt;=7,"Due soon","Open"))))</f>
      </c>
    </row>
    <row r="118" spans="1:11" x14ac:dyDescent="0.25">
      <c r="A118" s="7"/>
      <c r="B118" s="7"/>
      <c r="C118" s="29"/>
      <c r="D118" s="29"/>
      <c r="E118" s="20"/>
      <c r="F118" s="20"/>
      <c r="G118" s="22">
        <f>IF(E118="","",E118-N(F118))</f>
      </c>
      <c r="H118" s="33">
        <f>IF(OR(D118="",G118=""),"",IF(G118&lt;=0,0,MAX(0,$C$4-D118)))</f>
      </c>
      <c r="I118" s="34">
        <f>IF(H118="","",IF(G118&lt;=0,"Received",IF(H118=0,"On schedule",IF(H118&lt;=30,"1-30 days",IF(H118&lt;=60,"31-60 days",IF(H118&lt;=90,"61-90 days","90+ days"))))))</f>
      </c>
      <c r="J118" s="35"/>
      <c r="K118" s="34">
        <f>IF(A118="","",IF(G118&lt;=0,"Complete",IF(H118&gt;0,"Chase vendor",IF(D118-$C$4&lt;=7,"Due soon","Open"))))</f>
      </c>
    </row>
    <row r="119" spans="1:11" x14ac:dyDescent="0.25">
      <c r="A119" s="7"/>
      <c r="B119" s="7"/>
      <c r="C119" s="29"/>
      <c r="D119" s="29"/>
      <c r="E119" s="20"/>
      <c r="F119" s="20"/>
      <c r="G119" s="21">
        <f>IF(E119="","",E119-N(F119))</f>
      </c>
      <c r="H119" s="30">
        <f>IF(OR(D119="",G119=""),"",IF(G119&lt;=0,0,MAX(0,$C$4-D119)))</f>
      </c>
      <c r="I119" s="31">
        <f>IF(H119="","",IF(G119&lt;=0,"Received",IF(H119=0,"On schedule",IF(H119&lt;=30,"1-30 days",IF(H119&lt;=60,"31-60 days",IF(H119&lt;=90,"61-90 days","90+ days"))))))</f>
      </c>
      <c r="J119" s="32"/>
      <c r="K119" s="31">
        <f>IF(A119="","",IF(G119&lt;=0,"Complete",IF(H119&gt;0,"Chase vendor",IF(D119-$C$4&lt;=7,"Due soon","Open"))))</f>
      </c>
    </row>
    <row r="120" spans="1:11" x14ac:dyDescent="0.25">
      <c r="A120" s="7"/>
      <c r="B120" s="7"/>
      <c r="C120" s="29"/>
      <c r="D120" s="29"/>
      <c r="E120" s="20"/>
      <c r="F120" s="20"/>
      <c r="G120" s="22">
        <f>IF(E120="","",E120-N(F120))</f>
      </c>
      <c r="H120" s="33">
        <f>IF(OR(D120="",G120=""),"",IF(G120&lt;=0,0,MAX(0,$C$4-D120)))</f>
      </c>
      <c r="I120" s="34">
        <f>IF(H120="","",IF(G120&lt;=0,"Received",IF(H120=0,"On schedule",IF(H120&lt;=30,"1-30 days",IF(H120&lt;=60,"31-60 days",IF(H120&lt;=90,"61-90 days","90+ days"))))))</f>
      </c>
      <c r="J120" s="35"/>
      <c r="K120" s="34">
        <f>IF(A120="","",IF(G120&lt;=0,"Complete",IF(H120&gt;0,"Chase vendor",IF(D120-$C$4&lt;=7,"Due soon","Open"))))</f>
      </c>
    </row>
    <row r="121" spans="1:11" x14ac:dyDescent="0.25">
      <c r="A121" s="7"/>
      <c r="B121" s="7"/>
      <c r="C121" s="29"/>
      <c r="D121" s="29"/>
      <c r="E121" s="20"/>
      <c r="F121" s="20"/>
      <c r="G121" s="21">
        <f>IF(E121="","",E121-N(F121))</f>
      </c>
      <c r="H121" s="30">
        <f>IF(OR(D121="",G121=""),"",IF(G121&lt;=0,0,MAX(0,$C$4-D121)))</f>
      </c>
      <c r="I121" s="31">
        <f>IF(H121="","",IF(G121&lt;=0,"Received",IF(H121=0,"On schedule",IF(H121&lt;=30,"1-30 days",IF(H121&lt;=60,"31-60 days",IF(H121&lt;=90,"61-90 days","90+ days"))))))</f>
      </c>
      <c r="J121" s="32"/>
      <c r="K121" s="31">
        <f>IF(A121="","",IF(G121&lt;=0,"Complete",IF(H121&gt;0,"Chase vendor",IF(D121-$C$4&lt;=7,"Due soon","Open"))))</f>
      </c>
    </row>
    <row r="122" spans="1:11" x14ac:dyDescent="0.25">
      <c r="A122" s="7"/>
      <c r="B122" s="7"/>
      <c r="C122" s="29"/>
      <c r="D122" s="29"/>
      <c r="E122" s="20"/>
      <c r="F122" s="20"/>
      <c r="G122" s="22">
        <f>IF(E122="","",E122-N(F122))</f>
      </c>
      <c r="H122" s="33">
        <f>IF(OR(D122="",G122=""),"",IF(G122&lt;=0,0,MAX(0,$C$4-D122)))</f>
      </c>
      <c r="I122" s="34">
        <f>IF(H122="","",IF(G122&lt;=0,"Received",IF(H122=0,"On schedule",IF(H122&lt;=30,"1-30 days",IF(H122&lt;=60,"31-60 days",IF(H122&lt;=90,"61-90 days","90+ days"))))))</f>
      </c>
      <c r="J122" s="35"/>
      <c r="K122" s="34">
        <f>IF(A122="","",IF(G122&lt;=0,"Complete",IF(H122&gt;0,"Chase vendor",IF(D122-$C$4&lt;=7,"Due soon","Open"))))</f>
      </c>
    </row>
    <row r="123" spans="1:11" x14ac:dyDescent="0.25">
      <c r="A123" s="7"/>
      <c r="B123" s="7"/>
      <c r="C123" s="29"/>
      <c r="D123" s="29"/>
      <c r="E123" s="20"/>
      <c r="F123" s="20"/>
      <c r="G123" s="21">
        <f>IF(E123="","",E123-N(F123))</f>
      </c>
      <c r="H123" s="30">
        <f>IF(OR(D123="",G123=""),"",IF(G123&lt;=0,0,MAX(0,$C$4-D123)))</f>
      </c>
      <c r="I123" s="31">
        <f>IF(H123="","",IF(G123&lt;=0,"Received",IF(H123=0,"On schedule",IF(H123&lt;=30,"1-30 days",IF(H123&lt;=60,"31-60 days",IF(H123&lt;=90,"61-90 days","90+ days"))))))</f>
      </c>
      <c r="J123" s="32"/>
      <c r="K123" s="31">
        <f>IF(A123="","",IF(G123&lt;=0,"Complete",IF(H123&gt;0,"Chase vendor",IF(D123-$C$4&lt;=7,"Due soon","Open"))))</f>
      </c>
    </row>
    <row r="124" spans="1:11" x14ac:dyDescent="0.25">
      <c r="A124" s="7"/>
      <c r="B124" s="7"/>
      <c r="C124" s="29"/>
      <c r="D124" s="29"/>
      <c r="E124" s="20"/>
      <c r="F124" s="20"/>
      <c r="G124" s="22">
        <f>IF(E124="","",E124-N(F124))</f>
      </c>
      <c r="H124" s="33">
        <f>IF(OR(D124="",G124=""),"",IF(G124&lt;=0,0,MAX(0,$C$4-D124)))</f>
      </c>
      <c r="I124" s="34">
        <f>IF(H124="","",IF(G124&lt;=0,"Received",IF(H124=0,"On schedule",IF(H124&lt;=30,"1-30 days",IF(H124&lt;=60,"31-60 days",IF(H124&lt;=90,"61-90 days","90+ days"))))))</f>
      </c>
      <c r="J124" s="35"/>
      <c r="K124" s="34">
        <f>IF(A124="","",IF(G124&lt;=0,"Complete",IF(H124&gt;0,"Chase vendor",IF(D124-$C$4&lt;=7,"Due soon","Open"))))</f>
      </c>
    </row>
    <row r="125" spans="1:11" x14ac:dyDescent="0.25">
      <c r="A125" s="7"/>
      <c r="B125" s="7"/>
      <c r="C125" s="29"/>
      <c r="D125" s="29"/>
      <c r="E125" s="20"/>
      <c r="F125" s="20"/>
      <c r="G125" s="21">
        <f>IF(E125="","",E125-N(F125))</f>
      </c>
      <c r="H125" s="30">
        <f>IF(OR(D125="",G125=""),"",IF(G125&lt;=0,0,MAX(0,$C$4-D125)))</f>
      </c>
      <c r="I125" s="31">
        <f>IF(H125="","",IF(G125&lt;=0,"Received",IF(H125=0,"On schedule",IF(H125&lt;=30,"1-30 days",IF(H125&lt;=60,"31-60 days",IF(H125&lt;=90,"61-90 days","90+ days"))))))</f>
      </c>
      <c r="J125" s="32"/>
      <c r="K125" s="31">
        <f>IF(A125="","",IF(G125&lt;=0,"Complete",IF(H125&gt;0,"Chase vendor",IF(D125-$C$4&lt;=7,"Due soon","Open"))))</f>
      </c>
    </row>
    <row r="126" spans="1:11" x14ac:dyDescent="0.25">
      <c r="A126" s="7"/>
      <c r="B126" s="7"/>
      <c r="C126" s="29"/>
      <c r="D126" s="29"/>
      <c r="E126" s="20"/>
      <c r="F126" s="20"/>
      <c r="G126" s="22">
        <f>IF(E126="","",E126-N(F126))</f>
      </c>
      <c r="H126" s="33">
        <f>IF(OR(D126="",G126=""),"",IF(G126&lt;=0,0,MAX(0,$C$4-D126)))</f>
      </c>
      <c r="I126" s="34">
        <f>IF(H126="","",IF(G126&lt;=0,"Received",IF(H126=0,"On schedule",IF(H126&lt;=30,"1-30 days",IF(H126&lt;=60,"31-60 days",IF(H126&lt;=90,"61-90 days","90+ days"))))))</f>
      </c>
      <c r="J126" s="35"/>
      <c r="K126" s="34">
        <f>IF(A126="","",IF(G126&lt;=0,"Complete",IF(H126&gt;0,"Chase vendor",IF(D126-$C$4&lt;=7,"Due soon","Open"))))</f>
      </c>
    </row>
    <row r="127" spans="1:11" x14ac:dyDescent="0.25">
      <c r="A127" s="7"/>
      <c r="B127" s="7"/>
      <c r="C127" s="29"/>
      <c r="D127" s="29"/>
      <c r="E127" s="20"/>
      <c r="F127" s="20"/>
      <c r="G127" s="21">
        <f>IF(E127="","",E127-N(F127))</f>
      </c>
      <c r="H127" s="30">
        <f>IF(OR(D127="",G127=""),"",IF(G127&lt;=0,0,MAX(0,$C$4-D127)))</f>
      </c>
      <c r="I127" s="31">
        <f>IF(H127="","",IF(G127&lt;=0,"Received",IF(H127=0,"On schedule",IF(H127&lt;=30,"1-30 days",IF(H127&lt;=60,"31-60 days",IF(H127&lt;=90,"61-90 days","90+ days"))))))</f>
      </c>
      <c r="J127" s="32"/>
      <c r="K127" s="31">
        <f>IF(A127="","",IF(G127&lt;=0,"Complete",IF(H127&gt;0,"Chase vendor",IF(D127-$C$4&lt;=7,"Due soon","Open"))))</f>
      </c>
    </row>
    <row r="128" spans="1:11" x14ac:dyDescent="0.25">
      <c r="A128" s="7"/>
      <c r="B128" s="7"/>
      <c r="C128" s="29"/>
      <c r="D128" s="29"/>
      <c r="E128" s="20"/>
      <c r="F128" s="20"/>
      <c r="G128" s="22">
        <f>IF(E128="","",E128-N(F128))</f>
      </c>
      <c r="H128" s="33">
        <f>IF(OR(D128="",G128=""),"",IF(G128&lt;=0,0,MAX(0,$C$4-D128)))</f>
      </c>
      <c r="I128" s="34">
        <f>IF(H128="","",IF(G128&lt;=0,"Received",IF(H128=0,"On schedule",IF(H128&lt;=30,"1-30 days",IF(H128&lt;=60,"31-60 days",IF(H128&lt;=90,"61-90 days","90+ days"))))))</f>
      </c>
      <c r="J128" s="35"/>
      <c r="K128" s="34">
        <f>IF(A128="","",IF(G128&lt;=0,"Complete",IF(H128&gt;0,"Chase vendor",IF(D128-$C$4&lt;=7,"Due soon","Open"))))</f>
      </c>
    </row>
    <row r="129" spans="1:11" x14ac:dyDescent="0.25">
      <c r="A129" s="7"/>
      <c r="B129" s="7"/>
      <c r="C129" s="29"/>
      <c r="D129" s="29"/>
      <c r="E129" s="20"/>
      <c r="F129" s="20"/>
      <c r="G129" s="21">
        <f>IF(E129="","",E129-N(F129))</f>
      </c>
      <c r="H129" s="30">
        <f>IF(OR(D129="",G129=""),"",IF(G129&lt;=0,0,MAX(0,$C$4-D129)))</f>
      </c>
      <c r="I129" s="31">
        <f>IF(H129="","",IF(G129&lt;=0,"Received",IF(H129=0,"On schedule",IF(H129&lt;=30,"1-30 days",IF(H129&lt;=60,"31-60 days",IF(H129&lt;=90,"61-90 days","90+ days"))))))</f>
      </c>
      <c r="J129" s="32"/>
      <c r="K129" s="31">
        <f>IF(A129="","",IF(G129&lt;=0,"Complete",IF(H129&gt;0,"Chase vendor",IF(D129-$C$4&lt;=7,"Due soon","Open"))))</f>
      </c>
    </row>
    <row r="130" spans="1:11" x14ac:dyDescent="0.25">
      <c r="A130" s="7"/>
      <c r="B130" s="7"/>
      <c r="C130" s="29"/>
      <c r="D130" s="29"/>
      <c r="E130" s="20"/>
      <c r="F130" s="20"/>
      <c r="G130" s="22">
        <f>IF(E130="","",E130-N(F130))</f>
      </c>
      <c r="H130" s="33">
        <f>IF(OR(D130="",G130=""),"",IF(G130&lt;=0,0,MAX(0,$C$4-D130)))</f>
      </c>
      <c r="I130" s="34">
        <f>IF(H130="","",IF(G130&lt;=0,"Received",IF(H130=0,"On schedule",IF(H130&lt;=30,"1-30 days",IF(H130&lt;=60,"31-60 days",IF(H130&lt;=90,"61-90 days","90+ days"))))))</f>
      </c>
      <c r="J130" s="35"/>
      <c r="K130" s="34">
        <f>IF(A130="","",IF(G130&lt;=0,"Complete",IF(H130&gt;0,"Chase vendor",IF(D130-$C$4&lt;=7,"Due soon","Open"))))</f>
      </c>
    </row>
    <row r="131" spans="1:11" x14ac:dyDescent="0.25">
      <c r="A131" s="7"/>
      <c r="B131" s="7"/>
      <c r="C131" s="29"/>
      <c r="D131" s="29"/>
      <c r="E131" s="20"/>
      <c r="F131" s="20"/>
      <c r="G131" s="21">
        <f>IF(E131="","",E131-N(F131))</f>
      </c>
      <c r="H131" s="30">
        <f>IF(OR(D131="",G131=""),"",IF(G131&lt;=0,0,MAX(0,$C$4-D131)))</f>
      </c>
      <c r="I131" s="31">
        <f>IF(H131="","",IF(G131&lt;=0,"Received",IF(H131=0,"On schedule",IF(H131&lt;=30,"1-30 days",IF(H131&lt;=60,"31-60 days",IF(H131&lt;=90,"61-90 days","90+ days"))))))</f>
      </c>
      <c r="J131" s="32"/>
      <c r="K131" s="31">
        <f>IF(A131="","",IF(G131&lt;=0,"Complete",IF(H131&gt;0,"Chase vendor",IF(D131-$C$4&lt;=7,"Due soon","Open"))))</f>
      </c>
    </row>
    <row r="132" spans="1:11" x14ac:dyDescent="0.25">
      <c r="A132" s="7"/>
      <c r="B132" s="7"/>
      <c r="C132" s="29"/>
      <c r="D132" s="29"/>
      <c r="E132" s="20"/>
      <c r="F132" s="20"/>
      <c r="G132" s="22">
        <f>IF(E132="","",E132-N(F132))</f>
      </c>
      <c r="H132" s="33">
        <f>IF(OR(D132="",G132=""),"",IF(G132&lt;=0,0,MAX(0,$C$4-D132)))</f>
      </c>
      <c r="I132" s="34">
        <f>IF(H132="","",IF(G132&lt;=0,"Received",IF(H132=0,"On schedule",IF(H132&lt;=30,"1-30 days",IF(H132&lt;=60,"31-60 days",IF(H132&lt;=90,"61-90 days","90+ days"))))))</f>
      </c>
      <c r="J132" s="35"/>
      <c r="K132" s="34">
        <f>IF(A132="","",IF(G132&lt;=0,"Complete",IF(H132&gt;0,"Chase vendor",IF(D132-$C$4&lt;=7,"Due soon","Open"))))</f>
      </c>
    </row>
    <row r="133" spans="1:11" x14ac:dyDescent="0.25">
      <c r="A133" s="7"/>
      <c r="B133" s="7"/>
      <c r="C133" s="29"/>
      <c r="D133" s="29"/>
      <c r="E133" s="20"/>
      <c r="F133" s="20"/>
      <c r="G133" s="21">
        <f>IF(E133="","",E133-N(F133))</f>
      </c>
      <c r="H133" s="30">
        <f>IF(OR(D133="",G133=""),"",IF(G133&lt;=0,0,MAX(0,$C$4-D133)))</f>
      </c>
      <c r="I133" s="31">
        <f>IF(H133="","",IF(G133&lt;=0,"Received",IF(H133=0,"On schedule",IF(H133&lt;=30,"1-30 days",IF(H133&lt;=60,"31-60 days",IF(H133&lt;=90,"61-90 days","90+ days"))))))</f>
      </c>
      <c r="J133" s="32"/>
      <c r="K133" s="31">
        <f>IF(A133="","",IF(G133&lt;=0,"Complete",IF(H133&gt;0,"Chase vendor",IF(D133-$C$4&lt;=7,"Due soon","Open"))))</f>
      </c>
    </row>
    <row r="134" spans="1:11" x14ac:dyDescent="0.25">
      <c r="A134" s="7"/>
      <c r="B134" s="7"/>
      <c r="C134" s="29"/>
      <c r="D134" s="29"/>
      <c r="E134" s="20"/>
      <c r="F134" s="20"/>
      <c r="G134" s="22">
        <f>IF(E134="","",E134-N(F134))</f>
      </c>
      <c r="H134" s="33">
        <f>IF(OR(D134="",G134=""),"",IF(G134&lt;=0,0,MAX(0,$C$4-D134)))</f>
      </c>
      <c r="I134" s="34">
        <f>IF(H134="","",IF(G134&lt;=0,"Received",IF(H134=0,"On schedule",IF(H134&lt;=30,"1-30 days",IF(H134&lt;=60,"31-60 days",IF(H134&lt;=90,"61-90 days","90+ days"))))))</f>
      </c>
      <c r="J134" s="35"/>
      <c r="K134" s="34">
        <f>IF(A134="","",IF(G134&lt;=0,"Complete",IF(H134&gt;0,"Chase vendor",IF(D134-$C$4&lt;=7,"Due soon","Open"))))</f>
      </c>
    </row>
    <row r="135" spans="1:11" x14ac:dyDescent="0.25">
      <c r="A135" s="7"/>
      <c r="B135" s="7"/>
      <c r="C135" s="29"/>
      <c r="D135" s="29"/>
      <c r="E135" s="20"/>
      <c r="F135" s="20"/>
      <c r="G135" s="21">
        <f>IF(E135="","",E135-N(F135))</f>
      </c>
      <c r="H135" s="30">
        <f>IF(OR(D135="",G135=""),"",IF(G135&lt;=0,0,MAX(0,$C$4-D135)))</f>
      </c>
      <c r="I135" s="31">
        <f>IF(H135="","",IF(G135&lt;=0,"Received",IF(H135=0,"On schedule",IF(H135&lt;=30,"1-30 days",IF(H135&lt;=60,"31-60 days",IF(H135&lt;=90,"61-90 days","90+ days"))))))</f>
      </c>
      <c r="J135" s="32"/>
      <c r="K135" s="31">
        <f>IF(A135="","",IF(G135&lt;=0,"Complete",IF(H135&gt;0,"Chase vendor",IF(D135-$C$4&lt;=7,"Due soon","Open"))))</f>
      </c>
    </row>
    <row r="136" spans="1:11" x14ac:dyDescent="0.25">
      <c r="A136" s="7"/>
      <c r="B136" s="7"/>
      <c r="C136" s="29"/>
      <c r="D136" s="29"/>
      <c r="E136" s="20"/>
      <c r="F136" s="20"/>
      <c r="G136" s="22">
        <f>IF(E136="","",E136-N(F136))</f>
      </c>
      <c r="H136" s="33">
        <f>IF(OR(D136="",G136=""),"",IF(G136&lt;=0,0,MAX(0,$C$4-D136)))</f>
      </c>
      <c r="I136" s="34">
        <f>IF(H136="","",IF(G136&lt;=0,"Received",IF(H136=0,"On schedule",IF(H136&lt;=30,"1-30 days",IF(H136&lt;=60,"31-60 days",IF(H136&lt;=90,"61-90 days","90+ days"))))))</f>
      </c>
      <c r="J136" s="35"/>
      <c r="K136" s="34">
        <f>IF(A136="","",IF(G136&lt;=0,"Complete",IF(H136&gt;0,"Chase vendor",IF(D136-$C$4&lt;=7,"Due soon","Open"))))</f>
      </c>
    </row>
    <row r="137" spans="1:11" x14ac:dyDescent="0.25">
      <c r="A137" s="7"/>
      <c r="B137" s="7"/>
      <c r="C137" s="29"/>
      <c r="D137" s="29"/>
      <c r="E137" s="20"/>
      <c r="F137" s="20"/>
      <c r="G137" s="21">
        <f>IF(E137="","",E137-N(F137))</f>
      </c>
      <c r="H137" s="30">
        <f>IF(OR(D137="",G137=""),"",IF(G137&lt;=0,0,MAX(0,$C$4-D137)))</f>
      </c>
      <c r="I137" s="31">
        <f>IF(H137="","",IF(G137&lt;=0,"Received",IF(H137=0,"On schedule",IF(H137&lt;=30,"1-30 days",IF(H137&lt;=60,"31-60 days",IF(H137&lt;=90,"61-90 days","90+ days"))))))</f>
      </c>
      <c r="J137" s="32"/>
      <c r="K137" s="31">
        <f>IF(A137="","",IF(G137&lt;=0,"Complete",IF(H137&gt;0,"Chase vendor",IF(D137-$C$4&lt;=7,"Due soon","Open"))))</f>
      </c>
    </row>
    <row r="138" spans="1:11" x14ac:dyDescent="0.25">
      <c r="A138" s="7"/>
      <c r="B138" s="7"/>
      <c r="C138" s="29"/>
      <c r="D138" s="29"/>
      <c r="E138" s="20"/>
      <c r="F138" s="20"/>
      <c r="G138" s="22">
        <f>IF(E138="","",E138-N(F138))</f>
      </c>
      <c r="H138" s="33">
        <f>IF(OR(D138="",G138=""),"",IF(G138&lt;=0,0,MAX(0,$C$4-D138)))</f>
      </c>
      <c r="I138" s="34">
        <f>IF(H138="","",IF(G138&lt;=0,"Received",IF(H138=0,"On schedule",IF(H138&lt;=30,"1-30 days",IF(H138&lt;=60,"31-60 days",IF(H138&lt;=90,"61-90 days","90+ days"))))))</f>
      </c>
      <c r="J138" s="35"/>
      <c r="K138" s="34">
        <f>IF(A138="","",IF(G138&lt;=0,"Complete",IF(H138&gt;0,"Chase vendor",IF(D138-$C$4&lt;=7,"Due soon","Open"))))</f>
      </c>
    </row>
    <row r="139" spans="1:11" x14ac:dyDescent="0.25">
      <c r="A139" s="7"/>
      <c r="B139" s="7"/>
      <c r="C139" s="29"/>
      <c r="D139" s="29"/>
      <c r="E139" s="20"/>
      <c r="F139" s="20"/>
      <c r="G139" s="21">
        <f>IF(E139="","",E139-N(F139))</f>
      </c>
      <c r="H139" s="30">
        <f>IF(OR(D139="",G139=""),"",IF(G139&lt;=0,0,MAX(0,$C$4-D139)))</f>
      </c>
      <c r="I139" s="31">
        <f>IF(H139="","",IF(G139&lt;=0,"Received",IF(H139=0,"On schedule",IF(H139&lt;=30,"1-30 days",IF(H139&lt;=60,"31-60 days",IF(H139&lt;=90,"61-90 days","90+ days"))))))</f>
      </c>
      <c r="J139" s="32"/>
      <c r="K139" s="31">
        <f>IF(A139="","",IF(G139&lt;=0,"Complete",IF(H139&gt;0,"Chase vendor",IF(D139-$C$4&lt;=7,"Due soon","Open"))))</f>
      </c>
    </row>
    <row r="140" spans="1:11" x14ac:dyDescent="0.25">
      <c r="A140" s="7"/>
      <c r="B140" s="7"/>
      <c r="C140" s="29"/>
      <c r="D140" s="29"/>
      <c r="E140" s="20"/>
      <c r="F140" s="20"/>
      <c r="G140" s="22">
        <f>IF(E140="","",E140-N(F140))</f>
      </c>
      <c r="H140" s="33">
        <f>IF(OR(D140="",G140=""),"",IF(G140&lt;=0,0,MAX(0,$C$4-D140)))</f>
      </c>
      <c r="I140" s="34">
        <f>IF(H140="","",IF(G140&lt;=0,"Received",IF(H140=0,"On schedule",IF(H140&lt;=30,"1-30 days",IF(H140&lt;=60,"31-60 days",IF(H140&lt;=90,"61-90 days","90+ days"))))))</f>
      </c>
      <c r="J140" s="35"/>
      <c r="K140" s="34">
        <f>IF(A140="","",IF(G140&lt;=0,"Complete",IF(H140&gt;0,"Chase vendor",IF(D140-$C$4&lt;=7,"Due soon","Open"))))</f>
      </c>
    </row>
    <row r="141" spans="1:11" x14ac:dyDescent="0.25">
      <c r="A141" s="7"/>
      <c r="B141" s="7"/>
      <c r="C141" s="29"/>
      <c r="D141" s="29"/>
      <c r="E141" s="20"/>
      <c r="F141" s="20"/>
      <c r="G141" s="21">
        <f>IF(E141="","",E141-N(F141))</f>
      </c>
      <c r="H141" s="30">
        <f>IF(OR(D141="",G141=""),"",IF(G141&lt;=0,0,MAX(0,$C$4-D141)))</f>
      </c>
      <c r="I141" s="31">
        <f>IF(H141="","",IF(G141&lt;=0,"Received",IF(H141=0,"On schedule",IF(H141&lt;=30,"1-30 days",IF(H141&lt;=60,"31-60 days",IF(H141&lt;=90,"61-90 days","90+ days"))))))</f>
      </c>
      <c r="J141" s="32"/>
      <c r="K141" s="31">
        <f>IF(A141="","",IF(G141&lt;=0,"Complete",IF(H141&gt;0,"Chase vendor",IF(D141-$C$4&lt;=7,"Due soon","Open"))))</f>
      </c>
    </row>
    <row r="142" spans="1:11" x14ac:dyDescent="0.25">
      <c r="A142" s="7"/>
      <c r="B142" s="7"/>
      <c r="C142" s="29"/>
      <c r="D142" s="29"/>
      <c r="E142" s="20"/>
      <c r="F142" s="20"/>
      <c r="G142" s="22">
        <f>IF(E142="","",E142-N(F142))</f>
      </c>
      <c r="H142" s="33">
        <f>IF(OR(D142="",G142=""),"",IF(G142&lt;=0,0,MAX(0,$C$4-D142)))</f>
      </c>
      <c r="I142" s="34">
        <f>IF(H142="","",IF(G142&lt;=0,"Received",IF(H142=0,"On schedule",IF(H142&lt;=30,"1-30 days",IF(H142&lt;=60,"31-60 days",IF(H142&lt;=90,"61-90 days","90+ days"))))))</f>
      </c>
      <c r="J142" s="35"/>
      <c r="K142" s="34">
        <f>IF(A142="","",IF(G142&lt;=0,"Complete",IF(H142&gt;0,"Chase vendor",IF(D142-$C$4&lt;=7,"Due soon","Open"))))</f>
      </c>
    </row>
    <row r="143" spans="1:11" x14ac:dyDescent="0.25">
      <c r="A143" s="7"/>
      <c r="B143" s="7"/>
      <c r="C143" s="29"/>
      <c r="D143" s="29"/>
      <c r="E143" s="20"/>
      <c r="F143" s="20"/>
      <c r="G143" s="21">
        <f>IF(E143="","",E143-N(F143))</f>
      </c>
      <c r="H143" s="30">
        <f>IF(OR(D143="",G143=""),"",IF(G143&lt;=0,0,MAX(0,$C$4-D143)))</f>
      </c>
      <c r="I143" s="31">
        <f>IF(H143="","",IF(G143&lt;=0,"Received",IF(H143=0,"On schedule",IF(H143&lt;=30,"1-30 days",IF(H143&lt;=60,"31-60 days",IF(H143&lt;=90,"61-90 days","90+ days"))))))</f>
      </c>
      <c r="J143" s="32"/>
      <c r="K143" s="31">
        <f>IF(A143="","",IF(G143&lt;=0,"Complete",IF(H143&gt;0,"Chase vendor",IF(D143-$C$4&lt;=7,"Due soon","Open"))))</f>
      </c>
    </row>
    <row r="144" spans="1:11" x14ac:dyDescent="0.25">
      <c r="A144" s="7"/>
      <c r="B144" s="7"/>
      <c r="C144" s="29"/>
      <c r="D144" s="29"/>
      <c r="E144" s="20"/>
      <c r="F144" s="20"/>
      <c r="G144" s="22">
        <f>IF(E144="","",E144-N(F144))</f>
      </c>
      <c r="H144" s="33">
        <f>IF(OR(D144="",G144=""),"",IF(G144&lt;=0,0,MAX(0,$C$4-D144)))</f>
      </c>
      <c r="I144" s="34">
        <f>IF(H144="","",IF(G144&lt;=0,"Received",IF(H144=0,"On schedule",IF(H144&lt;=30,"1-30 days",IF(H144&lt;=60,"31-60 days",IF(H144&lt;=90,"61-90 days","90+ days"))))))</f>
      </c>
      <c r="J144" s="35"/>
      <c r="K144" s="34">
        <f>IF(A144="","",IF(G144&lt;=0,"Complete",IF(H144&gt;0,"Chase vendor",IF(D144-$C$4&lt;=7,"Due soon","Open"))))</f>
      </c>
    </row>
    <row r="145" spans="1:11" x14ac:dyDescent="0.25">
      <c r="A145" s="7"/>
      <c r="B145" s="7"/>
      <c r="C145" s="29"/>
      <c r="D145" s="29"/>
      <c r="E145" s="20"/>
      <c r="F145" s="20"/>
      <c r="G145" s="21">
        <f>IF(E145="","",E145-N(F145))</f>
      </c>
      <c r="H145" s="30">
        <f>IF(OR(D145="",G145=""),"",IF(G145&lt;=0,0,MAX(0,$C$4-D145)))</f>
      </c>
      <c r="I145" s="31">
        <f>IF(H145="","",IF(G145&lt;=0,"Received",IF(H145=0,"On schedule",IF(H145&lt;=30,"1-30 days",IF(H145&lt;=60,"31-60 days",IF(H145&lt;=90,"61-90 days","90+ days"))))))</f>
      </c>
      <c r="J145" s="32"/>
      <c r="K145" s="31">
        <f>IF(A145="","",IF(G145&lt;=0,"Complete",IF(H145&gt;0,"Chase vendor",IF(D145-$C$4&lt;=7,"Due soon","Open"))))</f>
      </c>
    </row>
    <row r="146" spans="1:11" x14ac:dyDescent="0.25">
      <c r="A146" s="7"/>
      <c r="B146" s="7"/>
      <c r="C146" s="29"/>
      <c r="D146" s="29"/>
      <c r="E146" s="20"/>
      <c r="F146" s="20"/>
      <c r="G146" s="22">
        <f>IF(E146="","",E146-N(F146))</f>
      </c>
      <c r="H146" s="33">
        <f>IF(OR(D146="",G146=""),"",IF(G146&lt;=0,0,MAX(0,$C$4-D146)))</f>
      </c>
      <c r="I146" s="34">
        <f>IF(H146="","",IF(G146&lt;=0,"Received",IF(H146=0,"On schedule",IF(H146&lt;=30,"1-30 days",IF(H146&lt;=60,"31-60 days",IF(H146&lt;=90,"61-90 days","90+ days"))))))</f>
      </c>
      <c r="J146" s="35"/>
      <c r="K146" s="34">
        <f>IF(A146="","",IF(G146&lt;=0,"Complete",IF(H146&gt;0,"Chase vendor",IF(D146-$C$4&lt;=7,"Due soon","Open"))))</f>
      </c>
    </row>
    <row r="147" spans="1:11" x14ac:dyDescent="0.25">
      <c r="A147" s="7"/>
      <c r="B147" s="7"/>
      <c r="C147" s="29"/>
      <c r="D147" s="29"/>
      <c r="E147" s="20"/>
      <c r="F147" s="20"/>
      <c r="G147" s="21">
        <f>IF(E147="","",E147-N(F147))</f>
      </c>
      <c r="H147" s="30">
        <f>IF(OR(D147="",G147=""),"",IF(G147&lt;=0,0,MAX(0,$C$4-D147)))</f>
      </c>
      <c r="I147" s="31">
        <f>IF(H147="","",IF(G147&lt;=0,"Received",IF(H147=0,"On schedule",IF(H147&lt;=30,"1-30 days",IF(H147&lt;=60,"31-60 days",IF(H147&lt;=90,"61-90 days","90+ days"))))))</f>
      </c>
      <c r="J147" s="32"/>
      <c r="K147" s="31">
        <f>IF(A147="","",IF(G147&lt;=0,"Complete",IF(H147&gt;0,"Chase vendor",IF(D147-$C$4&lt;=7,"Due soon","Open"))))</f>
      </c>
    </row>
    <row r="148" spans="1:11" x14ac:dyDescent="0.25">
      <c r="A148" s="7"/>
      <c r="B148" s="7"/>
      <c r="C148" s="29"/>
      <c r="D148" s="29"/>
      <c r="E148" s="20"/>
      <c r="F148" s="20"/>
      <c r="G148" s="22">
        <f>IF(E148="","",E148-N(F148))</f>
      </c>
      <c r="H148" s="33">
        <f>IF(OR(D148="",G148=""),"",IF(G148&lt;=0,0,MAX(0,$C$4-D148)))</f>
      </c>
      <c r="I148" s="34">
        <f>IF(H148="","",IF(G148&lt;=0,"Received",IF(H148=0,"On schedule",IF(H148&lt;=30,"1-30 days",IF(H148&lt;=60,"31-60 days",IF(H148&lt;=90,"61-90 days","90+ days"))))))</f>
      </c>
      <c r="J148" s="35"/>
      <c r="K148" s="34">
        <f>IF(A148="","",IF(G148&lt;=0,"Complete",IF(H148&gt;0,"Chase vendor",IF(D148-$C$4&lt;=7,"Due soon","Open"))))</f>
      </c>
    </row>
    <row r="149" spans="1:11" x14ac:dyDescent="0.25">
      <c r="A149" s="7"/>
      <c r="B149" s="7"/>
      <c r="C149" s="29"/>
      <c r="D149" s="29"/>
      <c r="E149" s="20"/>
      <c r="F149" s="20"/>
      <c r="G149" s="21">
        <f>IF(E149="","",E149-N(F149))</f>
      </c>
      <c r="H149" s="30">
        <f>IF(OR(D149="",G149=""),"",IF(G149&lt;=0,0,MAX(0,$C$4-D149)))</f>
      </c>
      <c r="I149" s="31">
        <f>IF(H149="","",IF(G149&lt;=0,"Received",IF(H149=0,"On schedule",IF(H149&lt;=30,"1-30 days",IF(H149&lt;=60,"31-60 days",IF(H149&lt;=90,"61-90 days","90+ days"))))))</f>
      </c>
      <c r="J149" s="32"/>
      <c r="K149" s="31">
        <f>IF(A149="","",IF(G149&lt;=0,"Complete",IF(H149&gt;0,"Chase vendor",IF(D149-$C$4&lt;=7,"Due soon","Open"))))</f>
      </c>
    </row>
    <row r="150" spans="1:11" x14ac:dyDescent="0.25">
      <c r="A150" s="7"/>
      <c r="B150" s="7"/>
      <c r="C150" s="29"/>
      <c r="D150" s="29"/>
      <c r="E150" s="20"/>
      <c r="F150" s="20"/>
      <c r="G150" s="22">
        <f>IF(E150="","",E150-N(F150))</f>
      </c>
      <c r="H150" s="33">
        <f>IF(OR(D150="",G150=""),"",IF(G150&lt;=0,0,MAX(0,$C$4-D150)))</f>
      </c>
      <c r="I150" s="34">
        <f>IF(H150="","",IF(G150&lt;=0,"Received",IF(H150=0,"On schedule",IF(H150&lt;=30,"1-30 days",IF(H150&lt;=60,"31-60 days",IF(H150&lt;=90,"61-90 days","90+ days"))))))</f>
      </c>
      <c r="J150" s="35"/>
      <c r="K150" s="34">
        <f>IF(A150="","",IF(G150&lt;=0,"Complete",IF(H150&gt;0,"Chase vendor",IF(D150-$C$4&lt;=7,"Due soon","Open"))))</f>
      </c>
    </row>
    <row r="151" spans="1:11" x14ac:dyDescent="0.25">
      <c r="A151" s="7"/>
      <c r="B151" s="7"/>
      <c r="C151" s="29"/>
      <c r="D151" s="29"/>
      <c r="E151" s="20"/>
      <c r="F151" s="20"/>
      <c r="G151" s="21">
        <f>IF(E151="","",E151-N(F151))</f>
      </c>
      <c r="H151" s="30">
        <f>IF(OR(D151="",G151=""),"",IF(G151&lt;=0,0,MAX(0,$C$4-D151)))</f>
      </c>
      <c r="I151" s="31">
        <f>IF(H151="","",IF(G151&lt;=0,"Received",IF(H151=0,"On schedule",IF(H151&lt;=30,"1-30 days",IF(H151&lt;=60,"31-60 days",IF(H151&lt;=90,"61-90 days","90+ days"))))))</f>
      </c>
      <c r="J151" s="32"/>
      <c r="K151" s="31">
        <f>IF(A151="","",IF(G151&lt;=0,"Complete",IF(H151&gt;0,"Chase vendor",IF(D151-$C$4&lt;=7,"Due soon","Open"))))</f>
      </c>
    </row>
    <row r="152" spans="1:11" x14ac:dyDescent="0.25">
      <c r="A152" s="7"/>
      <c r="B152" s="7"/>
      <c r="C152" s="29"/>
      <c r="D152" s="29"/>
      <c r="E152" s="20"/>
      <c r="F152" s="20"/>
      <c r="G152" s="22">
        <f>IF(E152="","",E152-N(F152))</f>
      </c>
      <c r="H152" s="33">
        <f>IF(OR(D152="",G152=""),"",IF(G152&lt;=0,0,MAX(0,$C$4-D152)))</f>
      </c>
      <c r="I152" s="34">
        <f>IF(H152="","",IF(G152&lt;=0,"Received",IF(H152=0,"On schedule",IF(H152&lt;=30,"1-30 days",IF(H152&lt;=60,"31-60 days",IF(H152&lt;=90,"61-90 days","90+ days"))))))</f>
      </c>
      <c r="J152" s="35"/>
      <c r="K152" s="34">
        <f>IF(A152="","",IF(G152&lt;=0,"Complete",IF(H152&gt;0,"Chase vendor",IF(D152-$C$4&lt;=7,"Due soon","Open"))))</f>
      </c>
    </row>
    <row r="153" spans="1:11" x14ac:dyDescent="0.25">
      <c r="A153" s="7"/>
      <c r="B153" s="7"/>
      <c r="C153" s="29"/>
      <c r="D153" s="29"/>
      <c r="E153" s="20"/>
      <c r="F153" s="20"/>
      <c r="G153" s="21">
        <f>IF(E153="","",E153-N(F153))</f>
      </c>
      <c r="H153" s="30">
        <f>IF(OR(D153="",G153=""),"",IF(G153&lt;=0,0,MAX(0,$C$4-D153)))</f>
      </c>
      <c r="I153" s="31">
        <f>IF(H153="","",IF(G153&lt;=0,"Received",IF(H153=0,"On schedule",IF(H153&lt;=30,"1-30 days",IF(H153&lt;=60,"31-60 days",IF(H153&lt;=90,"61-90 days","90+ days"))))))</f>
      </c>
      <c r="J153" s="32"/>
      <c r="K153" s="31">
        <f>IF(A153="","",IF(G153&lt;=0,"Complete",IF(H153&gt;0,"Chase vendor",IF(D153-$C$4&lt;=7,"Due soon","Open"))))</f>
      </c>
    </row>
    <row r="154" spans="1:11" x14ac:dyDescent="0.25">
      <c r="A154" s="7"/>
      <c r="B154" s="7"/>
      <c r="C154" s="29"/>
      <c r="D154" s="29"/>
      <c r="E154" s="20"/>
      <c r="F154" s="20"/>
      <c r="G154" s="22">
        <f>IF(E154="","",E154-N(F154))</f>
      </c>
      <c r="H154" s="33">
        <f>IF(OR(D154="",G154=""),"",IF(G154&lt;=0,0,MAX(0,$C$4-D154)))</f>
      </c>
      <c r="I154" s="34">
        <f>IF(H154="","",IF(G154&lt;=0,"Received",IF(H154=0,"On schedule",IF(H154&lt;=30,"1-30 days",IF(H154&lt;=60,"31-60 days",IF(H154&lt;=90,"61-90 days","90+ days"))))))</f>
      </c>
      <c r="J154" s="35"/>
      <c r="K154" s="34">
        <f>IF(A154="","",IF(G154&lt;=0,"Complete",IF(H154&gt;0,"Chase vendor",IF(D154-$C$4&lt;=7,"Due soon","Open"))))</f>
      </c>
    </row>
    <row r="155" spans="1:11" x14ac:dyDescent="0.25">
      <c r="A155" s="7"/>
      <c r="B155" s="7"/>
      <c r="C155" s="29"/>
      <c r="D155" s="29"/>
      <c r="E155" s="20"/>
      <c r="F155" s="20"/>
      <c r="G155" s="21">
        <f>IF(E155="","",E155-N(F155))</f>
      </c>
      <c r="H155" s="30">
        <f>IF(OR(D155="",G155=""),"",IF(G155&lt;=0,0,MAX(0,$C$4-D155)))</f>
      </c>
      <c r="I155" s="31">
        <f>IF(H155="","",IF(G155&lt;=0,"Received",IF(H155=0,"On schedule",IF(H155&lt;=30,"1-30 days",IF(H155&lt;=60,"31-60 days",IF(H155&lt;=90,"61-90 days","90+ days"))))))</f>
      </c>
      <c r="J155" s="32"/>
      <c r="K155" s="31">
        <f>IF(A155="","",IF(G155&lt;=0,"Complete",IF(H155&gt;0,"Chase vendor",IF(D155-$C$4&lt;=7,"Due soon","Open"))))</f>
      </c>
    </row>
    <row r="156" spans="1:11" x14ac:dyDescent="0.25">
      <c r="A156" s="7"/>
      <c r="B156" s="7"/>
      <c r="C156" s="29"/>
      <c r="D156" s="29"/>
      <c r="E156" s="20"/>
      <c r="F156" s="20"/>
      <c r="G156" s="22">
        <f>IF(E156="","",E156-N(F156))</f>
      </c>
      <c r="H156" s="33">
        <f>IF(OR(D156="",G156=""),"",IF(G156&lt;=0,0,MAX(0,$C$4-D156)))</f>
      </c>
      <c r="I156" s="34">
        <f>IF(H156="","",IF(G156&lt;=0,"Received",IF(H156=0,"On schedule",IF(H156&lt;=30,"1-30 days",IF(H156&lt;=60,"31-60 days",IF(H156&lt;=90,"61-90 days","90+ days"))))))</f>
      </c>
      <c r="J156" s="35"/>
      <c r="K156" s="34">
        <f>IF(A156="","",IF(G156&lt;=0,"Complete",IF(H156&gt;0,"Chase vendor",IF(D156-$C$4&lt;=7,"Due soon","Open"))))</f>
      </c>
    </row>
    <row r="157" spans="1:11" x14ac:dyDescent="0.25">
      <c r="A157" s="7"/>
      <c r="B157" s="7"/>
      <c r="C157" s="29"/>
      <c r="D157" s="29"/>
      <c r="E157" s="20"/>
      <c r="F157" s="20"/>
      <c r="G157" s="21">
        <f>IF(E157="","",E157-N(F157))</f>
      </c>
      <c r="H157" s="30">
        <f>IF(OR(D157="",G157=""),"",IF(G157&lt;=0,0,MAX(0,$C$4-D157)))</f>
      </c>
      <c r="I157" s="31">
        <f>IF(H157="","",IF(G157&lt;=0,"Received",IF(H157=0,"On schedule",IF(H157&lt;=30,"1-30 days",IF(H157&lt;=60,"31-60 days",IF(H157&lt;=90,"61-90 days","90+ days"))))))</f>
      </c>
      <c r="J157" s="32"/>
      <c r="K157" s="31">
        <f>IF(A157="","",IF(G157&lt;=0,"Complete",IF(H157&gt;0,"Chase vendor",IF(D157-$C$4&lt;=7,"Due soon","Open"))))</f>
      </c>
    </row>
    <row r="158" spans="1:11" x14ac:dyDescent="0.25">
      <c r="A158" s="7"/>
      <c r="B158" s="7"/>
      <c r="C158" s="29"/>
      <c r="D158" s="29"/>
      <c r="E158" s="20"/>
      <c r="F158" s="20"/>
      <c r="G158" s="22">
        <f>IF(E158="","",E158-N(F158))</f>
      </c>
      <c r="H158" s="33">
        <f>IF(OR(D158="",G158=""),"",IF(G158&lt;=0,0,MAX(0,$C$4-D158)))</f>
      </c>
      <c r="I158" s="34">
        <f>IF(H158="","",IF(G158&lt;=0,"Received",IF(H158=0,"On schedule",IF(H158&lt;=30,"1-30 days",IF(H158&lt;=60,"31-60 days",IF(H158&lt;=90,"61-90 days","90+ days"))))))</f>
      </c>
      <c r="J158" s="35"/>
      <c r="K158" s="34">
        <f>IF(A158="","",IF(G158&lt;=0,"Complete",IF(H158&gt;0,"Chase vendor",IF(D158-$C$4&lt;=7,"Due soon","Open"))))</f>
      </c>
    </row>
    <row r="159" spans="1:11" x14ac:dyDescent="0.25">
      <c r="A159" s="7"/>
      <c r="B159" s="7"/>
      <c r="C159" s="29"/>
      <c r="D159" s="29"/>
      <c r="E159" s="20"/>
      <c r="F159" s="20"/>
      <c r="G159" s="21">
        <f>IF(E159="","",E159-N(F159))</f>
      </c>
      <c r="H159" s="30">
        <f>IF(OR(D159="",G159=""),"",IF(G159&lt;=0,0,MAX(0,$C$4-D159)))</f>
      </c>
      <c r="I159" s="31">
        <f>IF(H159="","",IF(G159&lt;=0,"Received",IF(H159=0,"On schedule",IF(H159&lt;=30,"1-30 days",IF(H159&lt;=60,"31-60 days",IF(H159&lt;=90,"61-90 days","90+ days"))))))</f>
      </c>
      <c r="J159" s="32"/>
      <c r="K159" s="31">
        <f>IF(A159="","",IF(G159&lt;=0,"Complete",IF(H159&gt;0,"Chase vendor",IF(D159-$C$4&lt;=7,"Due soon","Open"))))</f>
      </c>
    </row>
    <row r="160" spans="1:11" x14ac:dyDescent="0.25">
      <c r="A160" s="7"/>
      <c r="B160" s="7"/>
      <c r="C160" s="29"/>
      <c r="D160" s="29"/>
      <c r="E160" s="20"/>
      <c r="F160" s="20"/>
      <c r="G160" s="22">
        <f>IF(E160="","",E160-N(F160))</f>
      </c>
      <c r="H160" s="33">
        <f>IF(OR(D160="",G160=""),"",IF(G160&lt;=0,0,MAX(0,$C$4-D160)))</f>
      </c>
      <c r="I160" s="34">
        <f>IF(H160="","",IF(G160&lt;=0,"Received",IF(H160=0,"On schedule",IF(H160&lt;=30,"1-30 days",IF(H160&lt;=60,"31-60 days",IF(H160&lt;=90,"61-90 days","90+ days"))))))</f>
      </c>
      <c r="J160" s="35"/>
      <c r="K160" s="34">
        <f>IF(A160="","",IF(G160&lt;=0,"Complete",IF(H160&gt;0,"Chase vendor",IF(D160-$C$4&lt;=7,"Due soon","Open"))))</f>
      </c>
    </row>
    <row r="161" spans="1:11" x14ac:dyDescent="0.25">
      <c r="A161" s="7"/>
      <c r="B161" s="7"/>
      <c r="C161" s="29"/>
      <c r="D161" s="29"/>
      <c r="E161" s="20"/>
      <c r="F161" s="20"/>
      <c r="G161" s="21">
        <f>IF(E161="","",E161-N(F161))</f>
      </c>
      <c r="H161" s="30">
        <f>IF(OR(D161="",G161=""),"",IF(G161&lt;=0,0,MAX(0,$C$4-D161)))</f>
      </c>
      <c r="I161" s="31">
        <f>IF(H161="","",IF(G161&lt;=0,"Received",IF(H161=0,"On schedule",IF(H161&lt;=30,"1-30 days",IF(H161&lt;=60,"31-60 days",IF(H161&lt;=90,"61-90 days","90+ days"))))))</f>
      </c>
      <c r="J161" s="32"/>
      <c r="K161" s="31">
        <f>IF(A161="","",IF(G161&lt;=0,"Complete",IF(H161&gt;0,"Chase vendor",IF(D161-$C$4&lt;=7,"Due soon","Open"))))</f>
      </c>
    </row>
    <row r="162" spans="1:11" x14ac:dyDescent="0.25">
      <c r="A162" s="7"/>
      <c r="B162" s="7"/>
      <c r="C162" s="29"/>
      <c r="D162" s="29"/>
      <c r="E162" s="20"/>
      <c r="F162" s="20"/>
      <c r="G162" s="22">
        <f>IF(E162="","",E162-N(F162))</f>
      </c>
      <c r="H162" s="33">
        <f>IF(OR(D162="",G162=""),"",IF(G162&lt;=0,0,MAX(0,$C$4-D162)))</f>
      </c>
      <c r="I162" s="34">
        <f>IF(H162="","",IF(G162&lt;=0,"Received",IF(H162=0,"On schedule",IF(H162&lt;=30,"1-30 days",IF(H162&lt;=60,"31-60 days",IF(H162&lt;=90,"61-90 days","90+ days"))))))</f>
      </c>
      <c r="J162" s="35"/>
      <c r="K162" s="34">
        <f>IF(A162="","",IF(G162&lt;=0,"Complete",IF(H162&gt;0,"Chase vendor",IF(D162-$C$4&lt;=7,"Due soon","Open"))))</f>
      </c>
    </row>
    <row r="163" spans="1:11" x14ac:dyDescent="0.25">
      <c r="A163" s="7"/>
      <c r="B163" s="7"/>
      <c r="C163" s="29"/>
      <c r="D163" s="29"/>
      <c r="E163" s="20"/>
      <c r="F163" s="20"/>
      <c r="G163" s="21">
        <f>IF(E163="","",E163-N(F163))</f>
      </c>
      <c r="H163" s="30">
        <f>IF(OR(D163="",G163=""),"",IF(G163&lt;=0,0,MAX(0,$C$4-D163)))</f>
      </c>
      <c r="I163" s="31">
        <f>IF(H163="","",IF(G163&lt;=0,"Received",IF(H163=0,"On schedule",IF(H163&lt;=30,"1-30 days",IF(H163&lt;=60,"31-60 days",IF(H163&lt;=90,"61-90 days","90+ days"))))))</f>
      </c>
      <c r="J163" s="32"/>
      <c r="K163" s="31">
        <f>IF(A163="","",IF(G163&lt;=0,"Complete",IF(H163&gt;0,"Chase vendor",IF(D163-$C$4&lt;=7,"Due soon","Open"))))</f>
      </c>
    </row>
    <row r="164" spans="1:11" x14ac:dyDescent="0.25">
      <c r="A164" s="7"/>
      <c r="B164" s="7"/>
      <c r="C164" s="29"/>
      <c r="D164" s="29"/>
      <c r="E164" s="20"/>
      <c r="F164" s="20"/>
      <c r="G164" s="22">
        <f>IF(E164="","",E164-N(F164))</f>
      </c>
      <c r="H164" s="33">
        <f>IF(OR(D164="",G164=""),"",IF(G164&lt;=0,0,MAX(0,$C$4-D164)))</f>
      </c>
      <c r="I164" s="34">
        <f>IF(H164="","",IF(G164&lt;=0,"Received",IF(H164=0,"On schedule",IF(H164&lt;=30,"1-30 days",IF(H164&lt;=60,"31-60 days",IF(H164&lt;=90,"61-90 days","90+ days"))))))</f>
      </c>
      <c r="J164" s="35"/>
      <c r="K164" s="34">
        <f>IF(A164="","",IF(G164&lt;=0,"Complete",IF(H164&gt;0,"Chase vendor",IF(D164-$C$4&lt;=7,"Due soon","Open"))))</f>
      </c>
    </row>
    <row r="165" spans="1:11" x14ac:dyDescent="0.25">
      <c r="A165" s="7"/>
      <c r="B165" s="7"/>
      <c r="C165" s="29"/>
      <c r="D165" s="29"/>
      <c r="E165" s="20"/>
      <c r="F165" s="20"/>
      <c r="G165" s="21">
        <f>IF(E165="","",E165-N(F165))</f>
      </c>
      <c r="H165" s="30">
        <f>IF(OR(D165="",G165=""),"",IF(G165&lt;=0,0,MAX(0,$C$4-D165)))</f>
      </c>
      <c r="I165" s="31">
        <f>IF(H165="","",IF(G165&lt;=0,"Received",IF(H165=0,"On schedule",IF(H165&lt;=30,"1-30 days",IF(H165&lt;=60,"31-60 days",IF(H165&lt;=90,"61-90 days","90+ days"))))))</f>
      </c>
      <c r="J165" s="32"/>
      <c r="K165" s="31">
        <f>IF(A165="","",IF(G165&lt;=0,"Complete",IF(H165&gt;0,"Chase vendor",IF(D165-$C$4&lt;=7,"Due soon","Open"))))</f>
      </c>
    </row>
    <row r="166" spans="1:11" x14ac:dyDescent="0.25">
      <c r="A166" s="7"/>
      <c r="B166" s="7"/>
      <c r="C166" s="29"/>
      <c r="D166" s="29"/>
      <c r="E166" s="20"/>
      <c r="F166" s="20"/>
      <c r="G166" s="22">
        <f>IF(E166="","",E166-N(F166))</f>
      </c>
      <c r="H166" s="33">
        <f>IF(OR(D166="",G166=""),"",IF(G166&lt;=0,0,MAX(0,$C$4-D166)))</f>
      </c>
      <c r="I166" s="34">
        <f>IF(H166="","",IF(G166&lt;=0,"Received",IF(H166=0,"On schedule",IF(H166&lt;=30,"1-30 days",IF(H166&lt;=60,"31-60 days",IF(H166&lt;=90,"61-90 days","90+ days"))))))</f>
      </c>
      <c r="J166" s="35"/>
      <c r="K166" s="34">
        <f>IF(A166="","",IF(G166&lt;=0,"Complete",IF(H166&gt;0,"Chase vendor",IF(D166-$C$4&lt;=7,"Due soon","Open"))))</f>
      </c>
    </row>
    <row r="167" spans="1:11" x14ac:dyDescent="0.25">
      <c r="A167" s="7"/>
      <c r="B167" s="7"/>
      <c r="C167" s="29"/>
      <c r="D167" s="29"/>
      <c r="E167" s="20"/>
      <c r="F167" s="20"/>
      <c r="G167" s="21">
        <f>IF(E167="","",E167-N(F167))</f>
      </c>
      <c r="H167" s="30">
        <f>IF(OR(D167="",G167=""),"",IF(G167&lt;=0,0,MAX(0,$C$4-D167)))</f>
      </c>
      <c r="I167" s="31">
        <f>IF(H167="","",IF(G167&lt;=0,"Received",IF(H167=0,"On schedule",IF(H167&lt;=30,"1-30 days",IF(H167&lt;=60,"31-60 days",IF(H167&lt;=90,"61-90 days","90+ days"))))))</f>
      </c>
      <c r="J167" s="32"/>
      <c r="K167" s="31">
        <f>IF(A167="","",IF(G167&lt;=0,"Complete",IF(H167&gt;0,"Chase vendor",IF(D167-$C$4&lt;=7,"Due soon","Open"))))</f>
      </c>
    </row>
    <row r="168" spans="1:11" x14ac:dyDescent="0.25">
      <c r="A168" s="7"/>
      <c r="B168" s="7"/>
      <c r="C168" s="29"/>
      <c r="D168" s="29"/>
      <c r="E168" s="20"/>
      <c r="F168" s="20"/>
      <c r="G168" s="22">
        <f>IF(E168="","",E168-N(F168))</f>
      </c>
      <c r="H168" s="33">
        <f>IF(OR(D168="",G168=""),"",IF(G168&lt;=0,0,MAX(0,$C$4-D168)))</f>
      </c>
      <c r="I168" s="34">
        <f>IF(H168="","",IF(G168&lt;=0,"Received",IF(H168=0,"On schedule",IF(H168&lt;=30,"1-30 days",IF(H168&lt;=60,"31-60 days",IF(H168&lt;=90,"61-90 days","90+ days"))))))</f>
      </c>
      <c r="J168" s="35"/>
      <c r="K168" s="34">
        <f>IF(A168="","",IF(G168&lt;=0,"Complete",IF(H168&gt;0,"Chase vendor",IF(D168-$C$4&lt;=7,"Due soon","Open"))))</f>
      </c>
    </row>
    <row r="169" spans="1:11" x14ac:dyDescent="0.25">
      <c r="A169" s="7"/>
      <c r="B169" s="7"/>
      <c r="C169" s="29"/>
      <c r="D169" s="29"/>
      <c r="E169" s="20"/>
      <c r="F169" s="20"/>
      <c r="G169" s="21">
        <f>IF(E169="","",E169-N(F169))</f>
      </c>
      <c r="H169" s="30">
        <f>IF(OR(D169="",G169=""),"",IF(G169&lt;=0,0,MAX(0,$C$4-D169)))</f>
      </c>
      <c r="I169" s="31">
        <f>IF(H169="","",IF(G169&lt;=0,"Received",IF(H169=0,"On schedule",IF(H169&lt;=30,"1-30 days",IF(H169&lt;=60,"31-60 days",IF(H169&lt;=90,"61-90 days","90+ days"))))))</f>
      </c>
      <c r="J169" s="32"/>
      <c r="K169" s="31">
        <f>IF(A169="","",IF(G169&lt;=0,"Complete",IF(H169&gt;0,"Chase vendor",IF(D169-$C$4&lt;=7,"Due soon","Open"))))</f>
      </c>
    </row>
    <row r="170" spans="1:11" x14ac:dyDescent="0.25">
      <c r="A170" s="7"/>
      <c r="B170" s="7"/>
      <c r="C170" s="29"/>
      <c r="D170" s="29"/>
      <c r="E170" s="20"/>
      <c r="F170" s="20"/>
      <c r="G170" s="22">
        <f>IF(E170="","",E170-N(F170))</f>
      </c>
      <c r="H170" s="33">
        <f>IF(OR(D170="",G170=""),"",IF(G170&lt;=0,0,MAX(0,$C$4-D170)))</f>
      </c>
      <c r="I170" s="34">
        <f>IF(H170="","",IF(G170&lt;=0,"Received",IF(H170=0,"On schedule",IF(H170&lt;=30,"1-30 days",IF(H170&lt;=60,"31-60 days",IF(H170&lt;=90,"61-90 days","90+ days"))))))</f>
      </c>
      <c r="J170" s="35"/>
      <c r="K170" s="34">
        <f>IF(A170="","",IF(G170&lt;=0,"Complete",IF(H170&gt;0,"Chase vendor",IF(D170-$C$4&lt;=7,"Due soon","Open"))))</f>
      </c>
    </row>
    <row r="171" spans="1:11" x14ac:dyDescent="0.25">
      <c r="A171" s="7"/>
      <c r="B171" s="7"/>
      <c r="C171" s="29"/>
      <c r="D171" s="29"/>
      <c r="E171" s="20"/>
      <c r="F171" s="20"/>
      <c r="G171" s="21">
        <f>IF(E171="","",E171-N(F171))</f>
      </c>
      <c r="H171" s="30">
        <f>IF(OR(D171="",G171=""),"",IF(G171&lt;=0,0,MAX(0,$C$4-D171)))</f>
      </c>
      <c r="I171" s="31">
        <f>IF(H171="","",IF(G171&lt;=0,"Received",IF(H171=0,"On schedule",IF(H171&lt;=30,"1-30 days",IF(H171&lt;=60,"31-60 days",IF(H171&lt;=90,"61-90 days","90+ days"))))))</f>
      </c>
      <c r="J171" s="32"/>
      <c r="K171" s="31">
        <f>IF(A171="","",IF(G171&lt;=0,"Complete",IF(H171&gt;0,"Chase vendor",IF(D171-$C$4&lt;=7,"Due soon","Open"))))</f>
      </c>
    </row>
    <row r="172" spans="1:11" x14ac:dyDescent="0.25">
      <c r="A172" s="7"/>
      <c r="B172" s="7"/>
      <c r="C172" s="29"/>
      <c r="D172" s="29"/>
      <c r="E172" s="20"/>
      <c r="F172" s="20"/>
      <c r="G172" s="22">
        <f>IF(E172="","",E172-N(F172))</f>
      </c>
      <c r="H172" s="33">
        <f>IF(OR(D172="",G172=""),"",IF(G172&lt;=0,0,MAX(0,$C$4-D172)))</f>
      </c>
      <c r="I172" s="34">
        <f>IF(H172="","",IF(G172&lt;=0,"Received",IF(H172=0,"On schedule",IF(H172&lt;=30,"1-30 days",IF(H172&lt;=60,"31-60 days",IF(H172&lt;=90,"61-90 days","90+ days"))))))</f>
      </c>
      <c r="J172" s="35"/>
      <c r="K172" s="34">
        <f>IF(A172="","",IF(G172&lt;=0,"Complete",IF(H172&gt;0,"Chase vendor",IF(D172-$C$4&lt;=7,"Due soon","Open"))))</f>
      </c>
    </row>
    <row r="173" spans="1:11" x14ac:dyDescent="0.25">
      <c r="A173" s="7"/>
      <c r="B173" s="7"/>
      <c r="C173" s="29"/>
      <c r="D173" s="29"/>
      <c r="E173" s="20"/>
      <c r="F173" s="20"/>
      <c r="G173" s="21">
        <f>IF(E173="","",E173-N(F173))</f>
      </c>
      <c r="H173" s="30">
        <f>IF(OR(D173="",G173=""),"",IF(G173&lt;=0,0,MAX(0,$C$4-D173)))</f>
      </c>
      <c r="I173" s="31">
        <f>IF(H173="","",IF(G173&lt;=0,"Received",IF(H173=0,"On schedule",IF(H173&lt;=30,"1-30 days",IF(H173&lt;=60,"31-60 days",IF(H173&lt;=90,"61-90 days","90+ days"))))))</f>
      </c>
      <c r="J173" s="32"/>
      <c r="K173" s="31">
        <f>IF(A173="","",IF(G173&lt;=0,"Complete",IF(H173&gt;0,"Chase vendor",IF(D173-$C$4&lt;=7,"Due soon","Open"))))</f>
      </c>
    </row>
    <row r="174" spans="1:11" x14ac:dyDescent="0.25">
      <c r="A174" s="7"/>
      <c r="B174" s="7"/>
      <c r="C174" s="29"/>
      <c r="D174" s="29"/>
      <c r="E174" s="20"/>
      <c r="F174" s="20"/>
      <c r="G174" s="22">
        <f>IF(E174="","",E174-N(F174))</f>
      </c>
      <c r="H174" s="33">
        <f>IF(OR(D174="",G174=""),"",IF(G174&lt;=0,0,MAX(0,$C$4-D174)))</f>
      </c>
      <c r="I174" s="34">
        <f>IF(H174="","",IF(G174&lt;=0,"Received",IF(H174=0,"On schedule",IF(H174&lt;=30,"1-30 days",IF(H174&lt;=60,"31-60 days",IF(H174&lt;=90,"61-90 days","90+ days"))))))</f>
      </c>
      <c r="J174" s="35"/>
      <c r="K174" s="34">
        <f>IF(A174="","",IF(G174&lt;=0,"Complete",IF(H174&gt;0,"Chase vendor",IF(D174-$C$4&lt;=7,"Due soon","Open"))))</f>
      </c>
    </row>
    <row r="175" spans="1:11" x14ac:dyDescent="0.25">
      <c r="A175" s="7"/>
      <c r="B175" s="7"/>
      <c r="C175" s="29"/>
      <c r="D175" s="29"/>
      <c r="E175" s="20"/>
      <c r="F175" s="20"/>
      <c r="G175" s="21">
        <f>IF(E175="","",E175-N(F175))</f>
      </c>
      <c r="H175" s="30">
        <f>IF(OR(D175="",G175=""),"",IF(G175&lt;=0,0,MAX(0,$C$4-D175)))</f>
      </c>
      <c r="I175" s="31">
        <f>IF(H175="","",IF(G175&lt;=0,"Received",IF(H175=0,"On schedule",IF(H175&lt;=30,"1-30 days",IF(H175&lt;=60,"31-60 days",IF(H175&lt;=90,"61-90 days","90+ days"))))))</f>
      </c>
      <c r="J175" s="32"/>
      <c r="K175" s="31">
        <f>IF(A175="","",IF(G175&lt;=0,"Complete",IF(H175&gt;0,"Chase vendor",IF(D175-$C$4&lt;=7,"Due soon","Open"))))</f>
      </c>
    </row>
    <row r="176" spans="1:11" x14ac:dyDescent="0.25">
      <c r="A176" s="7"/>
      <c r="B176" s="7"/>
      <c r="C176" s="29"/>
      <c r="D176" s="29"/>
      <c r="E176" s="20"/>
      <c r="F176" s="20"/>
      <c r="G176" s="22">
        <f>IF(E176="","",E176-N(F176))</f>
      </c>
      <c r="H176" s="33">
        <f>IF(OR(D176="",G176=""),"",IF(G176&lt;=0,0,MAX(0,$C$4-D176)))</f>
      </c>
      <c r="I176" s="34">
        <f>IF(H176="","",IF(G176&lt;=0,"Received",IF(H176=0,"On schedule",IF(H176&lt;=30,"1-30 days",IF(H176&lt;=60,"31-60 days",IF(H176&lt;=90,"61-90 days","90+ days"))))))</f>
      </c>
      <c r="J176" s="35"/>
      <c r="K176" s="34">
        <f>IF(A176="","",IF(G176&lt;=0,"Complete",IF(H176&gt;0,"Chase vendor",IF(D176-$C$4&lt;=7,"Due soon","Open"))))</f>
      </c>
    </row>
    <row r="177" spans="1:11" x14ac:dyDescent="0.25">
      <c r="A177" s="7"/>
      <c r="B177" s="7"/>
      <c r="C177" s="29"/>
      <c r="D177" s="29"/>
      <c r="E177" s="20"/>
      <c r="F177" s="20"/>
      <c r="G177" s="21">
        <f>IF(E177="","",E177-N(F177))</f>
      </c>
      <c r="H177" s="30">
        <f>IF(OR(D177="",G177=""),"",IF(G177&lt;=0,0,MAX(0,$C$4-D177)))</f>
      </c>
      <c r="I177" s="31">
        <f>IF(H177="","",IF(G177&lt;=0,"Received",IF(H177=0,"On schedule",IF(H177&lt;=30,"1-30 days",IF(H177&lt;=60,"31-60 days",IF(H177&lt;=90,"61-90 days","90+ days"))))))</f>
      </c>
      <c r="J177" s="32"/>
      <c r="K177" s="31">
        <f>IF(A177="","",IF(G177&lt;=0,"Complete",IF(H177&gt;0,"Chase vendor",IF(D177-$C$4&lt;=7,"Due soon","Open"))))</f>
      </c>
    </row>
    <row r="178" spans="1:11" x14ac:dyDescent="0.25">
      <c r="A178" s="7"/>
      <c r="B178" s="7"/>
      <c r="C178" s="29"/>
      <c r="D178" s="29"/>
      <c r="E178" s="20"/>
      <c r="F178" s="20"/>
      <c r="G178" s="22">
        <f>IF(E178="","",E178-N(F178))</f>
      </c>
      <c r="H178" s="33">
        <f>IF(OR(D178="",G178=""),"",IF(G178&lt;=0,0,MAX(0,$C$4-D178)))</f>
      </c>
      <c r="I178" s="34">
        <f>IF(H178="","",IF(G178&lt;=0,"Received",IF(H178=0,"On schedule",IF(H178&lt;=30,"1-30 days",IF(H178&lt;=60,"31-60 days",IF(H178&lt;=90,"61-90 days","90+ days"))))))</f>
      </c>
      <c r="J178" s="35"/>
      <c r="K178" s="34">
        <f>IF(A178="","",IF(G178&lt;=0,"Complete",IF(H178&gt;0,"Chase vendor",IF(D178-$C$4&lt;=7,"Due soon","Open"))))</f>
      </c>
    </row>
    <row r="179" spans="1:11" x14ac:dyDescent="0.25">
      <c r="A179" s="7"/>
      <c r="B179" s="7"/>
      <c r="C179" s="29"/>
      <c r="D179" s="29"/>
      <c r="E179" s="20"/>
      <c r="F179" s="20"/>
      <c r="G179" s="21">
        <f>IF(E179="","",E179-N(F179))</f>
      </c>
      <c r="H179" s="30">
        <f>IF(OR(D179="",G179=""),"",IF(G179&lt;=0,0,MAX(0,$C$4-D179)))</f>
      </c>
      <c r="I179" s="31">
        <f>IF(H179="","",IF(G179&lt;=0,"Received",IF(H179=0,"On schedule",IF(H179&lt;=30,"1-30 days",IF(H179&lt;=60,"31-60 days",IF(H179&lt;=90,"61-90 days","90+ days"))))))</f>
      </c>
      <c r="J179" s="32"/>
      <c r="K179" s="31">
        <f>IF(A179="","",IF(G179&lt;=0,"Complete",IF(H179&gt;0,"Chase vendor",IF(D179-$C$4&lt;=7,"Due soon","Open"))))</f>
      </c>
    </row>
    <row r="180" spans="1:11" x14ac:dyDescent="0.25">
      <c r="A180" s="7"/>
      <c r="B180" s="7"/>
      <c r="C180" s="29"/>
      <c r="D180" s="29"/>
      <c r="E180" s="20"/>
      <c r="F180" s="20"/>
      <c r="G180" s="22">
        <f>IF(E180="","",E180-N(F180))</f>
      </c>
      <c r="H180" s="33">
        <f>IF(OR(D180="",G180=""),"",IF(G180&lt;=0,0,MAX(0,$C$4-D180)))</f>
      </c>
      <c r="I180" s="34">
        <f>IF(H180="","",IF(G180&lt;=0,"Received",IF(H180=0,"On schedule",IF(H180&lt;=30,"1-30 days",IF(H180&lt;=60,"31-60 days",IF(H180&lt;=90,"61-90 days","90+ days"))))))</f>
      </c>
      <c r="J180" s="35"/>
      <c r="K180" s="34">
        <f>IF(A180="","",IF(G180&lt;=0,"Complete",IF(H180&gt;0,"Chase vendor",IF(D180-$C$4&lt;=7,"Due soon","Open"))))</f>
      </c>
    </row>
    <row r="181" spans="1:11" x14ac:dyDescent="0.25">
      <c r="A181" s="7"/>
      <c r="B181" s="7"/>
      <c r="C181" s="29"/>
      <c r="D181" s="29"/>
      <c r="E181" s="20"/>
      <c r="F181" s="20"/>
      <c r="G181" s="21">
        <f>IF(E181="","",E181-N(F181))</f>
      </c>
      <c r="H181" s="30">
        <f>IF(OR(D181="",G181=""),"",IF(G181&lt;=0,0,MAX(0,$C$4-D181)))</f>
      </c>
      <c r="I181" s="31">
        <f>IF(H181="","",IF(G181&lt;=0,"Received",IF(H181=0,"On schedule",IF(H181&lt;=30,"1-30 days",IF(H181&lt;=60,"31-60 days",IF(H181&lt;=90,"61-90 days","90+ days"))))))</f>
      </c>
      <c r="J181" s="32"/>
      <c r="K181" s="31">
        <f>IF(A181="","",IF(G181&lt;=0,"Complete",IF(H181&gt;0,"Chase vendor",IF(D181-$C$4&lt;=7,"Due soon","Open"))))</f>
      </c>
    </row>
    <row r="182" spans="1:11" x14ac:dyDescent="0.25">
      <c r="A182" s="7"/>
      <c r="B182" s="7"/>
      <c r="C182" s="29"/>
      <c r="D182" s="29"/>
      <c r="E182" s="20"/>
      <c r="F182" s="20"/>
      <c r="G182" s="22">
        <f>IF(E182="","",E182-N(F182))</f>
      </c>
      <c r="H182" s="33">
        <f>IF(OR(D182="",G182=""),"",IF(G182&lt;=0,0,MAX(0,$C$4-D182)))</f>
      </c>
      <c r="I182" s="34">
        <f>IF(H182="","",IF(G182&lt;=0,"Received",IF(H182=0,"On schedule",IF(H182&lt;=30,"1-30 days",IF(H182&lt;=60,"31-60 days",IF(H182&lt;=90,"61-90 days","90+ days"))))))</f>
      </c>
      <c r="J182" s="35"/>
      <c r="K182" s="34">
        <f>IF(A182="","",IF(G182&lt;=0,"Complete",IF(H182&gt;0,"Chase vendor",IF(D182-$C$4&lt;=7,"Due soon","Open"))))</f>
      </c>
    </row>
    <row r="183" spans="1:11" x14ac:dyDescent="0.25">
      <c r="A183" s="7"/>
      <c r="B183" s="7"/>
      <c r="C183" s="29"/>
      <c r="D183" s="29"/>
      <c r="E183" s="20"/>
      <c r="F183" s="20"/>
      <c r="G183" s="21">
        <f>IF(E183="","",E183-N(F183))</f>
      </c>
      <c r="H183" s="30">
        <f>IF(OR(D183="",G183=""),"",IF(G183&lt;=0,0,MAX(0,$C$4-D183)))</f>
      </c>
      <c r="I183" s="31">
        <f>IF(H183="","",IF(G183&lt;=0,"Received",IF(H183=0,"On schedule",IF(H183&lt;=30,"1-30 days",IF(H183&lt;=60,"31-60 days",IF(H183&lt;=90,"61-90 days","90+ days"))))))</f>
      </c>
      <c r="J183" s="32"/>
      <c r="K183" s="31">
        <f>IF(A183="","",IF(G183&lt;=0,"Complete",IF(H183&gt;0,"Chase vendor",IF(D183-$C$4&lt;=7,"Due soon","Open"))))</f>
      </c>
    </row>
    <row r="184" spans="1:11" x14ac:dyDescent="0.25">
      <c r="A184" s="7"/>
      <c r="B184" s="7"/>
      <c r="C184" s="29"/>
      <c r="D184" s="29"/>
      <c r="E184" s="20"/>
      <c r="F184" s="20"/>
      <c r="G184" s="22">
        <f>IF(E184="","",E184-N(F184))</f>
      </c>
      <c r="H184" s="33">
        <f>IF(OR(D184="",G184=""),"",IF(G184&lt;=0,0,MAX(0,$C$4-D184)))</f>
      </c>
      <c r="I184" s="34">
        <f>IF(H184="","",IF(G184&lt;=0,"Received",IF(H184=0,"On schedule",IF(H184&lt;=30,"1-30 days",IF(H184&lt;=60,"31-60 days",IF(H184&lt;=90,"61-90 days","90+ days"))))))</f>
      </c>
      <c r="J184" s="35"/>
      <c r="K184" s="34">
        <f>IF(A184="","",IF(G184&lt;=0,"Complete",IF(H184&gt;0,"Chase vendor",IF(D184-$C$4&lt;=7,"Due soon","Open"))))</f>
      </c>
    </row>
    <row r="185" spans="1:11" x14ac:dyDescent="0.25">
      <c r="A185" s="7"/>
      <c r="B185" s="7"/>
      <c r="C185" s="29"/>
      <c r="D185" s="29"/>
      <c r="E185" s="20"/>
      <c r="F185" s="20"/>
      <c r="G185" s="21">
        <f>IF(E185="","",E185-N(F185))</f>
      </c>
      <c r="H185" s="30">
        <f>IF(OR(D185="",G185=""),"",IF(G185&lt;=0,0,MAX(0,$C$4-D185)))</f>
      </c>
      <c r="I185" s="31">
        <f>IF(H185="","",IF(G185&lt;=0,"Received",IF(H185=0,"On schedule",IF(H185&lt;=30,"1-30 days",IF(H185&lt;=60,"31-60 days",IF(H185&lt;=90,"61-90 days","90+ days"))))))</f>
      </c>
      <c r="J185" s="32"/>
      <c r="K185" s="31">
        <f>IF(A185="","",IF(G185&lt;=0,"Complete",IF(H185&gt;0,"Chase vendor",IF(D185-$C$4&lt;=7,"Due soon","Open"))))</f>
      </c>
    </row>
    <row r="186" spans="1:11" x14ac:dyDescent="0.25">
      <c r="A186" s="7"/>
      <c r="B186" s="7"/>
      <c r="C186" s="29"/>
      <c r="D186" s="29"/>
      <c r="E186" s="20"/>
      <c r="F186" s="20"/>
      <c r="G186" s="22">
        <f>IF(E186="","",E186-N(F186))</f>
      </c>
      <c r="H186" s="33">
        <f>IF(OR(D186="",G186=""),"",IF(G186&lt;=0,0,MAX(0,$C$4-D186)))</f>
      </c>
      <c r="I186" s="34">
        <f>IF(H186="","",IF(G186&lt;=0,"Received",IF(H186=0,"On schedule",IF(H186&lt;=30,"1-30 days",IF(H186&lt;=60,"31-60 days",IF(H186&lt;=90,"61-90 days","90+ days"))))))</f>
      </c>
      <c r="J186" s="35"/>
      <c r="K186" s="34">
        <f>IF(A186="","",IF(G186&lt;=0,"Complete",IF(H186&gt;0,"Chase vendor",IF(D186-$C$4&lt;=7,"Due soon","Open"))))</f>
      </c>
    </row>
    <row r="187" spans="1:11" x14ac:dyDescent="0.25">
      <c r="A187" s="7"/>
      <c r="B187" s="7"/>
      <c r="C187" s="29"/>
      <c r="D187" s="29"/>
      <c r="E187" s="20"/>
      <c r="F187" s="20"/>
      <c r="G187" s="21">
        <f>IF(E187="","",E187-N(F187))</f>
      </c>
      <c r="H187" s="30">
        <f>IF(OR(D187="",G187=""),"",IF(G187&lt;=0,0,MAX(0,$C$4-D187)))</f>
      </c>
      <c r="I187" s="31">
        <f>IF(H187="","",IF(G187&lt;=0,"Received",IF(H187=0,"On schedule",IF(H187&lt;=30,"1-30 days",IF(H187&lt;=60,"31-60 days",IF(H187&lt;=90,"61-90 days","90+ days"))))))</f>
      </c>
      <c r="J187" s="32"/>
      <c r="K187" s="31">
        <f>IF(A187="","",IF(G187&lt;=0,"Complete",IF(H187&gt;0,"Chase vendor",IF(D187-$C$4&lt;=7,"Due soon","Open"))))</f>
      </c>
    </row>
    <row r="188" spans="1:11" x14ac:dyDescent="0.25">
      <c r="A188" s="7"/>
      <c r="B188" s="7"/>
      <c r="C188" s="29"/>
      <c r="D188" s="29"/>
      <c r="E188" s="20"/>
      <c r="F188" s="20"/>
      <c r="G188" s="22">
        <f>IF(E188="","",E188-N(F188))</f>
      </c>
      <c r="H188" s="33">
        <f>IF(OR(D188="",G188=""),"",IF(G188&lt;=0,0,MAX(0,$C$4-D188)))</f>
      </c>
      <c r="I188" s="34">
        <f>IF(H188="","",IF(G188&lt;=0,"Received",IF(H188=0,"On schedule",IF(H188&lt;=30,"1-30 days",IF(H188&lt;=60,"31-60 days",IF(H188&lt;=90,"61-90 days","90+ days"))))))</f>
      </c>
      <c r="J188" s="35"/>
      <c r="K188" s="34">
        <f>IF(A188="","",IF(G188&lt;=0,"Complete",IF(H188&gt;0,"Chase vendor",IF(D188-$C$4&lt;=7,"Due soon","Open"))))</f>
      </c>
    </row>
    <row r="189" spans="1:11" x14ac:dyDescent="0.25">
      <c r="A189" s="7"/>
      <c r="B189" s="7"/>
      <c r="C189" s="29"/>
      <c r="D189" s="29"/>
      <c r="E189" s="20"/>
      <c r="F189" s="20"/>
      <c r="G189" s="21">
        <f>IF(E189="","",E189-N(F189))</f>
      </c>
      <c r="H189" s="30">
        <f>IF(OR(D189="",G189=""),"",IF(G189&lt;=0,0,MAX(0,$C$4-D189)))</f>
      </c>
      <c r="I189" s="31">
        <f>IF(H189="","",IF(G189&lt;=0,"Received",IF(H189=0,"On schedule",IF(H189&lt;=30,"1-30 days",IF(H189&lt;=60,"31-60 days",IF(H189&lt;=90,"61-90 days","90+ days"))))))</f>
      </c>
      <c r="J189" s="32"/>
      <c r="K189" s="31">
        <f>IF(A189="","",IF(G189&lt;=0,"Complete",IF(H189&gt;0,"Chase vendor",IF(D189-$C$4&lt;=7,"Due soon","Open"))))</f>
      </c>
    </row>
    <row r="190" spans="1:11" x14ac:dyDescent="0.25">
      <c r="A190" s="7"/>
      <c r="B190" s="7"/>
      <c r="C190" s="29"/>
      <c r="D190" s="29"/>
      <c r="E190" s="20"/>
      <c r="F190" s="20"/>
      <c r="G190" s="22">
        <f>IF(E190="","",E190-N(F190))</f>
      </c>
      <c r="H190" s="33">
        <f>IF(OR(D190="",G190=""),"",IF(G190&lt;=0,0,MAX(0,$C$4-D190)))</f>
      </c>
      <c r="I190" s="34">
        <f>IF(H190="","",IF(G190&lt;=0,"Received",IF(H190=0,"On schedule",IF(H190&lt;=30,"1-30 days",IF(H190&lt;=60,"31-60 days",IF(H190&lt;=90,"61-90 days","90+ days"))))))</f>
      </c>
      <c r="J190" s="35"/>
      <c r="K190" s="34">
        <f>IF(A190="","",IF(G190&lt;=0,"Complete",IF(H190&gt;0,"Chase vendor",IF(D190-$C$4&lt;=7,"Due soon","Open"))))</f>
      </c>
    </row>
    <row r="191" spans="1:11" x14ac:dyDescent="0.25">
      <c r="A191" s="7"/>
      <c r="B191" s="7"/>
      <c r="C191" s="29"/>
      <c r="D191" s="29"/>
      <c r="E191" s="20"/>
      <c r="F191" s="20"/>
      <c r="G191" s="21">
        <f>IF(E191="","",E191-N(F191))</f>
      </c>
      <c r="H191" s="30">
        <f>IF(OR(D191="",G191=""),"",IF(G191&lt;=0,0,MAX(0,$C$4-D191)))</f>
      </c>
      <c r="I191" s="31">
        <f>IF(H191="","",IF(G191&lt;=0,"Received",IF(H191=0,"On schedule",IF(H191&lt;=30,"1-30 days",IF(H191&lt;=60,"31-60 days",IF(H191&lt;=90,"61-90 days","90+ days"))))))</f>
      </c>
      <c r="J191" s="32"/>
      <c r="K191" s="31">
        <f>IF(A191="","",IF(G191&lt;=0,"Complete",IF(H191&gt;0,"Chase vendor",IF(D191-$C$4&lt;=7,"Due soon","Open"))))</f>
      </c>
    </row>
    <row r="192" spans="1:11" x14ac:dyDescent="0.25">
      <c r="A192" s="7"/>
      <c r="B192" s="7"/>
      <c r="C192" s="29"/>
      <c r="D192" s="29"/>
      <c r="E192" s="20"/>
      <c r="F192" s="20"/>
      <c r="G192" s="22">
        <f>IF(E192="","",E192-N(F192))</f>
      </c>
      <c r="H192" s="33">
        <f>IF(OR(D192="",G192=""),"",IF(G192&lt;=0,0,MAX(0,$C$4-D192)))</f>
      </c>
      <c r="I192" s="34">
        <f>IF(H192="","",IF(G192&lt;=0,"Received",IF(H192=0,"On schedule",IF(H192&lt;=30,"1-30 days",IF(H192&lt;=60,"31-60 days",IF(H192&lt;=90,"61-90 days","90+ days"))))))</f>
      </c>
      <c r="J192" s="35"/>
      <c r="K192" s="34">
        <f>IF(A192="","",IF(G192&lt;=0,"Complete",IF(H192&gt;0,"Chase vendor",IF(D192-$C$4&lt;=7,"Due soon","Open"))))</f>
      </c>
    </row>
    <row r="193" spans="1:11" x14ac:dyDescent="0.25">
      <c r="A193" s="7"/>
      <c r="B193" s="7"/>
      <c r="C193" s="29"/>
      <c r="D193" s="29"/>
      <c r="E193" s="20"/>
      <c r="F193" s="20"/>
      <c r="G193" s="21">
        <f>IF(E193="","",E193-N(F193))</f>
      </c>
      <c r="H193" s="30">
        <f>IF(OR(D193="",G193=""),"",IF(G193&lt;=0,0,MAX(0,$C$4-D193)))</f>
      </c>
      <c r="I193" s="31">
        <f>IF(H193="","",IF(G193&lt;=0,"Received",IF(H193=0,"On schedule",IF(H193&lt;=30,"1-30 days",IF(H193&lt;=60,"31-60 days",IF(H193&lt;=90,"61-90 days","90+ days"))))))</f>
      </c>
      <c r="J193" s="32"/>
      <c r="K193" s="31">
        <f>IF(A193="","",IF(G193&lt;=0,"Complete",IF(H193&gt;0,"Chase vendor",IF(D193-$C$4&lt;=7,"Due soon","Open"))))</f>
      </c>
    </row>
    <row r="194" spans="1:11" x14ac:dyDescent="0.25">
      <c r="A194" s="7"/>
      <c r="B194" s="7"/>
      <c r="C194" s="29"/>
      <c r="D194" s="29"/>
      <c r="E194" s="20"/>
      <c r="F194" s="20"/>
      <c r="G194" s="22">
        <f>IF(E194="","",E194-N(F194))</f>
      </c>
      <c r="H194" s="33">
        <f>IF(OR(D194="",G194=""),"",IF(G194&lt;=0,0,MAX(0,$C$4-D194)))</f>
      </c>
      <c r="I194" s="34">
        <f>IF(H194="","",IF(G194&lt;=0,"Received",IF(H194=0,"On schedule",IF(H194&lt;=30,"1-30 days",IF(H194&lt;=60,"31-60 days",IF(H194&lt;=90,"61-90 days","90+ days"))))))</f>
      </c>
      <c r="J194" s="35"/>
      <c r="K194" s="34">
        <f>IF(A194="","",IF(G194&lt;=0,"Complete",IF(H194&gt;0,"Chase vendor",IF(D194-$C$4&lt;=7,"Due soon","Open"))))</f>
      </c>
    </row>
    <row r="195" spans="1:11" x14ac:dyDescent="0.25">
      <c r="A195" s="7"/>
      <c r="B195" s="7"/>
      <c r="C195" s="29"/>
      <c r="D195" s="29"/>
      <c r="E195" s="20"/>
      <c r="F195" s="20"/>
      <c r="G195" s="21">
        <f>IF(E195="","",E195-N(F195))</f>
      </c>
      <c r="H195" s="30">
        <f>IF(OR(D195="",G195=""),"",IF(G195&lt;=0,0,MAX(0,$C$4-D195)))</f>
      </c>
      <c r="I195" s="31">
        <f>IF(H195="","",IF(G195&lt;=0,"Received",IF(H195=0,"On schedule",IF(H195&lt;=30,"1-30 days",IF(H195&lt;=60,"31-60 days",IF(H195&lt;=90,"61-90 days","90+ days"))))))</f>
      </c>
      <c r="J195" s="32"/>
      <c r="K195" s="31">
        <f>IF(A195="","",IF(G195&lt;=0,"Complete",IF(H195&gt;0,"Chase vendor",IF(D195-$C$4&lt;=7,"Due soon","Open"))))</f>
      </c>
    </row>
    <row r="196" spans="1:11" x14ac:dyDescent="0.25">
      <c r="A196" s="7"/>
      <c r="B196" s="7"/>
      <c r="C196" s="29"/>
      <c r="D196" s="29"/>
      <c r="E196" s="20"/>
      <c r="F196" s="20"/>
      <c r="G196" s="22">
        <f>IF(E196="","",E196-N(F196))</f>
      </c>
      <c r="H196" s="33">
        <f>IF(OR(D196="",G196=""),"",IF(G196&lt;=0,0,MAX(0,$C$4-D196)))</f>
      </c>
      <c r="I196" s="34">
        <f>IF(H196="","",IF(G196&lt;=0,"Received",IF(H196=0,"On schedule",IF(H196&lt;=30,"1-30 days",IF(H196&lt;=60,"31-60 days",IF(H196&lt;=90,"61-90 days","90+ days"))))))</f>
      </c>
      <c r="J196" s="35"/>
      <c r="K196" s="34">
        <f>IF(A196="","",IF(G196&lt;=0,"Complete",IF(H196&gt;0,"Chase vendor",IF(D196-$C$4&lt;=7,"Due soon","Open"))))</f>
      </c>
    </row>
    <row r="197" spans="1:11" x14ac:dyDescent="0.25">
      <c r="A197" s="7"/>
      <c r="B197" s="7"/>
      <c r="C197" s="29"/>
      <c r="D197" s="29"/>
      <c r="E197" s="20"/>
      <c r="F197" s="20"/>
      <c r="G197" s="21">
        <f>IF(E197="","",E197-N(F197))</f>
      </c>
      <c r="H197" s="30">
        <f>IF(OR(D197="",G197=""),"",IF(G197&lt;=0,0,MAX(0,$C$4-D197)))</f>
      </c>
      <c r="I197" s="31">
        <f>IF(H197="","",IF(G197&lt;=0,"Received",IF(H197=0,"On schedule",IF(H197&lt;=30,"1-30 days",IF(H197&lt;=60,"31-60 days",IF(H197&lt;=90,"61-90 days","90+ days"))))))</f>
      </c>
      <c r="J197" s="32"/>
      <c r="K197" s="31">
        <f>IF(A197="","",IF(G197&lt;=0,"Complete",IF(H197&gt;0,"Chase vendor",IF(D197-$C$4&lt;=7,"Due soon","Open"))))</f>
      </c>
    </row>
    <row r="198" spans="1:11" x14ac:dyDescent="0.25">
      <c r="A198" s="7"/>
      <c r="B198" s="7"/>
      <c r="C198" s="29"/>
      <c r="D198" s="29"/>
      <c r="E198" s="20"/>
      <c r="F198" s="20"/>
      <c r="G198" s="22">
        <f>IF(E198="","",E198-N(F198))</f>
      </c>
      <c r="H198" s="33">
        <f>IF(OR(D198="",G198=""),"",IF(G198&lt;=0,0,MAX(0,$C$4-D198)))</f>
      </c>
      <c r="I198" s="34">
        <f>IF(H198="","",IF(G198&lt;=0,"Received",IF(H198=0,"On schedule",IF(H198&lt;=30,"1-30 days",IF(H198&lt;=60,"31-60 days",IF(H198&lt;=90,"61-90 days","90+ days"))))))</f>
      </c>
      <c r="J198" s="35"/>
      <c r="K198" s="34">
        <f>IF(A198="","",IF(G198&lt;=0,"Complete",IF(H198&gt;0,"Chase vendor",IF(D198-$C$4&lt;=7,"Due soon","Open"))))</f>
      </c>
    </row>
    <row r="199" spans="1:11" x14ac:dyDescent="0.25">
      <c r="A199" s="7"/>
      <c r="B199" s="7"/>
      <c r="C199" s="29"/>
      <c r="D199" s="29"/>
      <c r="E199" s="20"/>
      <c r="F199" s="20"/>
      <c r="G199" s="21">
        <f>IF(E199="","",E199-N(F199))</f>
      </c>
      <c r="H199" s="30">
        <f>IF(OR(D199="",G199=""),"",IF(G199&lt;=0,0,MAX(0,$C$4-D199)))</f>
      </c>
      <c r="I199" s="31">
        <f>IF(H199="","",IF(G199&lt;=0,"Received",IF(H199=0,"On schedule",IF(H199&lt;=30,"1-30 days",IF(H199&lt;=60,"31-60 days",IF(H199&lt;=90,"61-90 days","90+ days"))))))</f>
      </c>
      <c r="J199" s="32"/>
      <c r="K199" s="31">
        <f>IF(A199="","",IF(G199&lt;=0,"Complete",IF(H199&gt;0,"Chase vendor",IF(D199-$C$4&lt;=7,"Due soon","Open"))))</f>
      </c>
    </row>
    <row r="200" spans="1:11" x14ac:dyDescent="0.25">
      <c r="A200" s="7"/>
      <c r="B200" s="7"/>
      <c r="C200" s="29"/>
      <c r="D200" s="29"/>
      <c r="E200" s="20"/>
      <c r="F200" s="20"/>
      <c r="G200" s="22">
        <f>IF(E200="","",E200-N(F200))</f>
      </c>
      <c r="H200" s="33">
        <f>IF(OR(D200="",G200=""),"",IF(G200&lt;=0,0,MAX(0,$C$4-D200)))</f>
      </c>
      <c r="I200" s="34">
        <f>IF(H200="","",IF(G200&lt;=0,"Received",IF(H200=0,"On schedule",IF(H200&lt;=30,"1-30 days",IF(H200&lt;=60,"31-60 days",IF(H200&lt;=90,"61-90 days","90+ days"))))))</f>
      </c>
      <c r="J200" s="35"/>
      <c r="K200" s="34">
        <f>IF(A200="","",IF(G200&lt;=0,"Complete",IF(H200&gt;0,"Chase vendor",IF(D200-$C$4&lt;=7,"Due soon","Open"))))</f>
      </c>
    </row>
    <row r="201" spans="1:11" x14ac:dyDescent="0.25">
      <c r="A201" s="7"/>
      <c r="B201" s="7"/>
      <c r="C201" s="29"/>
      <c r="D201" s="29"/>
      <c r="E201" s="20"/>
      <c r="F201" s="20"/>
      <c r="G201" s="21">
        <f>IF(E201="","",E201-N(F201))</f>
      </c>
      <c r="H201" s="30">
        <f>IF(OR(D201="",G201=""),"",IF(G201&lt;=0,0,MAX(0,$C$4-D201)))</f>
      </c>
      <c r="I201" s="31">
        <f>IF(H201="","",IF(G201&lt;=0,"Received",IF(H201=0,"On schedule",IF(H201&lt;=30,"1-30 days",IF(H201&lt;=60,"31-60 days",IF(H201&lt;=90,"61-90 days","90+ days"))))))</f>
      </c>
      <c r="J201" s="32"/>
      <c r="K201" s="31">
        <f>IF(A201="","",IF(G201&lt;=0,"Complete",IF(H201&gt;0,"Chase vendor",IF(D201-$C$4&lt;=7,"Due soon","Open"))))</f>
      </c>
    </row>
    <row r="202" spans="1:11" x14ac:dyDescent="0.25">
      <c r="A202" s="7"/>
      <c r="B202" s="7"/>
      <c r="C202" s="29"/>
      <c r="D202" s="29"/>
      <c r="E202" s="20"/>
      <c r="F202" s="20"/>
      <c r="G202" s="22">
        <f>IF(E202="","",E202-N(F202))</f>
      </c>
      <c r="H202" s="33">
        <f>IF(OR(D202="",G202=""),"",IF(G202&lt;=0,0,MAX(0,$C$4-D202)))</f>
      </c>
      <c r="I202" s="34">
        <f>IF(H202="","",IF(G202&lt;=0,"Received",IF(H202=0,"On schedule",IF(H202&lt;=30,"1-30 days",IF(H202&lt;=60,"31-60 days",IF(H202&lt;=90,"61-90 days","90+ days"))))))</f>
      </c>
      <c r="J202" s="35"/>
      <c r="K202" s="34">
        <f>IF(A202="","",IF(G202&lt;=0,"Complete",IF(H202&gt;0,"Chase vendor",IF(D202-$C$4&lt;=7,"Due soon","Open"))))</f>
      </c>
    </row>
    <row r="203" spans="1:11" x14ac:dyDescent="0.25">
      <c r="A203" s="7"/>
      <c r="B203" s="7"/>
      <c r="C203" s="29"/>
      <c r="D203" s="29"/>
      <c r="E203" s="20"/>
      <c r="F203" s="20"/>
      <c r="G203" s="21">
        <f>IF(E203="","",E203-N(F203))</f>
      </c>
      <c r="H203" s="30">
        <f>IF(OR(D203="",G203=""),"",IF(G203&lt;=0,0,MAX(0,$C$4-D203)))</f>
      </c>
      <c r="I203" s="31">
        <f>IF(H203="","",IF(G203&lt;=0,"Received",IF(H203=0,"On schedule",IF(H203&lt;=30,"1-30 days",IF(H203&lt;=60,"31-60 days",IF(H203&lt;=90,"61-90 days","90+ days"))))))</f>
      </c>
      <c r="J203" s="32"/>
      <c r="K203" s="31">
        <f>IF(A203="","",IF(G203&lt;=0,"Complete",IF(H203&gt;0,"Chase vendor",IF(D203-$C$4&lt;=7,"Due soon","Open"))))</f>
      </c>
    </row>
    <row r="204" spans="1:11" x14ac:dyDescent="0.25">
      <c r="A204" s="7"/>
      <c r="B204" s="7"/>
      <c r="C204" s="29"/>
      <c r="D204" s="29"/>
      <c r="E204" s="20"/>
      <c r="F204" s="20"/>
      <c r="G204" s="22">
        <f>IF(E204="","",E204-N(F204))</f>
      </c>
      <c r="H204" s="33">
        <f>IF(OR(D204="",G204=""),"",IF(G204&lt;=0,0,MAX(0,$C$4-D204)))</f>
      </c>
      <c r="I204" s="34">
        <f>IF(H204="","",IF(G204&lt;=0,"Received",IF(H204=0,"On schedule",IF(H204&lt;=30,"1-30 days",IF(H204&lt;=60,"31-60 days",IF(H204&lt;=90,"61-90 days","90+ days"))))))</f>
      </c>
      <c r="J204" s="35"/>
      <c r="K204" s="34">
        <f>IF(A204="","",IF(G204&lt;=0,"Complete",IF(H204&gt;0,"Chase vendor",IF(D204-$C$4&lt;=7,"Due soon","Open"))))</f>
      </c>
    </row>
    <row r="205" spans="1:11" x14ac:dyDescent="0.25">
      <c r="A205" s="7"/>
      <c r="B205" s="7"/>
      <c r="C205" s="29"/>
      <c r="D205" s="29"/>
      <c r="E205" s="20"/>
      <c r="F205" s="20"/>
      <c r="G205" s="21">
        <f>IF(E205="","",E205-N(F205))</f>
      </c>
      <c r="H205" s="30">
        <f>IF(OR(D205="",G205=""),"",IF(G205&lt;=0,0,MAX(0,$C$4-D205)))</f>
      </c>
      <c r="I205" s="31">
        <f>IF(H205="","",IF(G205&lt;=0,"Received",IF(H205=0,"On schedule",IF(H205&lt;=30,"1-30 days",IF(H205&lt;=60,"31-60 days",IF(H205&lt;=90,"61-90 days","90+ days"))))))</f>
      </c>
      <c r="J205" s="32"/>
      <c r="K205" s="31">
        <f>IF(A205="","",IF(G205&lt;=0,"Complete",IF(H205&gt;0,"Chase vendor",IF(D205-$C$4&lt;=7,"Due soon","Open"))))</f>
      </c>
    </row>
    <row r="206" spans="1:11" x14ac:dyDescent="0.25">
      <c r="A206" s="7"/>
      <c r="B206" s="7"/>
      <c r="C206" s="29"/>
      <c r="D206" s="29"/>
      <c r="E206" s="20"/>
      <c r="F206" s="20"/>
      <c r="G206" s="22">
        <f>IF(E206="","",E206-N(F206))</f>
      </c>
      <c r="H206" s="33">
        <f>IF(OR(D206="",G206=""),"",IF(G206&lt;=0,0,MAX(0,$C$4-D206)))</f>
      </c>
      <c r="I206" s="34">
        <f>IF(H206="","",IF(G206&lt;=0,"Received",IF(H206=0,"On schedule",IF(H206&lt;=30,"1-30 days",IF(H206&lt;=60,"31-60 days",IF(H206&lt;=90,"61-90 days","90+ days"))))))</f>
      </c>
      <c r="J206" s="35"/>
      <c r="K206" s="34">
        <f>IF(A206="","",IF(G206&lt;=0,"Complete",IF(H206&gt;0,"Chase vendor",IF(D206-$C$4&lt;=7,"Due soon","Open"))))</f>
      </c>
    </row>
  </sheetData>
  <autoFilter ref="A6:I6"/>
  <conditionalFormatting sqref="K7:K206">
    <cfRule type="cellIs" dxfId="0" priority="1" operator="equal">
      <formula>"Chase vendor"</formula>
    </cfRule>
    <cfRule type="cellIs" dxfId="1" priority="2" operator="equal">
      <formula>"Complete"</formula>
    </cfRule>
  </conditionalFormatting>
  <printOptions horizontalCentered="1"/>
  <pageMargins left="0.4" right="0.4" top="0.6" bottom="0.6" header="0.3" footer="0.3"/>
  <pageSetup paperSize="1" orientation="portrait" fitToWidth="1" fitToHeight="0"/>
  <headerFooter>
    <oddFooter>&amp;L&amp;9Explore Excel&amp;R&amp;9Page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6E4D9"/>
    <pageSetUpPr fitToPage="1"/>
  </sheetPr>
  <dimension ref="A1:E22"/>
  <sheetViews>
    <sheetView workbookViewId="0" showGridLines="0" zoomScale="100"/>
  </sheetViews>
  <sheetFormatPr defaultRowHeight="15" outlineLevelRow="0" outlineLevelCol="0" x14ac:dyDescent="55"/>
  <cols>
    <col min="1" max="1" width="26" customWidth="1"/>
    <col min="2" max="2" width="14" customWidth="1"/>
    <col min="3" max="3" width="16" customWidth="1"/>
    <col min="4" max="4" width="14" customWidth="1"/>
    <col min="5" max="5" width="44" customWidth="1"/>
  </cols>
  <sheetData>
    <row r="1" ht="25.5" customHeight="1" spans="1:5" x14ac:dyDescent="0.25">
      <c r="A1" s="1" t="s">
        <v>87</v>
      </c>
      <c r="B1" s="1"/>
      <c r="C1" s="1"/>
      <c r="D1" s="1"/>
      <c r="E1" s="1"/>
    </row>
    <row r="2" ht="15" customHeight="1" spans="1:5" x14ac:dyDescent="0.25">
      <c r="A2" s="2" t="s">
        <v>88</v>
      </c>
      <c r="B2" s="2"/>
      <c r="C2" s="2"/>
      <c r="D2" s="2"/>
      <c r="E2" s="2"/>
    </row>
    <row r="4" ht="15" customHeight="1" spans="1:1" x14ac:dyDescent="0.25">
      <c r="A4" s="3" t="s">
        <v>89</v>
      </c>
    </row>
    <row r="5" ht="24" customHeight="1" spans="1:4" x14ac:dyDescent="0.25">
      <c r="A5" s="5" t="s">
        <v>90</v>
      </c>
      <c r="B5" s="5" t="s">
        <v>91</v>
      </c>
      <c r="C5" s="5" t="s">
        <v>73</v>
      </c>
      <c r="D5" s="5" t="s">
        <v>92</v>
      </c>
    </row>
    <row r="6" spans="1:4" x14ac:dyDescent="0.25">
      <c r="A6" s="36" t="s">
        <v>93</v>
      </c>
      <c r="B6" s="36">
        <f>COUNTIFS('PO Log'!$I$7:$I$206,A6)</f>
      </c>
      <c r="C6" s="21">
        <f>SUMIFS('PO Log'!$G$7:$G$206,'PO Log'!$I$7:$I$206,A6)</f>
      </c>
      <c r="D6" s="37">
        <f>IFERROR(C6/$C$11,0)</f>
      </c>
    </row>
    <row r="7" spans="1:4" x14ac:dyDescent="0.25">
      <c r="A7" s="38" t="s">
        <v>94</v>
      </c>
      <c r="B7" s="38">
        <f>COUNTIFS('PO Log'!$I$7:$I$206,A7)</f>
      </c>
      <c r="C7" s="22">
        <f>SUMIFS('PO Log'!$G$7:$G$206,'PO Log'!$I$7:$I$206,A7)</f>
      </c>
      <c r="D7" s="39">
        <f>IFERROR(C7/$C$11,0)</f>
      </c>
    </row>
    <row r="8" spans="1:4" x14ac:dyDescent="0.25">
      <c r="A8" s="36" t="s">
        <v>95</v>
      </c>
      <c r="B8" s="36">
        <f>COUNTIFS('PO Log'!$I$7:$I$206,A8)</f>
      </c>
      <c r="C8" s="21">
        <f>SUMIFS('PO Log'!$G$7:$G$206,'PO Log'!$I$7:$I$206,A8)</f>
      </c>
      <c r="D8" s="37">
        <f>IFERROR(C8/$C$11,0)</f>
      </c>
    </row>
    <row r="9" spans="1:4" x14ac:dyDescent="0.25">
      <c r="A9" s="38" t="s">
        <v>96</v>
      </c>
      <c r="B9" s="38">
        <f>COUNTIFS('PO Log'!$I$7:$I$206,A9)</f>
      </c>
      <c r="C9" s="22">
        <f>SUMIFS('PO Log'!$G$7:$G$206,'PO Log'!$I$7:$I$206,A9)</f>
      </c>
      <c r="D9" s="39">
        <f>IFERROR(C9/$C$11,0)</f>
      </c>
    </row>
    <row r="10" spans="1:4" x14ac:dyDescent="0.25">
      <c r="A10" s="36" t="s">
        <v>97</v>
      </c>
      <c r="B10" s="36">
        <f>COUNTIFS('PO Log'!$I$7:$I$206,A10)</f>
      </c>
      <c r="C10" s="21">
        <f>SUMIFS('PO Log'!$G$7:$G$206,'PO Log'!$I$7:$I$206,A10)</f>
      </c>
      <c r="D10" s="37">
        <f>IFERROR(C10/$C$11,0)</f>
      </c>
    </row>
    <row r="11" ht="20" customHeight="1" spans="1:4" x14ac:dyDescent="0.25">
      <c r="A11" s="17" t="s">
        <v>98</v>
      </c>
      <c r="B11" s="17">
        <f>SUM(B6:B10)</f>
      </c>
      <c r="C11" s="40">
        <f>SUM(C6:C10)</f>
      </c>
      <c r="D11" s="41">
        <f>IFERROR(C11/$C$11,0)</f>
      </c>
    </row>
    <row r="13" ht="15" customHeight="1" spans="1:1" x14ac:dyDescent="0.25">
      <c r="A13" s="3" t="s">
        <v>99</v>
      </c>
    </row>
    <row r="14" spans="1:5" x14ac:dyDescent="0.25">
      <c r="A14" s="36" t="s">
        <v>100</v>
      </c>
      <c r="B14" s="36"/>
      <c r="C14" s="42">
        <f>COUNTA('PO Log'!$A$7:$A$206)</f>
      </c>
      <c r="E14" s="28" t="s">
        <v>101</v>
      </c>
    </row>
    <row r="15" spans="1:5" x14ac:dyDescent="0.25">
      <c r="A15" s="38" t="s">
        <v>102</v>
      </c>
      <c r="B15" s="38"/>
      <c r="C15" s="43">
        <f>COUNTIFS('PO Log'!$K$7:$K$206,"Complete")</f>
      </c>
      <c r="E15" s="28" t="s">
        <v>103</v>
      </c>
    </row>
    <row r="16" spans="1:5" x14ac:dyDescent="0.25">
      <c r="A16" s="36" t="s">
        <v>104</v>
      </c>
      <c r="B16" s="36"/>
      <c r="C16" s="42">
        <f>COUNTIFS('PO Log'!$K$7:$K$206,"Chase vendor")</f>
      </c>
      <c r="E16" s="28" t="s">
        <v>105</v>
      </c>
    </row>
    <row r="17" spans="1:5" x14ac:dyDescent="0.25">
      <c r="A17" s="38" t="s">
        <v>106</v>
      </c>
      <c r="B17" s="38"/>
      <c r="C17" s="22">
        <f>SUM('PO Log'!$E$7:$E$206)</f>
      </c>
      <c r="E17" s="28" t="s">
        <v>107</v>
      </c>
    </row>
    <row r="18" spans="1:5" x14ac:dyDescent="0.25">
      <c r="A18" s="36" t="s">
        <v>108</v>
      </c>
      <c r="B18" s="36"/>
      <c r="C18" s="21">
        <f>SUM('PO Log'!$G$7:$G$206)</f>
      </c>
      <c r="E18" s="28" t="s">
        <v>109</v>
      </c>
    </row>
    <row r="19" spans="1:5" x14ac:dyDescent="0.25">
      <c r="A19" s="38" t="s">
        <v>110</v>
      </c>
      <c r="B19" s="38"/>
      <c r="C19" s="22">
        <f>SUMIFS('PO Log'!$G$7:$G$206,'PO Log'!$H$7:$H$206,"&gt;0")</f>
      </c>
      <c r="E19" s="28" t="s">
        <v>111</v>
      </c>
    </row>
    <row r="21" ht="15" customHeight="1" spans="1:1" x14ac:dyDescent="0.25">
      <c r="A21" s="3" t="s">
        <v>112</v>
      </c>
    </row>
    <row r="22" spans="1:3" x14ac:dyDescent="0.25">
      <c r="A22" s="32" t="s">
        <v>113</v>
      </c>
      <c r="C22" s="44">
        <f>IF(ROUND(C11-C18,2)=0,"Agrees","Out by "&amp;TEXT(C11-C18,"#,##0.00"))</f>
      </c>
    </row>
  </sheetData>
  <printOptions horizontalCentered="1"/>
  <pageMargins left="0.4" right="0.4" top="0.6" bottom="0.6" header="0.3" footer="0.3"/>
  <pageSetup paperSize="1" orientation="portrait" fitToWidth="1" fitToHeight="0"/>
  <headerFooter>
    <oddFooter>&amp;L&amp;9Explore Excel&amp;R&amp;9Page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 me</vt:lpstr>
      <vt:lpstr>Settings</vt:lpstr>
      <vt:lpstr>Purchase Order</vt:lpstr>
      <vt:lpstr>PO Log</vt:lpstr>
      <vt:lpstr>Summary</vt:lpstr>
    </vt:vector>
  </TitlesOfParts>
  <Company>Explore Excel</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Explore Excel</dc:creator>
  <dc:title/>
  <dc:subject/>
  <dc:description/>
  <cp:keywords/>
  <cp:category/>
  <cp:lastModifiedBy>Unknown</cp:lastModifiedBy>
  <dcterms:created xsi:type="dcterms:W3CDTF">2026-08-19T10:43:07Z</dcterms:created>
  <dcterms:modified xsi:type="dcterms:W3CDTF">2026-08-19T10:43:07Z</dcterms:modified>
</cp:coreProperties>
</file>