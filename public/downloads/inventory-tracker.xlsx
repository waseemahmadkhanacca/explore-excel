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'Inventory'!$A$4:$K$154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6E4D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141414"/>
      <sz val="10"/>
    </font>
    <font>
      <name val="Arial"/>
      <i val="1"/>
      <color rgb="004A4A48"/>
      <sz val="9"/>
    </font>
    <font>
      <name val="Arial"/>
      <b val="1"/>
      <color rgb="000A4A3A"/>
      <sz val="11"/>
    </font>
  </fonts>
  <fills count="5">
    <fill>
      <patternFill/>
    </fill>
    <fill>
      <patternFill patternType="gray125"/>
    </fill>
    <fill>
      <patternFill patternType="solid">
        <fgColor rgb="000F6E56"/>
        <bgColor rgb="000F6E56"/>
      </patternFill>
    </fill>
    <fill>
      <patternFill patternType="solid">
        <fgColor rgb="00FAFAF8"/>
        <bgColor rgb="00FAFAF8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>
        <color rgb="00E4E4E0"/>
      </left>
      <right style="thin">
        <color rgb="00E4E4E0"/>
      </right>
      <top style="thin">
        <color rgb="00E4E4E0"/>
      </top>
      <bottom style="thin">
        <color rgb="00E4E4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5" fontId="5" fillId="0" borderId="1" pivotButton="0" quotePrefix="0" xfId="0"/>
    <xf numFmtId="164" fontId="5" fillId="0" borderId="1" pivotButton="0" quotePrefix="0" xfId="0"/>
    <xf numFmtId="0" fontId="5" fillId="0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5" fontId="5" fillId="3" borderId="1" pivotButton="0" quotePrefix="0" xfId="0"/>
    <xf numFmtId="164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5" fillId="0" borderId="0" pivotButton="0" quotePrefix="0" xfId="0"/>
    <xf numFmtId="165" fontId="5" fillId="4" borderId="1" pivotButton="0" quotePrefix="0" xfId="0"/>
    <xf numFmtId="164" fontId="5" fillId="4" borderId="1" pivotButton="0" quotePrefix="0" xfId="0"/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7A2020"/>
        <sz val="10"/>
      </font>
      <fill>
        <patternFill patternType="solid">
          <fgColor rgb="00FCECEC"/>
          <bgColor rgb="00FCECEC"/>
        </patternFill>
      </fill>
    </dxf>
    <dxf>
      <font>
        <name val="Arial"/>
        <b val="1"/>
        <color rgb="007A5410"/>
        <sz val="10"/>
      </font>
      <fill>
        <patternFill patternType="solid">
          <fgColor rgb="00FDF4E3"/>
          <bgColor rgb="00FDF4E3"/>
        </patternFill>
      </fill>
    </dxf>
    <dxf>
      <font>
        <name val="Arial"/>
        <color rgb="000A4A3A"/>
        <sz val="10"/>
      </font>
      <fill>
        <patternFill patternType="solid">
          <fgColor rgb="00E1F5EE"/>
          <bgColor rgb="00E1F5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1" customWidth="1" min="4" max="4"/>
    <col width="11" customWidth="1" min="5" max="5"/>
    <col width="11" customWidth="1" min="6" max="6"/>
    <col width="10" customWidth="1" min="7" max="7"/>
    <col width="11" customWidth="1" min="8" max="8"/>
    <col width="13" customWidth="1" min="9" max="9"/>
    <col width="13" customWidth="1" min="10" max="10"/>
    <col width="13" customWidth="1" min="11" max="11"/>
  </cols>
  <sheetData>
    <row r="1" ht="26" customHeight="1">
      <c r="A1" s="1" t="inlineStr">
        <is>
          <t>Inventory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3" t="inlineStr">
        <is>
          <t>Explore Excel  ·  exploreexcel.com  ·  Reorder flags calculate automatically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 ht="24" customHeight="1">
      <c r="A4" s="4" t="inlineStr">
        <is>
          <t>SKU</t>
        </is>
      </c>
      <c r="B4" s="4" t="inlineStr">
        <is>
          <t>Description</t>
        </is>
      </c>
      <c r="C4" s="4" t="inlineStr">
        <is>
          <t>Category</t>
        </is>
      </c>
      <c r="D4" s="4" t="inlineStr">
        <is>
          <t>Unit cost</t>
        </is>
      </c>
      <c r="E4" s="4" t="inlineStr">
        <is>
          <t>Opening qty</t>
        </is>
      </c>
      <c r="F4" s="4" t="inlineStr">
        <is>
          <t>Received</t>
        </is>
      </c>
      <c r="G4" s="4" t="inlineStr">
        <is>
          <t>Issued</t>
        </is>
      </c>
      <c r="H4" s="4" t="inlineStr">
        <is>
          <t>Closing qty</t>
        </is>
      </c>
      <c r="I4" s="4" t="inlineStr">
        <is>
          <t>Value</t>
        </is>
      </c>
      <c r="J4" s="4" t="inlineStr">
        <is>
          <t>Reorder point</t>
        </is>
      </c>
      <c r="K4" s="4" t="inlineStr">
        <is>
          <t>Action</t>
        </is>
      </c>
    </row>
    <row r="5">
      <c r="A5" s="5" t="n"/>
      <c r="B5" s="5" t="n"/>
      <c r="C5" s="5" t="n"/>
      <c r="D5" s="6" t="n"/>
      <c r="E5" s="7" t="n"/>
      <c r="F5" s="7" t="n"/>
      <c r="G5" s="7" t="n"/>
      <c r="H5" s="8">
        <f>IF(A5="","",N(E5)+N(F5)-N(G5))</f>
        <v/>
      </c>
      <c r="I5" s="9">
        <f>IF(H5="","",H5*N(D5))</f>
        <v/>
      </c>
      <c r="J5" s="7" t="n"/>
      <c r="K5" s="10">
        <f>IF(A5="","",IF(H5&lt;=0,"Out of stock",IF(H5&lt;=N(J5),"Reorder","OK")))</f>
        <v/>
      </c>
    </row>
    <row r="6">
      <c r="A6" s="11" t="n"/>
      <c r="B6" s="11" t="n"/>
      <c r="C6" s="11" t="n"/>
      <c r="D6" s="12" t="n"/>
      <c r="E6" s="13" t="n"/>
      <c r="F6" s="13" t="n"/>
      <c r="G6" s="13" t="n"/>
      <c r="H6" s="14">
        <f>IF(A6="","",N(E6)+N(F6)-N(G6))</f>
        <v/>
      </c>
      <c r="I6" s="15">
        <f>IF(H6="","",H6*N(D6))</f>
        <v/>
      </c>
      <c r="J6" s="13" t="n"/>
      <c r="K6" s="16">
        <f>IF(A6="","",IF(H6&lt;=0,"Out of stock",IF(H6&lt;=N(J6),"Reorder","OK")))</f>
        <v/>
      </c>
    </row>
    <row r="7">
      <c r="A7" s="5" t="n"/>
      <c r="B7" s="5" t="n"/>
      <c r="C7" s="5" t="n"/>
      <c r="D7" s="6" t="n"/>
      <c r="E7" s="7" t="n"/>
      <c r="F7" s="7" t="n"/>
      <c r="G7" s="7" t="n"/>
      <c r="H7" s="8">
        <f>IF(A7="","",N(E7)+N(F7)-N(G7))</f>
        <v/>
      </c>
      <c r="I7" s="9">
        <f>IF(H7="","",H7*N(D7))</f>
        <v/>
      </c>
      <c r="J7" s="7" t="n"/>
      <c r="K7" s="10">
        <f>IF(A7="","",IF(H7&lt;=0,"Out of stock",IF(H7&lt;=N(J7),"Reorder","OK")))</f>
        <v/>
      </c>
    </row>
    <row r="8">
      <c r="A8" s="11" t="n"/>
      <c r="B8" s="11" t="n"/>
      <c r="C8" s="11" t="n"/>
      <c r="D8" s="12" t="n"/>
      <c r="E8" s="13" t="n"/>
      <c r="F8" s="13" t="n"/>
      <c r="G8" s="13" t="n"/>
      <c r="H8" s="14">
        <f>IF(A8="","",N(E8)+N(F8)-N(G8))</f>
        <v/>
      </c>
      <c r="I8" s="15">
        <f>IF(H8="","",H8*N(D8))</f>
        <v/>
      </c>
      <c r="J8" s="13" t="n"/>
      <c r="K8" s="16">
        <f>IF(A8="","",IF(H8&lt;=0,"Out of stock",IF(H8&lt;=N(J8),"Reorder","OK")))</f>
        <v/>
      </c>
    </row>
    <row r="9">
      <c r="A9" s="5" t="n"/>
      <c r="B9" s="5" t="n"/>
      <c r="C9" s="5" t="n"/>
      <c r="D9" s="6" t="n"/>
      <c r="E9" s="7" t="n"/>
      <c r="F9" s="7" t="n"/>
      <c r="G9" s="7" t="n"/>
      <c r="H9" s="8">
        <f>IF(A9="","",N(E9)+N(F9)-N(G9))</f>
        <v/>
      </c>
      <c r="I9" s="9">
        <f>IF(H9="","",H9*N(D9))</f>
        <v/>
      </c>
      <c r="J9" s="7" t="n"/>
      <c r="K9" s="10">
        <f>IF(A9="","",IF(H9&lt;=0,"Out of stock",IF(H9&lt;=N(J9),"Reorder","OK")))</f>
        <v/>
      </c>
    </row>
    <row r="10">
      <c r="A10" s="11" t="n"/>
      <c r="B10" s="11" t="n"/>
      <c r="C10" s="11" t="n"/>
      <c r="D10" s="12" t="n"/>
      <c r="E10" s="13" t="n"/>
      <c r="F10" s="13" t="n"/>
      <c r="G10" s="13" t="n"/>
      <c r="H10" s="14">
        <f>IF(A10="","",N(E10)+N(F10)-N(G10))</f>
        <v/>
      </c>
      <c r="I10" s="15">
        <f>IF(H10="","",H10*N(D10))</f>
        <v/>
      </c>
      <c r="J10" s="13" t="n"/>
      <c r="K10" s="16">
        <f>IF(A10="","",IF(H10&lt;=0,"Out of stock",IF(H10&lt;=N(J10),"Reorder","OK")))</f>
        <v/>
      </c>
    </row>
    <row r="11">
      <c r="A11" s="5" t="n"/>
      <c r="B11" s="5" t="n"/>
      <c r="C11" s="5" t="n"/>
      <c r="D11" s="6" t="n"/>
      <c r="E11" s="7" t="n"/>
      <c r="F11" s="7" t="n"/>
      <c r="G11" s="7" t="n"/>
      <c r="H11" s="8">
        <f>IF(A11="","",N(E11)+N(F11)-N(G11))</f>
        <v/>
      </c>
      <c r="I11" s="9">
        <f>IF(H11="","",H11*N(D11))</f>
        <v/>
      </c>
      <c r="J11" s="7" t="n"/>
      <c r="K11" s="10">
        <f>IF(A11="","",IF(H11&lt;=0,"Out of stock",IF(H11&lt;=N(J11),"Reorder","OK")))</f>
        <v/>
      </c>
    </row>
    <row r="12">
      <c r="A12" s="11" t="n"/>
      <c r="B12" s="11" t="n"/>
      <c r="C12" s="11" t="n"/>
      <c r="D12" s="12" t="n"/>
      <c r="E12" s="13" t="n"/>
      <c r="F12" s="13" t="n"/>
      <c r="G12" s="13" t="n"/>
      <c r="H12" s="14">
        <f>IF(A12="","",N(E12)+N(F12)-N(G12))</f>
        <v/>
      </c>
      <c r="I12" s="15">
        <f>IF(H12="","",H12*N(D12))</f>
        <v/>
      </c>
      <c r="J12" s="13" t="n"/>
      <c r="K12" s="16">
        <f>IF(A12="","",IF(H12&lt;=0,"Out of stock",IF(H12&lt;=N(J12),"Reorder","OK")))</f>
        <v/>
      </c>
    </row>
    <row r="13">
      <c r="A13" s="5" t="n"/>
      <c r="B13" s="5" t="n"/>
      <c r="C13" s="5" t="n"/>
      <c r="D13" s="6" t="n"/>
      <c r="E13" s="7" t="n"/>
      <c r="F13" s="7" t="n"/>
      <c r="G13" s="7" t="n"/>
      <c r="H13" s="8">
        <f>IF(A13="","",N(E13)+N(F13)-N(G13))</f>
        <v/>
      </c>
      <c r="I13" s="9">
        <f>IF(H13="","",H13*N(D13))</f>
        <v/>
      </c>
      <c r="J13" s="7" t="n"/>
      <c r="K13" s="10">
        <f>IF(A13="","",IF(H13&lt;=0,"Out of stock",IF(H13&lt;=N(J13),"Reorder","OK")))</f>
        <v/>
      </c>
    </row>
    <row r="14">
      <c r="A14" s="11" t="n"/>
      <c r="B14" s="11" t="n"/>
      <c r="C14" s="11" t="n"/>
      <c r="D14" s="12" t="n"/>
      <c r="E14" s="13" t="n"/>
      <c r="F14" s="13" t="n"/>
      <c r="G14" s="13" t="n"/>
      <c r="H14" s="14">
        <f>IF(A14="","",N(E14)+N(F14)-N(G14))</f>
        <v/>
      </c>
      <c r="I14" s="15">
        <f>IF(H14="","",H14*N(D14))</f>
        <v/>
      </c>
      <c r="J14" s="13" t="n"/>
      <c r="K14" s="16">
        <f>IF(A14="","",IF(H14&lt;=0,"Out of stock",IF(H14&lt;=N(J14),"Reorder","OK")))</f>
        <v/>
      </c>
    </row>
    <row r="15">
      <c r="A15" s="5" t="n"/>
      <c r="B15" s="5" t="n"/>
      <c r="C15" s="5" t="n"/>
      <c r="D15" s="6" t="n"/>
      <c r="E15" s="7" t="n"/>
      <c r="F15" s="7" t="n"/>
      <c r="G15" s="7" t="n"/>
      <c r="H15" s="8">
        <f>IF(A15="","",N(E15)+N(F15)-N(G15))</f>
        <v/>
      </c>
      <c r="I15" s="9">
        <f>IF(H15="","",H15*N(D15))</f>
        <v/>
      </c>
      <c r="J15" s="7" t="n"/>
      <c r="K15" s="10">
        <f>IF(A15="","",IF(H15&lt;=0,"Out of stock",IF(H15&lt;=N(J15),"Reorder","OK")))</f>
        <v/>
      </c>
    </row>
    <row r="16">
      <c r="A16" s="11" t="n"/>
      <c r="B16" s="11" t="n"/>
      <c r="C16" s="11" t="n"/>
      <c r="D16" s="12" t="n"/>
      <c r="E16" s="13" t="n"/>
      <c r="F16" s="13" t="n"/>
      <c r="G16" s="13" t="n"/>
      <c r="H16" s="14">
        <f>IF(A16="","",N(E16)+N(F16)-N(G16))</f>
        <v/>
      </c>
      <c r="I16" s="15">
        <f>IF(H16="","",H16*N(D16))</f>
        <v/>
      </c>
      <c r="J16" s="13" t="n"/>
      <c r="K16" s="16">
        <f>IF(A16="","",IF(H16&lt;=0,"Out of stock",IF(H16&lt;=N(J16),"Reorder","OK")))</f>
        <v/>
      </c>
    </row>
    <row r="17">
      <c r="A17" s="5" t="n"/>
      <c r="B17" s="5" t="n"/>
      <c r="C17" s="5" t="n"/>
      <c r="D17" s="6" t="n"/>
      <c r="E17" s="7" t="n"/>
      <c r="F17" s="7" t="n"/>
      <c r="G17" s="7" t="n"/>
      <c r="H17" s="8">
        <f>IF(A17="","",N(E17)+N(F17)-N(G17))</f>
        <v/>
      </c>
      <c r="I17" s="9">
        <f>IF(H17="","",H17*N(D17))</f>
        <v/>
      </c>
      <c r="J17" s="7" t="n"/>
      <c r="K17" s="10">
        <f>IF(A17="","",IF(H17&lt;=0,"Out of stock",IF(H17&lt;=N(J17),"Reorder","OK")))</f>
        <v/>
      </c>
    </row>
    <row r="18">
      <c r="A18" s="11" t="n"/>
      <c r="B18" s="11" t="n"/>
      <c r="C18" s="11" t="n"/>
      <c r="D18" s="12" t="n"/>
      <c r="E18" s="13" t="n"/>
      <c r="F18" s="13" t="n"/>
      <c r="G18" s="13" t="n"/>
      <c r="H18" s="14">
        <f>IF(A18="","",N(E18)+N(F18)-N(G18))</f>
        <v/>
      </c>
      <c r="I18" s="15">
        <f>IF(H18="","",H18*N(D18))</f>
        <v/>
      </c>
      <c r="J18" s="13" t="n"/>
      <c r="K18" s="16">
        <f>IF(A18="","",IF(H18&lt;=0,"Out of stock",IF(H18&lt;=N(J18),"Reorder","OK")))</f>
        <v/>
      </c>
    </row>
    <row r="19">
      <c r="A19" s="5" t="n"/>
      <c r="B19" s="5" t="n"/>
      <c r="C19" s="5" t="n"/>
      <c r="D19" s="6" t="n"/>
      <c r="E19" s="7" t="n"/>
      <c r="F19" s="7" t="n"/>
      <c r="G19" s="7" t="n"/>
      <c r="H19" s="8">
        <f>IF(A19="","",N(E19)+N(F19)-N(G19))</f>
        <v/>
      </c>
      <c r="I19" s="9">
        <f>IF(H19="","",H19*N(D19))</f>
        <v/>
      </c>
      <c r="J19" s="7" t="n"/>
      <c r="K19" s="10">
        <f>IF(A19="","",IF(H19&lt;=0,"Out of stock",IF(H19&lt;=N(J19),"Reorder","OK")))</f>
        <v/>
      </c>
    </row>
    <row r="20">
      <c r="A20" s="11" t="n"/>
      <c r="B20" s="11" t="n"/>
      <c r="C20" s="11" t="n"/>
      <c r="D20" s="12" t="n"/>
      <c r="E20" s="13" t="n"/>
      <c r="F20" s="13" t="n"/>
      <c r="G20" s="13" t="n"/>
      <c r="H20" s="14">
        <f>IF(A20="","",N(E20)+N(F20)-N(G20))</f>
        <v/>
      </c>
      <c r="I20" s="15">
        <f>IF(H20="","",H20*N(D20))</f>
        <v/>
      </c>
      <c r="J20" s="13" t="n"/>
      <c r="K20" s="16">
        <f>IF(A20="","",IF(H20&lt;=0,"Out of stock",IF(H20&lt;=N(J20),"Reorder","OK")))</f>
        <v/>
      </c>
    </row>
    <row r="21">
      <c r="A21" s="5" t="n"/>
      <c r="B21" s="5" t="n"/>
      <c r="C21" s="5" t="n"/>
      <c r="D21" s="6" t="n"/>
      <c r="E21" s="7" t="n"/>
      <c r="F21" s="7" t="n"/>
      <c r="G21" s="7" t="n"/>
      <c r="H21" s="8">
        <f>IF(A21="","",N(E21)+N(F21)-N(G21))</f>
        <v/>
      </c>
      <c r="I21" s="9">
        <f>IF(H21="","",H21*N(D21))</f>
        <v/>
      </c>
      <c r="J21" s="7" t="n"/>
      <c r="K21" s="10">
        <f>IF(A21="","",IF(H21&lt;=0,"Out of stock",IF(H21&lt;=N(J21),"Reorder","OK")))</f>
        <v/>
      </c>
    </row>
    <row r="22">
      <c r="A22" s="11" t="n"/>
      <c r="B22" s="11" t="n"/>
      <c r="C22" s="11" t="n"/>
      <c r="D22" s="12" t="n"/>
      <c r="E22" s="13" t="n"/>
      <c r="F22" s="13" t="n"/>
      <c r="G22" s="13" t="n"/>
      <c r="H22" s="14">
        <f>IF(A22="","",N(E22)+N(F22)-N(G22))</f>
        <v/>
      </c>
      <c r="I22" s="15">
        <f>IF(H22="","",H22*N(D22))</f>
        <v/>
      </c>
      <c r="J22" s="13" t="n"/>
      <c r="K22" s="16">
        <f>IF(A22="","",IF(H22&lt;=0,"Out of stock",IF(H22&lt;=N(J22),"Reorder","OK")))</f>
        <v/>
      </c>
    </row>
    <row r="23">
      <c r="A23" s="5" t="n"/>
      <c r="B23" s="5" t="n"/>
      <c r="C23" s="5" t="n"/>
      <c r="D23" s="6" t="n"/>
      <c r="E23" s="7" t="n"/>
      <c r="F23" s="7" t="n"/>
      <c r="G23" s="7" t="n"/>
      <c r="H23" s="8">
        <f>IF(A23="","",N(E23)+N(F23)-N(G23))</f>
        <v/>
      </c>
      <c r="I23" s="9">
        <f>IF(H23="","",H23*N(D23))</f>
        <v/>
      </c>
      <c r="J23" s="7" t="n"/>
      <c r="K23" s="10">
        <f>IF(A23="","",IF(H23&lt;=0,"Out of stock",IF(H23&lt;=N(J23),"Reorder","OK")))</f>
        <v/>
      </c>
    </row>
    <row r="24">
      <c r="A24" s="11" t="n"/>
      <c r="B24" s="11" t="n"/>
      <c r="C24" s="11" t="n"/>
      <c r="D24" s="12" t="n"/>
      <c r="E24" s="13" t="n"/>
      <c r="F24" s="13" t="n"/>
      <c r="G24" s="13" t="n"/>
      <c r="H24" s="14">
        <f>IF(A24="","",N(E24)+N(F24)-N(G24))</f>
        <v/>
      </c>
      <c r="I24" s="15">
        <f>IF(H24="","",H24*N(D24))</f>
        <v/>
      </c>
      <c r="J24" s="13" t="n"/>
      <c r="K24" s="16">
        <f>IF(A24="","",IF(H24&lt;=0,"Out of stock",IF(H24&lt;=N(J24),"Reorder","OK")))</f>
        <v/>
      </c>
    </row>
    <row r="25">
      <c r="A25" s="5" t="n"/>
      <c r="B25" s="5" t="n"/>
      <c r="C25" s="5" t="n"/>
      <c r="D25" s="6" t="n"/>
      <c r="E25" s="7" t="n"/>
      <c r="F25" s="7" t="n"/>
      <c r="G25" s="7" t="n"/>
      <c r="H25" s="8">
        <f>IF(A25="","",N(E25)+N(F25)-N(G25))</f>
        <v/>
      </c>
      <c r="I25" s="9">
        <f>IF(H25="","",H25*N(D25))</f>
        <v/>
      </c>
      <c r="J25" s="7" t="n"/>
      <c r="K25" s="10">
        <f>IF(A25="","",IF(H25&lt;=0,"Out of stock",IF(H25&lt;=N(J25),"Reorder","OK")))</f>
        <v/>
      </c>
    </row>
    <row r="26">
      <c r="A26" s="11" t="n"/>
      <c r="B26" s="11" t="n"/>
      <c r="C26" s="11" t="n"/>
      <c r="D26" s="12" t="n"/>
      <c r="E26" s="13" t="n"/>
      <c r="F26" s="13" t="n"/>
      <c r="G26" s="13" t="n"/>
      <c r="H26" s="14">
        <f>IF(A26="","",N(E26)+N(F26)-N(G26))</f>
        <v/>
      </c>
      <c r="I26" s="15">
        <f>IF(H26="","",H26*N(D26))</f>
        <v/>
      </c>
      <c r="J26" s="13" t="n"/>
      <c r="K26" s="16">
        <f>IF(A26="","",IF(H26&lt;=0,"Out of stock",IF(H26&lt;=N(J26),"Reorder","OK")))</f>
        <v/>
      </c>
    </row>
    <row r="27">
      <c r="A27" s="5" t="n"/>
      <c r="B27" s="5" t="n"/>
      <c r="C27" s="5" t="n"/>
      <c r="D27" s="6" t="n"/>
      <c r="E27" s="7" t="n"/>
      <c r="F27" s="7" t="n"/>
      <c r="G27" s="7" t="n"/>
      <c r="H27" s="8">
        <f>IF(A27="","",N(E27)+N(F27)-N(G27))</f>
        <v/>
      </c>
      <c r="I27" s="9">
        <f>IF(H27="","",H27*N(D27))</f>
        <v/>
      </c>
      <c r="J27" s="7" t="n"/>
      <c r="K27" s="10">
        <f>IF(A27="","",IF(H27&lt;=0,"Out of stock",IF(H27&lt;=N(J27),"Reorder","OK")))</f>
        <v/>
      </c>
    </row>
    <row r="28">
      <c r="A28" s="11" t="n"/>
      <c r="B28" s="11" t="n"/>
      <c r="C28" s="11" t="n"/>
      <c r="D28" s="12" t="n"/>
      <c r="E28" s="13" t="n"/>
      <c r="F28" s="13" t="n"/>
      <c r="G28" s="13" t="n"/>
      <c r="H28" s="14">
        <f>IF(A28="","",N(E28)+N(F28)-N(G28))</f>
        <v/>
      </c>
      <c r="I28" s="15">
        <f>IF(H28="","",H28*N(D28))</f>
        <v/>
      </c>
      <c r="J28" s="13" t="n"/>
      <c r="K28" s="16">
        <f>IF(A28="","",IF(H28&lt;=0,"Out of stock",IF(H28&lt;=N(J28),"Reorder","OK")))</f>
        <v/>
      </c>
    </row>
    <row r="29">
      <c r="A29" s="5" t="n"/>
      <c r="B29" s="5" t="n"/>
      <c r="C29" s="5" t="n"/>
      <c r="D29" s="6" t="n"/>
      <c r="E29" s="7" t="n"/>
      <c r="F29" s="7" t="n"/>
      <c r="G29" s="7" t="n"/>
      <c r="H29" s="8">
        <f>IF(A29="","",N(E29)+N(F29)-N(G29))</f>
        <v/>
      </c>
      <c r="I29" s="9">
        <f>IF(H29="","",H29*N(D29))</f>
        <v/>
      </c>
      <c r="J29" s="7" t="n"/>
      <c r="K29" s="10">
        <f>IF(A29="","",IF(H29&lt;=0,"Out of stock",IF(H29&lt;=N(J29),"Reorder","OK")))</f>
        <v/>
      </c>
    </row>
    <row r="30">
      <c r="A30" s="11" t="n"/>
      <c r="B30" s="11" t="n"/>
      <c r="C30" s="11" t="n"/>
      <c r="D30" s="12" t="n"/>
      <c r="E30" s="13" t="n"/>
      <c r="F30" s="13" t="n"/>
      <c r="G30" s="13" t="n"/>
      <c r="H30" s="14">
        <f>IF(A30="","",N(E30)+N(F30)-N(G30))</f>
        <v/>
      </c>
      <c r="I30" s="15">
        <f>IF(H30="","",H30*N(D30))</f>
        <v/>
      </c>
      <c r="J30" s="13" t="n"/>
      <c r="K30" s="16">
        <f>IF(A30="","",IF(H30&lt;=0,"Out of stock",IF(H30&lt;=N(J30),"Reorder","OK")))</f>
        <v/>
      </c>
    </row>
    <row r="31">
      <c r="A31" s="5" t="n"/>
      <c r="B31" s="5" t="n"/>
      <c r="C31" s="5" t="n"/>
      <c r="D31" s="6" t="n"/>
      <c r="E31" s="7" t="n"/>
      <c r="F31" s="7" t="n"/>
      <c r="G31" s="7" t="n"/>
      <c r="H31" s="8">
        <f>IF(A31="","",N(E31)+N(F31)-N(G31))</f>
        <v/>
      </c>
      <c r="I31" s="9">
        <f>IF(H31="","",H31*N(D31))</f>
        <v/>
      </c>
      <c r="J31" s="7" t="n"/>
      <c r="K31" s="10">
        <f>IF(A31="","",IF(H31&lt;=0,"Out of stock",IF(H31&lt;=N(J31),"Reorder","OK")))</f>
        <v/>
      </c>
    </row>
    <row r="32">
      <c r="A32" s="11" t="n"/>
      <c r="B32" s="11" t="n"/>
      <c r="C32" s="11" t="n"/>
      <c r="D32" s="12" t="n"/>
      <c r="E32" s="13" t="n"/>
      <c r="F32" s="13" t="n"/>
      <c r="G32" s="13" t="n"/>
      <c r="H32" s="14">
        <f>IF(A32="","",N(E32)+N(F32)-N(G32))</f>
        <v/>
      </c>
      <c r="I32" s="15">
        <f>IF(H32="","",H32*N(D32))</f>
        <v/>
      </c>
      <c r="J32" s="13" t="n"/>
      <c r="K32" s="16">
        <f>IF(A32="","",IF(H32&lt;=0,"Out of stock",IF(H32&lt;=N(J32),"Reorder","OK")))</f>
        <v/>
      </c>
    </row>
    <row r="33">
      <c r="A33" s="5" t="n"/>
      <c r="B33" s="5" t="n"/>
      <c r="C33" s="5" t="n"/>
      <c r="D33" s="6" t="n"/>
      <c r="E33" s="7" t="n"/>
      <c r="F33" s="7" t="n"/>
      <c r="G33" s="7" t="n"/>
      <c r="H33" s="8">
        <f>IF(A33="","",N(E33)+N(F33)-N(G33))</f>
        <v/>
      </c>
      <c r="I33" s="9">
        <f>IF(H33="","",H33*N(D33))</f>
        <v/>
      </c>
      <c r="J33" s="7" t="n"/>
      <c r="K33" s="10">
        <f>IF(A33="","",IF(H33&lt;=0,"Out of stock",IF(H33&lt;=N(J33),"Reorder","OK")))</f>
        <v/>
      </c>
    </row>
    <row r="34">
      <c r="A34" s="11" t="n"/>
      <c r="B34" s="11" t="n"/>
      <c r="C34" s="11" t="n"/>
      <c r="D34" s="12" t="n"/>
      <c r="E34" s="13" t="n"/>
      <c r="F34" s="13" t="n"/>
      <c r="G34" s="13" t="n"/>
      <c r="H34" s="14">
        <f>IF(A34="","",N(E34)+N(F34)-N(G34))</f>
        <v/>
      </c>
      <c r="I34" s="15">
        <f>IF(H34="","",H34*N(D34))</f>
        <v/>
      </c>
      <c r="J34" s="13" t="n"/>
      <c r="K34" s="16">
        <f>IF(A34="","",IF(H34&lt;=0,"Out of stock",IF(H34&lt;=N(J34),"Reorder","OK")))</f>
        <v/>
      </c>
    </row>
    <row r="35">
      <c r="A35" s="5" t="n"/>
      <c r="B35" s="5" t="n"/>
      <c r="C35" s="5" t="n"/>
      <c r="D35" s="6" t="n"/>
      <c r="E35" s="7" t="n"/>
      <c r="F35" s="7" t="n"/>
      <c r="G35" s="7" t="n"/>
      <c r="H35" s="8">
        <f>IF(A35="","",N(E35)+N(F35)-N(G35))</f>
        <v/>
      </c>
      <c r="I35" s="9">
        <f>IF(H35="","",H35*N(D35))</f>
        <v/>
      </c>
      <c r="J35" s="7" t="n"/>
      <c r="K35" s="10">
        <f>IF(A35="","",IF(H35&lt;=0,"Out of stock",IF(H35&lt;=N(J35),"Reorder","OK")))</f>
        <v/>
      </c>
    </row>
    <row r="36">
      <c r="A36" s="11" t="n"/>
      <c r="B36" s="11" t="n"/>
      <c r="C36" s="11" t="n"/>
      <c r="D36" s="12" t="n"/>
      <c r="E36" s="13" t="n"/>
      <c r="F36" s="13" t="n"/>
      <c r="G36" s="13" t="n"/>
      <c r="H36" s="14">
        <f>IF(A36="","",N(E36)+N(F36)-N(G36))</f>
        <v/>
      </c>
      <c r="I36" s="15">
        <f>IF(H36="","",H36*N(D36))</f>
        <v/>
      </c>
      <c r="J36" s="13" t="n"/>
      <c r="K36" s="16">
        <f>IF(A36="","",IF(H36&lt;=0,"Out of stock",IF(H36&lt;=N(J36),"Reorder","OK")))</f>
        <v/>
      </c>
    </row>
    <row r="37">
      <c r="A37" s="5" t="n"/>
      <c r="B37" s="5" t="n"/>
      <c r="C37" s="5" t="n"/>
      <c r="D37" s="6" t="n"/>
      <c r="E37" s="7" t="n"/>
      <c r="F37" s="7" t="n"/>
      <c r="G37" s="7" t="n"/>
      <c r="H37" s="8">
        <f>IF(A37="","",N(E37)+N(F37)-N(G37))</f>
        <v/>
      </c>
      <c r="I37" s="9">
        <f>IF(H37="","",H37*N(D37))</f>
        <v/>
      </c>
      <c r="J37" s="7" t="n"/>
      <c r="K37" s="10">
        <f>IF(A37="","",IF(H37&lt;=0,"Out of stock",IF(H37&lt;=N(J37),"Reorder","OK")))</f>
        <v/>
      </c>
    </row>
    <row r="38">
      <c r="A38" s="11" t="n"/>
      <c r="B38" s="11" t="n"/>
      <c r="C38" s="11" t="n"/>
      <c r="D38" s="12" t="n"/>
      <c r="E38" s="13" t="n"/>
      <c r="F38" s="13" t="n"/>
      <c r="G38" s="13" t="n"/>
      <c r="H38" s="14">
        <f>IF(A38="","",N(E38)+N(F38)-N(G38))</f>
        <v/>
      </c>
      <c r="I38" s="15">
        <f>IF(H38="","",H38*N(D38))</f>
        <v/>
      </c>
      <c r="J38" s="13" t="n"/>
      <c r="K38" s="16">
        <f>IF(A38="","",IF(H38&lt;=0,"Out of stock",IF(H38&lt;=N(J38),"Reorder","OK")))</f>
        <v/>
      </c>
    </row>
    <row r="39">
      <c r="A39" s="5" t="n"/>
      <c r="B39" s="5" t="n"/>
      <c r="C39" s="5" t="n"/>
      <c r="D39" s="6" t="n"/>
      <c r="E39" s="7" t="n"/>
      <c r="F39" s="7" t="n"/>
      <c r="G39" s="7" t="n"/>
      <c r="H39" s="8">
        <f>IF(A39="","",N(E39)+N(F39)-N(G39))</f>
        <v/>
      </c>
      <c r="I39" s="9">
        <f>IF(H39="","",H39*N(D39))</f>
        <v/>
      </c>
      <c r="J39" s="7" t="n"/>
      <c r="K39" s="10">
        <f>IF(A39="","",IF(H39&lt;=0,"Out of stock",IF(H39&lt;=N(J39),"Reorder","OK")))</f>
        <v/>
      </c>
    </row>
    <row r="40">
      <c r="A40" s="11" t="n"/>
      <c r="B40" s="11" t="n"/>
      <c r="C40" s="11" t="n"/>
      <c r="D40" s="12" t="n"/>
      <c r="E40" s="13" t="n"/>
      <c r="F40" s="13" t="n"/>
      <c r="G40" s="13" t="n"/>
      <c r="H40" s="14">
        <f>IF(A40="","",N(E40)+N(F40)-N(G40))</f>
        <v/>
      </c>
      <c r="I40" s="15">
        <f>IF(H40="","",H40*N(D40))</f>
        <v/>
      </c>
      <c r="J40" s="13" t="n"/>
      <c r="K40" s="16">
        <f>IF(A40="","",IF(H40&lt;=0,"Out of stock",IF(H40&lt;=N(J40),"Reorder","OK")))</f>
        <v/>
      </c>
    </row>
    <row r="41">
      <c r="A41" s="5" t="n"/>
      <c r="B41" s="5" t="n"/>
      <c r="C41" s="5" t="n"/>
      <c r="D41" s="6" t="n"/>
      <c r="E41" s="7" t="n"/>
      <c r="F41" s="7" t="n"/>
      <c r="G41" s="7" t="n"/>
      <c r="H41" s="8">
        <f>IF(A41="","",N(E41)+N(F41)-N(G41))</f>
        <v/>
      </c>
      <c r="I41" s="9">
        <f>IF(H41="","",H41*N(D41))</f>
        <v/>
      </c>
      <c r="J41" s="7" t="n"/>
      <c r="K41" s="10">
        <f>IF(A41="","",IF(H41&lt;=0,"Out of stock",IF(H41&lt;=N(J41),"Reorder","OK")))</f>
        <v/>
      </c>
    </row>
    <row r="42">
      <c r="A42" s="11" t="n"/>
      <c r="B42" s="11" t="n"/>
      <c r="C42" s="11" t="n"/>
      <c r="D42" s="12" t="n"/>
      <c r="E42" s="13" t="n"/>
      <c r="F42" s="13" t="n"/>
      <c r="G42" s="13" t="n"/>
      <c r="H42" s="14">
        <f>IF(A42="","",N(E42)+N(F42)-N(G42))</f>
        <v/>
      </c>
      <c r="I42" s="15">
        <f>IF(H42="","",H42*N(D42))</f>
        <v/>
      </c>
      <c r="J42" s="13" t="n"/>
      <c r="K42" s="16">
        <f>IF(A42="","",IF(H42&lt;=0,"Out of stock",IF(H42&lt;=N(J42),"Reorder","OK")))</f>
        <v/>
      </c>
    </row>
    <row r="43">
      <c r="A43" s="5" t="n"/>
      <c r="B43" s="5" t="n"/>
      <c r="C43" s="5" t="n"/>
      <c r="D43" s="6" t="n"/>
      <c r="E43" s="7" t="n"/>
      <c r="F43" s="7" t="n"/>
      <c r="G43" s="7" t="n"/>
      <c r="H43" s="8">
        <f>IF(A43="","",N(E43)+N(F43)-N(G43))</f>
        <v/>
      </c>
      <c r="I43" s="9">
        <f>IF(H43="","",H43*N(D43))</f>
        <v/>
      </c>
      <c r="J43" s="7" t="n"/>
      <c r="K43" s="10">
        <f>IF(A43="","",IF(H43&lt;=0,"Out of stock",IF(H43&lt;=N(J43),"Reorder","OK")))</f>
        <v/>
      </c>
    </row>
    <row r="44">
      <c r="A44" s="11" t="n"/>
      <c r="B44" s="11" t="n"/>
      <c r="C44" s="11" t="n"/>
      <c r="D44" s="12" t="n"/>
      <c r="E44" s="13" t="n"/>
      <c r="F44" s="13" t="n"/>
      <c r="G44" s="13" t="n"/>
      <c r="H44" s="14">
        <f>IF(A44="","",N(E44)+N(F44)-N(G44))</f>
        <v/>
      </c>
      <c r="I44" s="15">
        <f>IF(H44="","",H44*N(D44))</f>
        <v/>
      </c>
      <c r="J44" s="13" t="n"/>
      <c r="K44" s="16">
        <f>IF(A44="","",IF(H44&lt;=0,"Out of stock",IF(H44&lt;=N(J44),"Reorder","OK")))</f>
        <v/>
      </c>
    </row>
    <row r="45">
      <c r="A45" s="5" t="n"/>
      <c r="B45" s="5" t="n"/>
      <c r="C45" s="5" t="n"/>
      <c r="D45" s="6" t="n"/>
      <c r="E45" s="7" t="n"/>
      <c r="F45" s="7" t="n"/>
      <c r="G45" s="7" t="n"/>
      <c r="H45" s="8">
        <f>IF(A45="","",N(E45)+N(F45)-N(G45))</f>
        <v/>
      </c>
      <c r="I45" s="9">
        <f>IF(H45="","",H45*N(D45))</f>
        <v/>
      </c>
      <c r="J45" s="7" t="n"/>
      <c r="K45" s="10">
        <f>IF(A45="","",IF(H45&lt;=0,"Out of stock",IF(H45&lt;=N(J45),"Reorder","OK")))</f>
        <v/>
      </c>
    </row>
    <row r="46">
      <c r="A46" s="11" t="n"/>
      <c r="B46" s="11" t="n"/>
      <c r="C46" s="11" t="n"/>
      <c r="D46" s="12" t="n"/>
      <c r="E46" s="13" t="n"/>
      <c r="F46" s="13" t="n"/>
      <c r="G46" s="13" t="n"/>
      <c r="H46" s="14">
        <f>IF(A46="","",N(E46)+N(F46)-N(G46))</f>
        <v/>
      </c>
      <c r="I46" s="15">
        <f>IF(H46="","",H46*N(D46))</f>
        <v/>
      </c>
      <c r="J46" s="13" t="n"/>
      <c r="K46" s="16">
        <f>IF(A46="","",IF(H46&lt;=0,"Out of stock",IF(H46&lt;=N(J46),"Reorder","OK")))</f>
        <v/>
      </c>
    </row>
    <row r="47">
      <c r="A47" s="5" t="n"/>
      <c r="B47" s="5" t="n"/>
      <c r="C47" s="5" t="n"/>
      <c r="D47" s="6" t="n"/>
      <c r="E47" s="7" t="n"/>
      <c r="F47" s="7" t="n"/>
      <c r="G47" s="7" t="n"/>
      <c r="H47" s="8">
        <f>IF(A47="","",N(E47)+N(F47)-N(G47))</f>
        <v/>
      </c>
      <c r="I47" s="9">
        <f>IF(H47="","",H47*N(D47))</f>
        <v/>
      </c>
      <c r="J47" s="7" t="n"/>
      <c r="K47" s="10">
        <f>IF(A47="","",IF(H47&lt;=0,"Out of stock",IF(H47&lt;=N(J47),"Reorder","OK")))</f>
        <v/>
      </c>
    </row>
    <row r="48">
      <c r="A48" s="11" t="n"/>
      <c r="B48" s="11" t="n"/>
      <c r="C48" s="11" t="n"/>
      <c r="D48" s="12" t="n"/>
      <c r="E48" s="13" t="n"/>
      <c r="F48" s="13" t="n"/>
      <c r="G48" s="13" t="n"/>
      <c r="H48" s="14">
        <f>IF(A48="","",N(E48)+N(F48)-N(G48))</f>
        <v/>
      </c>
      <c r="I48" s="15">
        <f>IF(H48="","",H48*N(D48))</f>
        <v/>
      </c>
      <c r="J48" s="13" t="n"/>
      <c r="K48" s="16">
        <f>IF(A48="","",IF(H48&lt;=0,"Out of stock",IF(H48&lt;=N(J48),"Reorder","OK")))</f>
        <v/>
      </c>
    </row>
    <row r="49">
      <c r="A49" s="5" t="n"/>
      <c r="B49" s="5" t="n"/>
      <c r="C49" s="5" t="n"/>
      <c r="D49" s="6" t="n"/>
      <c r="E49" s="7" t="n"/>
      <c r="F49" s="7" t="n"/>
      <c r="G49" s="7" t="n"/>
      <c r="H49" s="8">
        <f>IF(A49="","",N(E49)+N(F49)-N(G49))</f>
        <v/>
      </c>
      <c r="I49" s="9">
        <f>IF(H49="","",H49*N(D49))</f>
        <v/>
      </c>
      <c r="J49" s="7" t="n"/>
      <c r="K49" s="10">
        <f>IF(A49="","",IF(H49&lt;=0,"Out of stock",IF(H49&lt;=N(J49),"Reorder","OK")))</f>
        <v/>
      </c>
    </row>
    <row r="50">
      <c r="A50" s="11" t="n"/>
      <c r="B50" s="11" t="n"/>
      <c r="C50" s="11" t="n"/>
      <c r="D50" s="12" t="n"/>
      <c r="E50" s="13" t="n"/>
      <c r="F50" s="13" t="n"/>
      <c r="G50" s="13" t="n"/>
      <c r="H50" s="14">
        <f>IF(A50="","",N(E50)+N(F50)-N(G50))</f>
        <v/>
      </c>
      <c r="I50" s="15">
        <f>IF(H50="","",H50*N(D50))</f>
        <v/>
      </c>
      <c r="J50" s="13" t="n"/>
      <c r="K50" s="16">
        <f>IF(A50="","",IF(H50&lt;=0,"Out of stock",IF(H50&lt;=N(J50),"Reorder","OK")))</f>
        <v/>
      </c>
    </row>
    <row r="51">
      <c r="A51" s="5" t="n"/>
      <c r="B51" s="5" t="n"/>
      <c r="C51" s="5" t="n"/>
      <c r="D51" s="6" t="n"/>
      <c r="E51" s="7" t="n"/>
      <c r="F51" s="7" t="n"/>
      <c r="G51" s="7" t="n"/>
      <c r="H51" s="8">
        <f>IF(A51="","",N(E51)+N(F51)-N(G51))</f>
        <v/>
      </c>
      <c r="I51" s="9">
        <f>IF(H51="","",H51*N(D51))</f>
        <v/>
      </c>
      <c r="J51" s="7" t="n"/>
      <c r="K51" s="10">
        <f>IF(A51="","",IF(H51&lt;=0,"Out of stock",IF(H51&lt;=N(J51),"Reorder","OK")))</f>
        <v/>
      </c>
    </row>
    <row r="52">
      <c r="A52" s="11" t="n"/>
      <c r="B52" s="11" t="n"/>
      <c r="C52" s="11" t="n"/>
      <c r="D52" s="12" t="n"/>
      <c r="E52" s="13" t="n"/>
      <c r="F52" s="13" t="n"/>
      <c r="G52" s="13" t="n"/>
      <c r="H52" s="14">
        <f>IF(A52="","",N(E52)+N(F52)-N(G52))</f>
        <v/>
      </c>
      <c r="I52" s="15">
        <f>IF(H52="","",H52*N(D52))</f>
        <v/>
      </c>
      <c r="J52" s="13" t="n"/>
      <c r="K52" s="16">
        <f>IF(A52="","",IF(H52&lt;=0,"Out of stock",IF(H52&lt;=N(J52),"Reorder","OK")))</f>
        <v/>
      </c>
    </row>
    <row r="53">
      <c r="A53" s="5" t="n"/>
      <c r="B53" s="5" t="n"/>
      <c r="C53" s="5" t="n"/>
      <c r="D53" s="6" t="n"/>
      <c r="E53" s="7" t="n"/>
      <c r="F53" s="7" t="n"/>
      <c r="G53" s="7" t="n"/>
      <c r="H53" s="8">
        <f>IF(A53="","",N(E53)+N(F53)-N(G53))</f>
        <v/>
      </c>
      <c r="I53" s="9">
        <f>IF(H53="","",H53*N(D53))</f>
        <v/>
      </c>
      <c r="J53" s="7" t="n"/>
      <c r="K53" s="10">
        <f>IF(A53="","",IF(H53&lt;=0,"Out of stock",IF(H53&lt;=N(J53),"Reorder","OK")))</f>
        <v/>
      </c>
    </row>
    <row r="54">
      <c r="A54" s="11" t="n"/>
      <c r="B54" s="11" t="n"/>
      <c r="C54" s="11" t="n"/>
      <c r="D54" s="12" t="n"/>
      <c r="E54" s="13" t="n"/>
      <c r="F54" s="13" t="n"/>
      <c r="G54" s="13" t="n"/>
      <c r="H54" s="14">
        <f>IF(A54="","",N(E54)+N(F54)-N(G54))</f>
        <v/>
      </c>
      <c r="I54" s="15">
        <f>IF(H54="","",H54*N(D54))</f>
        <v/>
      </c>
      <c r="J54" s="13" t="n"/>
      <c r="K54" s="16">
        <f>IF(A54="","",IF(H54&lt;=0,"Out of stock",IF(H54&lt;=N(J54),"Reorder","OK")))</f>
        <v/>
      </c>
    </row>
    <row r="55">
      <c r="A55" s="5" t="n"/>
      <c r="B55" s="5" t="n"/>
      <c r="C55" s="5" t="n"/>
      <c r="D55" s="6" t="n"/>
      <c r="E55" s="7" t="n"/>
      <c r="F55" s="7" t="n"/>
      <c r="G55" s="7" t="n"/>
      <c r="H55" s="8">
        <f>IF(A55="","",N(E55)+N(F55)-N(G55))</f>
        <v/>
      </c>
      <c r="I55" s="9">
        <f>IF(H55="","",H55*N(D55))</f>
        <v/>
      </c>
      <c r="J55" s="7" t="n"/>
      <c r="K55" s="10">
        <f>IF(A55="","",IF(H55&lt;=0,"Out of stock",IF(H55&lt;=N(J55),"Reorder","OK")))</f>
        <v/>
      </c>
    </row>
    <row r="56">
      <c r="A56" s="11" t="n"/>
      <c r="B56" s="11" t="n"/>
      <c r="C56" s="11" t="n"/>
      <c r="D56" s="12" t="n"/>
      <c r="E56" s="13" t="n"/>
      <c r="F56" s="13" t="n"/>
      <c r="G56" s="13" t="n"/>
      <c r="H56" s="14">
        <f>IF(A56="","",N(E56)+N(F56)-N(G56))</f>
        <v/>
      </c>
      <c r="I56" s="15">
        <f>IF(H56="","",H56*N(D56))</f>
        <v/>
      </c>
      <c r="J56" s="13" t="n"/>
      <c r="K56" s="16">
        <f>IF(A56="","",IF(H56&lt;=0,"Out of stock",IF(H56&lt;=N(J56),"Reorder","OK")))</f>
        <v/>
      </c>
    </row>
    <row r="57">
      <c r="A57" s="5" t="n"/>
      <c r="B57" s="5" t="n"/>
      <c r="C57" s="5" t="n"/>
      <c r="D57" s="6" t="n"/>
      <c r="E57" s="7" t="n"/>
      <c r="F57" s="7" t="n"/>
      <c r="G57" s="7" t="n"/>
      <c r="H57" s="8">
        <f>IF(A57="","",N(E57)+N(F57)-N(G57))</f>
        <v/>
      </c>
      <c r="I57" s="9">
        <f>IF(H57="","",H57*N(D57))</f>
        <v/>
      </c>
      <c r="J57" s="7" t="n"/>
      <c r="K57" s="10">
        <f>IF(A57="","",IF(H57&lt;=0,"Out of stock",IF(H57&lt;=N(J57),"Reorder","OK")))</f>
        <v/>
      </c>
    </row>
    <row r="58">
      <c r="A58" s="11" t="n"/>
      <c r="B58" s="11" t="n"/>
      <c r="C58" s="11" t="n"/>
      <c r="D58" s="12" t="n"/>
      <c r="E58" s="13" t="n"/>
      <c r="F58" s="13" t="n"/>
      <c r="G58" s="13" t="n"/>
      <c r="H58" s="14">
        <f>IF(A58="","",N(E58)+N(F58)-N(G58))</f>
        <v/>
      </c>
      <c r="I58" s="15">
        <f>IF(H58="","",H58*N(D58))</f>
        <v/>
      </c>
      <c r="J58" s="13" t="n"/>
      <c r="K58" s="16">
        <f>IF(A58="","",IF(H58&lt;=0,"Out of stock",IF(H58&lt;=N(J58),"Reorder","OK")))</f>
        <v/>
      </c>
    </row>
    <row r="59">
      <c r="A59" s="5" t="n"/>
      <c r="B59" s="5" t="n"/>
      <c r="C59" s="5" t="n"/>
      <c r="D59" s="6" t="n"/>
      <c r="E59" s="7" t="n"/>
      <c r="F59" s="7" t="n"/>
      <c r="G59" s="7" t="n"/>
      <c r="H59" s="8">
        <f>IF(A59="","",N(E59)+N(F59)-N(G59))</f>
        <v/>
      </c>
      <c r="I59" s="9">
        <f>IF(H59="","",H59*N(D59))</f>
        <v/>
      </c>
      <c r="J59" s="7" t="n"/>
      <c r="K59" s="10">
        <f>IF(A59="","",IF(H59&lt;=0,"Out of stock",IF(H59&lt;=N(J59),"Reorder","OK")))</f>
        <v/>
      </c>
    </row>
    <row r="60">
      <c r="A60" s="11" t="n"/>
      <c r="B60" s="11" t="n"/>
      <c r="C60" s="11" t="n"/>
      <c r="D60" s="12" t="n"/>
      <c r="E60" s="13" t="n"/>
      <c r="F60" s="13" t="n"/>
      <c r="G60" s="13" t="n"/>
      <c r="H60" s="14">
        <f>IF(A60="","",N(E60)+N(F60)-N(G60))</f>
        <v/>
      </c>
      <c r="I60" s="15">
        <f>IF(H60="","",H60*N(D60))</f>
        <v/>
      </c>
      <c r="J60" s="13" t="n"/>
      <c r="K60" s="16">
        <f>IF(A60="","",IF(H60&lt;=0,"Out of stock",IF(H60&lt;=N(J60),"Reorder","OK")))</f>
        <v/>
      </c>
    </row>
    <row r="61">
      <c r="A61" s="5" t="n"/>
      <c r="B61" s="5" t="n"/>
      <c r="C61" s="5" t="n"/>
      <c r="D61" s="6" t="n"/>
      <c r="E61" s="7" t="n"/>
      <c r="F61" s="7" t="n"/>
      <c r="G61" s="7" t="n"/>
      <c r="H61" s="8">
        <f>IF(A61="","",N(E61)+N(F61)-N(G61))</f>
        <v/>
      </c>
      <c r="I61" s="9">
        <f>IF(H61="","",H61*N(D61))</f>
        <v/>
      </c>
      <c r="J61" s="7" t="n"/>
      <c r="K61" s="10">
        <f>IF(A61="","",IF(H61&lt;=0,"Out of stock",IF(H61&lt;=N(J61),"Reorder","OK")))</f>
        <v/>
      </c>
    </row>
    <row r="62">
      <c r="A62" s="11" t="n"/>
      <c r="B62" s="11" t="n"/>
      <c r="C62" s="11" t="n"/>
      <c r="D62" s="12" t="n"/>
      <c r="E62" s="13" t="n"/>
      <c r="F62" s="13" t="n"/>
      <c r="G62" s="13" t="n"/>
      <c r="H62" s="14">
        <f>IF(A62="","",N(E62)+N(F62)-N(G62))</f>
        <v/>
      </c>
      <c r="I62" s="15">
        <f>IF(H62="","",H62*N(D62))</f>
        <v/>
      </c>
      <c r="J62" s="13" t="n"/>
      <c r="K62" s="16">
        <f>IF(A62="","",IF(H62&lt;=0,"Out of stock",IF(H62&lt;=N(J62),"Reorder","OK")))</f>
        <v/>
      </c>
    </row>
    <row r="63">
      <c r="A63" s="5" t="n"/>
      <c r="B63" s="5" t="n"/>
      <c r="C63" s="5" t="n"/>
      <c r="D63" s="6" t="n"/>
      <c r="E63" s="7" t="n"/>
      <c r="F63" s="7" t="n"/>
      <c r="G63" s="7" t="n"/>
      <c r="H63" s="8">
        <f>IF(A63="","",N(E63)+N(F63)-N(G63))</f>
        <v/>
      </c>
      <c r="I63" s="9">
        <f>IF(H63="","",H63*N(D63))</f>
        <v/>
      </c>
      <c r="J63" s="7" t="n"/>
      <c r="K63" s="10">
        <f>IF(A63="","",IF(H63&lt;=0,"Out of stock",IF(H63&lt;=N(J63),"Reorder","OK")))</f>
        <v/>
      </c>
    </row>
    <row r="64">
      <c r="A64" s="11" t="n"/>
      <c r="B64" s="11" t="n"/>
      <c r="C64" s="11" t="n"/>
      <c r="D64" s="12" t="n"/>
      <c r="E64" s="13" t="n"/>
      <c r="F64" s="13" t="n"/>
      <c r="G64" s="13" t="n"/>
      <c r="H64" s="14">
        <f>IF(A64="","",N(E64)+N(F64)-N(G64))</f>
        <v/>
      </c>
      <c r="I64" s="15">
        <f>IF(H64="","",H64*N(D64))</f>
        <v/>
      </c>
      <c r="J64" s="13" t="n"/>
      <c r="K64" s="16">
        <f>IF(A64="","",IF(H64&lt;=0,"Out of stock",IF(H64&lt;=N(J64),"Reorder","OK")))</f>
        <v/>
      </c>
    </row>
    <row r="65">
      <c r="A65" s="5" t="n"/>
      <c r="B65" s="5" t="n"/>
      <c r="C65" s="5" t="n"/>
      <c r="D65" s="6" t="n"/>
      <c r="E65" s="7" t="n"/>
      <c r="F65" s="7" t="n"/>
      <c r="G65" s="7" t="n"/>
      <c r="H65" s="8">
        <f>IF(A65="","",N(E65)+N(F65)-N(G65))</f>
        <v/>
      </c>
      <c r="I65" s="9">
        <f>IF(H65="","",H65*N(D65))</f>
        <v/>
      </c>
      <c r="J65" s="7" t="n"/>
      <c r="K65" s="10">
        <f>IF(A65="","",IF(H65&lt;=0,"Out of stock",IF(H65&lt;=N(J65),"Reorder","OK")))</f>
        <v/>
      </c>
    </row>
    <row r="66">
      <c r="A66" s="11" t="n"/>
      <c r="B66" s="11" t="n"/>
      <c r="C66" s="11" t="n"/>
      <c r="D66" s="12" t="n"/>
      <c r="E66" s="13" t="n"/>
      <c r="F66" s="13" t="n"/>
      <c r="G66" s="13" t="n"/>
      <c r="H66" s="14">
        <f>IF(A66="","",N(E66)+N(F66)-N(G66))</f>
        <v/>
      </c>
      <c r="I66" s="15">
        <f>IF(H66="","",H66*N(D66))</f>
        <v/>
      </c>
      <c r="J66" s="13" t="n"/>
      <c r="K66" s="16">
        <f>IF(A66="","",IF(H66&lt;=0,"Out of stock",IF(H66&lt;=N(J66),"Reorder","OK")))</f>
        <v/>
      </c>
    </row>
    <row r="67">
      <c r="A67" s="5" t="n"/>
      <c r="B67" s="5" t="n"/>
      <c r="C67" s="5" t="n"/>
      <c r="D67" s="6" t="n"/>
      <c r="E67" s="7" t="n"/>
      <c r="F67" s="7" t="n"/>
      <c r="G67" s="7" t="n"/>
      <c r="H67" s="8">
        <f>IF(A67="","",N(E67)+N(F67)-N(G67))</f>
        <v/>
      </c>
      <c r="I67" s="9">
        <f>IF(H67="","",H67*N(D67))</f>
        <v/>
      </c>
      <c r="J67" s="7" t="n"/>
      <c r="K67" s="10">
        <f>IF(A67="","",IF(H67&lt;=0,"Out of stock",IF(H67&lt;=N(J67),"Reorder","OK")))</f>
        <v/>
      </c>
    </row>
    <row r="68">
      <c r="A68" s="11" t="n"/>
      <c r="B68" s="11" t="n"/>
      <c r="C68" s="11" t="n"/>
      <c r="D68" s="12" t="n"/>
      <c r="E68" s="13" t="n"/>
      <c r="F68" s="13" t="n"/>
      <c r="G68" s="13" t="n"/>
      <c r="H68" s="14">
        <f>IF(A68="","",N(E68)+N(F68)-N(G68))</f>
        <v/>
      </c>
      <c r="I68" s="15">
        <f>IF(H68="","",H68*N(D68))</f>
        <v/>
      </c>
      <c r="J68" s="13" t="n"/>
      <c r="K68" s="16">
        <f>IF(A68="","",IF(H68&lt;=0,"Out of stock",IF(H68&lt;=N(J68),"Reorder","OK")))</f>
        <v/>
      </c>
    </row>
    <row r="69">
      <c r="A69" s="5" t="n"/>
      <c r="B69" s="5" t="n"/>
      <c r="C69" s="5" t="n"/>
      <c r="D69" s="6" t="n"/>
      <c r="E69" s="7" t="n"/>
      <c r="F69" s="7" t="n"/>
      <c r="G69" s="7" t="n"/>
      <c r="H69" s="8">
        <f>IF(A69="","",N(E69)+N(F69)-N(G69))</f>
        <v/>
      </c>
      <c r="I69" s="9">
        <f>IF(H69="","",H69*N(D69))</f>
        <v/>
      </c>
      <c r="J69" s="7" t="n"/>
      <c r="K69" s="10">
        <f>IF(A69="","",IF(H69&lt;=0,"Out of stock",IF(H69&lt;=N(J69),"Reorder","OK")))</f>
        <v/>
      </c>
    </row>
    <row r="70">
      <c r="A70" s="11" t="n"/>
      <c r="B70" s="11" t="n"/>
      <c r="C70" s="11" t="n"/>
      <c r="D70" s="12" t="n"/>
      <c r="E70" s="13" t="n"/>
      <c r="F70" s="13" t="n"/>
      <c r="G70" s="13" t="n"/>
      <c r="H70" s="14">
        <f>IF(A70="","",N(E70)+N(F70)-N(G70))</f>
        <v/>
      </c>
      <c r="I70" s="15">
        <f>IF(H70="","",H70*N(D70))</f>
        <v/>
      </c>
      <c r="J70" s="13" t="n"/>
      <c r="K70" s="16">
        <f>IF(A70="","",IF(H70&lt;=0,"Out of stock",IF(H70&lt;=N(J70),"Reorder","OK")))</f>
        <v/>
      </c>
    </row>
    <row r="71">
      <c r="A71" s="5" t="n"/>
      <c r="B71" s="5" t="n"/>
      <c r="C71" s="5" t="n"/>
      <c r="D71" s="6" t="n"/>
      <c r="E71" s="7" t="n"/>
      <c r="F71" s="7" t="n"/>
      <c r="G71" s="7" t="n"/>
      <c r="H71" s="8">
        <f>IF(A71="","",N(E71)+N(F71)-N(G71))</f>
        <v/>
      </c>
      <c r="I71" s="9">
        <f>IF(H71="","",H71*N(D71))</f>
        <v/>
      </c>
      <c r="J71" s="7" t="n"/>
      <c r="K71" s="10">
        <f>IF(A71="","",IF(H71&lt;=0,"Out of stock",IF(H71&lt;=N(J71),"Reorder","OK")))</f>
        <v/>
      </c>
    </row>
    <row r="72">
      <c r="A72" s="11" t="n"/>
      <c r="B72" s="11" t="n"/>
      <c r="C72" s="11" t="n"/>
      <c r="D72" s="12" t="n"/>
      <c r="E72" s="13" t="n"/>
      <c r="F72" s="13" t="n"/>
      <c r="G72" s="13" t="n"/>
      <c r="H72" s="14">
        <f>IF(A72="","",N(E72)+N(F72)-N(G72))</f>
        <v/>
      </c>
      <c r="I72" s="15">
        <f>IF(H72="","",H72*N(D72))</f>
        <v/>
      </c>
      <c r="J72" s="13" t="n"/>
      <c r="K72" s="16">
        <f>IF(A72="","",IF(H72&lt;=0,"Out of stock",IF(H72&lt;=N(J72),"Reorder","OK")))</f>
        <v/>
      </c>
    </row>
    <row r="73">
      <c r="A73" s="5" t="n"/>
      <c r="B73" s="5" t="n"/>
      <c r="C73" s="5" t="n"/>
      <c r="D73" s="6" t="n"/>
      <c r="E73" s="7" t="n"/>
      <c r="F73" s="7" t="n"/>
      <c r="G73" s="7" t="n"/>
      <c r="H73" s="8">
        <f>IF(A73="","",N(E73)+N(F73)-N(G73))</f>
        <v/>
      </c>
      <c r="I73" s="9">
        <f>IF(H73="","",H73*N(D73))</f>
        <v/>
      </c>
      <c r="J73" s="7" t="n"/>
      <c r="K73" s="10">
        <f>IF(A73="","",IF(H73&lt;=0,"Out of stock",IF(H73&lt;=N(J73),"Reorder","OK")))</f>
        <v/>
      </c>
    </row>
    <row r="74">
      <c r="A74" s="11" t="n"/>
      <c r="B74" s="11" t="n"/>
      <c r="C74" s="11" t="n"/>
      <c r="D74" s="12" t="n"/>
      <c r="E74" s="13" t="n"/>
      <c r="F74" s="13" t="n"/>
      <c r="G74" s="13" t="n"/>
      <c r="H74" s="14">
        <f>IF(A74="","",N(E74)+N(F74)-N(G74))</f>
        <v/>
      </c>
      <c r="I74" s="15">
        <f>IF(H74="","",H74*N(D74))</f>
        <v/>
      </c>
      <c r="J74" s="13" t="n"/>
      <c r="K74" s="16">
        <f>IF(A74="","",IF(H74&lt;=0,"Out of stock",IF(H74&lt;=N(J74),"Reorder","OK")))</f>
        <v/>
      </c>
    </row>
    <row r="75">
      <c r="A75" s="5" t="n"/>
      <c r="B75" s="5" t="n"/>
      <c r="C75" s="5" t="n"/>
      <c r="D75" s="6" t="n"/>
      <c r="E75" s="7" t="n"/>
      <c r="F75" s="7" t="n"/>
      <c r="G75" s="7" t="n"/>
      <c r="H75" s="8">
        <f>IF(A75="","",N(E75)+N(F75)-N(G75))</f>
        <v/>
      </c>
      <c r="I75" s="9">
        <f>IF(H75="","",H75*N(D75))</f>
        <v/>
      </c>
      <c r="J75" s="7" t="n"/>
      <c r="K75" s="10">
        <f>IF(A75="","",IF(H75&lt;=0,"Out of stock",IF(H75&lt;=N(J75),"Reorder","OK")))</f>
        <v/>
      </c>
    </row>
    <row r="76">
      <c r="A76" s="11" t="n"/>
      <c r="B76" s="11" t="n"/>
      <c r="C76" s="11" t="n"/>
      <c r="D76" s="12" t="n"/>
      <c r="E76" s="13" t="n"/>
      <c r="F76" s="13" t="n"/>
      <c r="G76" s="13" t="n"/>
      <c r="H76" s="14">
        <f>IF(A76="","",N(E76)+N(F76)-N(G76))</f>
        <v/>
      </c>
      <c r="I76" s="15">
        <f>IF(H76="","",H76*N(D76))</f>
        <v/>
      </c>
      <c r="J76" s="13" t="n"/>
      <c r="K76" s="16">
        <f>IF(A76="","",IF(H76&lt;=0,"Out of stock",IF(H76&lt;=N(J76),"Reorder","OK")))</f>
        <v/>
      </c>
    </row>
    <row r="77">
      <c r="A77" s="5" t="n"/>
      <c r="B77" s="5" t="n"/>
      <c r="C77" s="5" t="n"/>
      <c r="D77" s="6" t="n"/>
      <c r="E77" s="7" t="n"/>
      <c r="F77" s="7" t="n"/>
      <c r="G77" s="7" t="n"/>
      <c r="H77" s="8">
        <f>IF(A77="","",N(E77)+N(F77)-N(G77))</f>
        <v/>
      </c>
      <c r="I77" s="9">
        <f>IF(H77="","",H77*N(D77))</f>
        <v/>
      </c>
      <c r="J77" s="7" t="n"/>
      <c r="K77" s="10">
        <f>IF(A77="","",IF(H77&lt;=0,"Out of stock",IF(H77&lt;=N(J77),"Reorder","OK")))</f>
        <v/>
      </c>
    </row>
    <row r="78">
      <c r="A78" s="11" t="n"/>
      <c r="B78" s="11" t="n"/>
      <c r="C78" s="11" t="n"/>
      <c r="D78" s="12" t="n"/>
      <c r="E78" s="13" t="n"/>
      <c r="F78" s="13" t="n"/>
      <c r="G78" s="13" t="n"/>
      <c r="H78" s="14">
        <f>IF(A78="","",N(E78)+N(F78)-N(G78))</f>
        <v/>
      </c>
      <c r="I78" s="15">
        <f>IF(H78="","",H78*N(D78))</f>
        <v/>
      </c>
      <c r="J78" s="13" t="n"/>
      <c r="K78" s="16">
        <f>IF(A78="","",IF(H78&lt;=0,"Out of stock",IF(H78&lt;=N(J78),"Reorder","OK")))</f>
        <v/>
      </c>
    </row>
    <row r="79">
      <c r="A79" s="5" t="n"/>
      <c r="B79" s="5" t="n"/>
      <c r="C79" s="5" t="n"/>
      <c r="D79" s="6" t="n"/>
      <c r="E79" s="7" t="n"/>
      <c r="F79" s="7" t="n"/>
      <c r="G79" s="7" t="n"/>
      <c r="H79" s="8">
        <f>IF(A79="","",N(E79)+N(F79)-N(G79))</f>
        <v/>
      </c>
      <c r="I79" s="9">
        <f>IF(H79="","",H79*N(D79))</f>
        <v/>
      </c>
      <c r="J79" s="7" t="n"/>
      <c r="K79" s="10">
        <f>IF(A79="","",IF(H79&lt;=0,"Out of stock",IF(H79&lt;=N(J79),"Reorder","OK")))</f>
        <v/>
      </c>
    </row>
    <row r="80">
      <c r="A80" s="11" t="n"/>
      <c r="B80" s="11" t="n"/>
      <c r="C80" s="11" t="n"/>
      <c r="D80" s="12" t="n"/>
      <c r="E80" s="13" t="n"/>
      <c r="F80" s="13" t="n"/>
      <c r="G80" s="13" t="n"/>
      <c r="H80" s="14">
        <f>IF(A80="","",N(E80)+N(F80)-N(G80))</f>
        <v/>
      </c>
      <c r="I80" s="15">
        <f>IF(H80="","",H80*N(D80))</f>
        <v/>
      </c>
      <c r="J80" s="13" t="n"/>
      <c r="K80" s="16">
        <f>IF(A80="","",IF(H80&lt;=0,"Out of stock",IF(H80&lt;=N(J80),"Reorder","OK")))</f>
        <v/>
      </c>
    </row>
    <row r="81">
      <c r="A81" s="5" t="n"/>
      <c r="B81" s="5" t="n"/>
      <c r="C81" s="5" t="n"/>
      <c r="D81" s="6" t="n"/>
      <c r="E81" s="7" t="n"/>
      <c r="F81" s="7" t="n"/>
      <c r="G81" s="7" t="n"/>
      <c r="H81" s="8">
        <f>IF(A81="","",N(E81)+N(F81)-N(G81))</f>
        <v/>
      </c>
      <c r="I81" s="9">
        <f>IF(H81="","",H81*N(D81))</f>
        <v/>
      </c>
      <c r="J81" s="7" t="n"/>
      <c r="K81" s="10">
        <f>IF(A81="","",IF(H81&lt;=0,"Out of stock",IF(H81&lt;=N(J81),"Reorder","OK")))</f>
        <v/>
      </c>
    </row>
    <row r="82">
      <c r="A82" s="11" t="n"/>
      <c r="B82" s="11" t="n"/>
      <c r="C82" s="11" t="n"/>
      <c r="D82" s="12" t="n"/>
      <c r="E82" s="13" t="n"/>
      <c r="F82" s="13" t="n"/>
      <c r="G82" s="13" t="n"/>
      <c r="H82" s="14">
        <f>IF(A82="","",N(E82)+N(F82)-N(G82))</f>
        <v/>
      </c>
      <c r="I82" s="15">
        <f>IF(H82="","",H82*N(D82))</f>
        <v/>
      </c>
      <c r="J82" s="13" t="n"/>
      <c r="K82" s="16">
        <f>IF(A82="","",IF(H82&lt;=0,"Out of stock",IF(H82&lt;=N(J82),"Reorder","OK")))</f>
        <v/>
      </c>
    </row>
    <row r="83">
      <c r="A83" s="5" t="n"/>
      <c r="B83" s="5" t="n"/>
      <c r="C83" s="5" t="n"/>
      <c r="D83" s="6" t="n"/>
      <c r="E83" s="7" t="n"/>
      <c r="F83" s="7" t="n"/>
      <c r="G83" s="7" t="n"/>
      <c r="H83" s="8">
        <f>IF(A83="","",N(E83)+N(F83)-N(G83))</f>
        <v/>
      </c>
      <c r="I83" s="9">
        <f>IF(H83="","",H83*N(D83))</f>
        <v/>
      </c>
      <c r="J83" s="7" t="n"/>
      <c r="K83" s="10">
        <f>IF(A83="","",IF(H83&lt;=0,"Out of stock",IF(H83&lt;=N(J83),"Reorder","OK")))</f>
        <v/>
      </c>
    </row>
    <row r="84">
      <c r="A84" s="11" t="n"/>
      <c r="B84" s="11" t="n"/>
      <c r="C84" s="11" t="n"/>
      <c r="D84" s="12" t="n"/>
      <c r="E84" s="13" t="n"/>
      <c r="F84" s="13" t="n"/>
      <c r="G84" s="13" t="n"/>
      <c r="H84" s="14">
        <f>IF(A84="","",N(E84)+N(F84)-N(G84))</f>
        <v/>
      </c>
      <c r="I84" s="15">
        <f>IF(H84="","",H84*N(D84))</f>
        <v/>
      </c>
      <c r="J84" s="13" t="n"/>
      <c r="K84" s="16">
        <f>IF(A84="","",IF(H84&lt;=0,"Out of stock",IF(H84&lt;=N(J84),"Reorder","OK")))</f>
        <v/>
      </c>
    </row>
    <row r="85">
      <c r="A85" s="5" t="n"/>
      <c r="B85" s="5" t="n"/>
      <c r="C85" s="5" t="n"/>
      <c r="D85" s="6" t="n"/>
      <c r="E85" s="7" t="n"/>
      <c r="F85" s="7" t="n"/>
      <c r="G85" s="7" t="n"/>
      <c r="H85" s="8">
        <f>IF(A85="","",N(E85)+N(F85)-N(G85))</f>
        <v/>
      </c>
      <c r="I85" s="9">
        <f>IF(H85="","",H85*N(D85))</f>
        <v/>
      </c>
      <c r="J85" s="7" t="n"/>
      <c r="K85" s="10">
        <f>IF(A85="","",IF(H85&lt;=0,"Out of stock",IF(H85&lt;=N(J85),"Reorder","OK")))</f>
        <v/>
      </c>
    </row>
    <row r="86">
      <c r="A86" s="11" t="n"/>
      <c r="B86" s="11" t="n"/>
      <c r="C86" s="11" t="n"/>
      <c r="D86" s="12" t="n"/>
      <c r="E86" s="13" t="n"/>
      <c r="F86" s="13" t="n"/>
      <c r="G86" s="13" t="n"/>
      <c r="H86" s="14">
        <f>IF(A86="","",N(E86)+N(F86)-N(G86))</f>
        <v/>
      </c>
      <c r="I86" s="15">
        <f>IF(H86="","",H86*N(D86))</f>
        <v/>
      </c>
      <c r="J86" s="13" t="n"/>
      <c r="K86" s="16">
        <f>IF(A86="","",IF(H86&lt;=0,"Out of stock",IF(H86&lt;=N(J86),"Reorder","OK")))</f>
        <v/>
      </c>
    </row>
    <row r="87">
      <c r="A87" s="5" t="n"/>
      <c r="B87" s="5" t="n"/>
      <c r="C87" s="5" t="n"/>
      <c r="D87" s="6" t="n"/>
      <c r="E87" s="7" t="n"/>
      <c r="F87" s="7" t="n"/>
      <c r="G87" s="7" t="n"/>
      <c r="H87" s="8">
        <f>IF(A87="","",N(E87)+N(F87)-N(G87))</f>
        <v/>
      </c>
      <c r="I87" s="9">
        <f>IF(H87="","",H87*N(D87))</f>
        <v/>
      </c>
      <c r="J87" s="7" t="n"/>
      <c r="K87" s="10">
        <f>IF(A87="","",IF(H87&lt;=0,"Out of stock",IF(H87&lt;=N(J87),"Reorder","OK")))</f>
        <v/>
      </c>
    </row>
    <row r="88">
      <c r="A88" s="11" t="n"/>
      <c r="B88" s="11" t="n"/>
      <c r="C88" s="11" t="n"/>
      <c r="D88" s="12" t="n"/>
      <c r="E88" s="13" t="n"/>
      <c r="F88" s="13" t="n"/>
      <c r="G88" s="13" t="n"/>
      <c r="H88" s="14">
        <f>IF(A88="","",N(E88)+N(F88)-N(G88))</f>
        <v/>
      </c>
      <c r="I88" s="15">
        <f>IF(H88="","",H88*N(D88))</f>
        <v/>
      </c>
      <c r="J88" s="13" t="n"/>
      <c r="K88" s="16">
        <f>IF(A88="","",IF(H88&lt;=0,"Out of stock",IF(H88&lt;=N(J88),"Reorder","OK")))</f>
        <v/>
      </c>
    </row>
    <row r="89">
      <c r="A89" s="5" t="n"/>
      <c r="B89" s="5" t="n"/>
      <c r="C89" s="5" t="n"/>
      <c r="D89" s="6" t="n"/>
      <c r="E89" s="7" t="n"/>
      <c r="F89" s="7" t="n"/>
      <c r="G89" s="7" t="n"/>
      <c r="H89" s="8">
        <f>IF(A89="","",N(E89)+N(F89)-N(G89))</f>
        <v/>
      </c>
      <c r="I89" s="9">
        <f>IF(H89="","",H89*N(D89))</f>
        <v/>
      </c>
      <c r="J89" s="7" t="n"/>
      <c r="K89" s="10">
        <f>IF(A89="","",IF(H89&lt;=0,"Out of stock",IF(H89&lt;=N(J89),"Reorder","OK")))</f>
        <v/>
      </c>
    </row>
    <row r="90">
      <c r="A90" s="11" t="n"/>
      <c r="B90" s="11" t="n"/>
      <c r="C90" s="11" t="n"/>
      <c r="D90" s="12" t="n"/>
      <c r="E90" s="13" t="n"/>
      <c r="F90" s="13" t="n"/>
      <c r="G90" s="13" t="n"/>
      <c r="H90" s="14">
        <f>IF(A90="","",N(E90)+N(F90)-N(G90))</f>
        <v/>
      </c>
      <c r="I90" s="15">
        <f>IF(H90="","",H90*N(D90))</f>
        <v/>
      </c>
      <c r="J90" s="13" t="n"/>
      <c r="K90" s="16">
        <f>IF(A90="","",IF(H90&lt;=0,"Out of stock",IF(H90&lt;=N(J90),"Reorder","OK")))</f>
        <v/>
      </c>
    </row>
    <row r="91">
      <c r="A91" s="5" t="n"/>
      <c r="B91" s="5" t="n"/>
      <c r="C91" s="5" t="n"/>
      <c r="D91" s="6" t="n"/>
      <c r="E91" s="7" t="n"/>
      <c r="F91" s="7" t="n"/>
      <c r="G91" s="7" t="n"/>
      <c r="H91" s="8">
        <f>IF(A91="","",N(E91)+N(F91)-N(G91))</f>
        <v/>
      </c>
      <c r="I91" s="9">
        <f>IF(H91="","",H91*N(D91))</f>
        <v/>
      </c>
      <c r="J91" s="7" t="n"/>
      <c r="K91" s="10">
        <f>IF(A91="","",IF(H91&lt;=0,"Out of stock",IF(H91&lt;=N(J91),"Reorder","OK")))</f>
        <v/>
      </c>
    </row>
    <row r="92">
      <c r="A92" s="11" t="n"/>
      <c r="B92" s="11" t="n"/>
      <c r="C92" s="11" t="n"/>
      <c r="D92" s="12" t="n"/>
      <c r="E92" s="13" t="n"/>
      <c r="F92" s="13" t="n"/>
      <c r="G92" s="13" t="n"/>
      <c r="H92" s="14">
        <f>IF(A92="","",N(E92)+N(F92)-N(G92))</f>
        <v/>
      </c>
      <c r="I92" s="15">
        <f>IF(H92="","",H92*N(D92))</f>
        <v/>
      </c>
      <c r="J92" s="13" t="n"/>
      <c r="K92" s="16">
        <f>IF(A92="","",IF(H92&lt;=0,"Out of stock",IF(H92&lt;=N(J92),"Reorder","OK")))</f>
        <v/>
      </c>
    </row>
    <row r="93">
      <c r="A93" s="5" t="n"/>
      <c r="B93" s="5" t="n"/>
      <c r="C93" s="5" t="n"/>
      <c r="D93" s="6" t="n"/>
      <c r="E93" s="7" t="n"/>
      <c r="F93" s="7" t="n"/>
      <c r="G93" s="7" t="n"/>
      <c r="H93" s="8">
        <f>IF(A93="","",N(E93)+N(F93)-N(G93))</f>
        <v/>
      </c>
      <c r="I93" s="9">
        <f>IF(H93="","",H93*N(D93))</f>
        <v/>
      </c>
      <c r="J93" s="7" t="n"/>
      <c r="K93" s="10">
        <f>IF(A93="","",IF(H93&lt;=0,"Out of stock",IF(H93&lt;=N(J93),"Reorder","OK")))</f>
        <v/>
      </c>
    </row>
    <row r="94">
      <c r="A94" s="11" t="n"/>
      <c r="B94" s="11" t="n"/>
      <c r="C94" s="11" t="n"/>
      <c r="D94" s="12" t="n"/>
      <c r="E94" s="13" t="n"/>
      <c r="F94" s="13" t="n"/>
      <c r="G94" s="13" t="n"/>
      <c r="H94" s="14">
        <f>IF(A94="","",N(E94)+N(F94)-N(G94))</f>
        <v/>
      </c>
      <c r="I94" s="15">
        <f>IF(H94="","",H94*N(D94))</f>
        <v/>
      </c>
      <c r="J94" s="13" t="n"/>
      <c r="K94" s="16">
        <f>IF(A94="","",IF(H94&lt;=0,"Out of stock",IF(H94&lt;=N(J94),"Reorder","OK")))</f>
        <v/>
      </c>
    </row>
    <row r="95">
      <c r="A95" s="5" t="n"/>
      <c r="B95" s="5" t="n"/>
      <c r="C95" s="5" t="n"/>
      <c r="D95" s="6" t="n"/>
      <c r="E95" s="7" t="n"/>
      <c r="F95" s="7" t="n"/>
      <c r="G95" s="7" t="n"/>
      <c r="H95" s="8">
        <f>IF(A95="","",N(E95)+N(F95)-N(G95))</f>
        <v/>
      </c>
      <c r="I95" s="9">
        <f>IF(H95="","",H95*N(D95))</f>
        <v/>
      </c>
      <c r="J95" s="7" t="n"/>
      <c r="K95" s="10">
        <f>IF(A95="","",IF(H95&lt;=0,"Out of stock",IF(H95&lt;=N(J95),"Reorder","OK")))</f>
        <v/>
      </c>
    </row>
    <row r="96">
      <c r="A96" s="11" t="n"/>
      <c r="B96" s="11" t="n"/>
      <c r="C96" s="11" t="n"/>
      <c r="D96" s="12" t="n"/>
      <c r="E96" s="13" t="n"/>
      <c r="F96" s="13" t="n"/>
      <c r="G96" s="13" t="n"/>
      <c r="H96" s="14">
        <f>IF(A96="","",N(E96)+N(F96)-N(G96))</f>
        <v/>
      </c>
      <c r="I96" s="15">
        <f>IF(H96="","",H96*N(D96))</f>
        <v/>
      </c>
      <c r="J96" s="13" t="n"/>
      <c r="K96" s="16">
        <f>IF(A96="","",IF(H96&lt;=0,"Out of stock",IF(H96&lt;=N(J96),"Reorder","OK")))</f>
        <v/>
      </c>
    </row>
    <row r="97">
      <c r="A97" s="5" t="n"/>
      <c r="B97" s="5" t="n"/>
      <c r="C97" s="5" t="n"/>
      <c r="D97" s="6" t="n"/>
      <c r="E97" s="7" t="n"/>
      <c r="F97" s="7" t="n"/>
      <c r="G97" s="7" t="n"/>
      <c r="H97" s="8">
        <f>IF(A97="","",N(E97)+N(F97)-N(G97))</f>
        <v/>
      </c>
      <c r="I97" s="9">
        <f>IF(H97="","",H97*N(D97))</f>
        <v/>
      </c>
      <c r="J97" s="7" t="n"/>
      <c r="K97" s="10">
        <f>IF(A97="","",IF(H97&lt;=0,"Out of stock",IF(H97&lt;=N(J97),"Reorder","OK")))</f>
        <v/>
      </c>
    </row>
    <row r="98">
      <c r="A98" s="11" t="n"/>
      <c r="B98" s="11" t="n"/>
      <c r="C98" s="11" t="n"/>
      <c r="D98" s="12" t="n"/>
      <c r="E98" s="13" t="n"/>
      <c r="F98" s="13" t="n"/>
      <c r="G98" s="13" t="n"/>
      <c r="H98" s="14">
        <f>IF(A98="","",N(E98)+N(F98)-N(G98))</f>
        <v/>
      </c>
      <c r="I98" s="15">
        <f>IF(H98="","",H98*N(D98))</f>
        <v/>
      </c>
      <c r="J98" s="13" t="n"/>
      <c r="K98" s="16">
        <f>IF(A98="","",IF(H98&lt;=0,"Out of stock",IF(H98&lt;=N(J98),"Reorder","OK")))</f>
        <v/>
      </c>
    </row>
    <row r="99">
      <c r="A99" s="5" t="n"/>
      <c r="B99" s="5" t="n"/>
      <c r="C99" s="5" t="n"/>
      <c r="D99" s="6" t="n"/>
      <c r="E99" s="7" t="n"/>
      <c r="F99" s="7" t="n"/>
      <c r="G99" s="7" t="n"/>
      <c r="H99" s="8">
        <f>IF(A99="","",N(E99)+N(F99)-N(G99))</f>
        <v/>
      </c>
      <c r="I99" s="9">
        <f>IF(H99="","",H99*N(D99))</f>
        <v/>
      </c>
      <c r="J99" s="7" t="n"/>
      <c r="K99" s="10">
        <f>IF(A99="","",IF(H99&lt;=0,"Out of stock",IF(H99&lt;=N(J99),"Reorder","OK")))</f>
        <v/>
      </c>
    </row>
    <row r="100">
      <c r="A100" s="11" t="n"/>
      <c r="B100" s="11" t="n"/>
      <c r="C100" s="11" t="n"/>
      <c r="D100" s="12" t="n"/>
      <c r="E100" s="13" t="n"/>
      <c r="F100" s="13" t="n"/>
      <c r="G100" s="13" t="n"/>
      <c r="H100" s="14">
        <f>IF(A100="","",N(E100)+N(F100)-N(G100))</f>
        <v/>
      </c>
      <c r="I100" s="15">
        <f>IF(H100="","",H100*N(D100))</f>
        <v/>
      </c>
      <c r="J100" s="13" t="n"/>
      <c r="K100" s="16">
        <f>IF(A100="","",IF(H100&lt;=0,"Out of stock",IF(H100&lt;=N(J100),"Reorder","OK")))</f>
        <v/>
      </c>
    </row>
    <row r="101">
      <c r="A101" s="5" t="n"/>
      <c r="B101" s="5" t="n"/>
      <c r="C101" s="5" t="n"/>
      <c r="D101" s="6" t="n"/>
      <c r="E101" s="7" t="n"/>
      <c r="F101" s="7" t="n"/>
      <c r="G101" s="7" t="n"/>
      <c r="H101" s="8">
        <f>IF(A101="","",N(E101)+N(F101)-N(G101))</f>
        <v/>
      </c>
      <c r="I101" s="9">
        <f>IF(H101="","",H101*N(D101))</f>
        <v/>
      </c>
      <c r="J101" s="7" t="n"/>
      <c r="K101" s="10">
        <f>IF(A101="","",IF(H101&lt;=0,"Out of stock",IF(H101&lt;=N(J101),"Reorder","OK")))</f>
        <v/>
      </c>
    </row>
    <row r="102">
      <c r="A102" s="11" t="n"/>
      <c r="B102" s="11" t="n"/>
      <c r="C102" s="11" t="n"/>
      <c r="D102" s="12" t="n"/>
      <c r="E102" s="13" t="n"/>
      <c r="F102" s="13" t="n"/>
      <c r="G102" s="13" t="n"/>
      <c r="H102" s="14">
        <f>IF(A102="","",N(E102)+N(F102)-N(G102))</f>
        <v/>
      </c>
      <c r="I102" s="15">
        <f>IF(H102="","",H102*N(D102))</f>
        <v/>
      </c>
      <c r="J102" s="13" t="n"/>
      <c r="K102" s="16">
        <f>IF(A102="","",IF(H102&lt;=0,"Out of stock",IF(H102&lt;=N(J102),"Reorder","OK")))</f>
        <v/>
      </c>
    </row>
    <row r="103">
      <c r="A103" s="5" t="n"/>
      <c r="B103" s="5" t="n"/>
      <c r="C103" s="5" t="n"/>
      <c r="D103" s="6" t="n"/>
      <c r="E103" s="7" t="n"/>
      <c r="F103" s="7" t="n"/>
      <c r="G103" s="7" t="n"/>
      <c r="H103" s="8">
        <f>IF(A103="","",N(E103)+N(F103)-N(G103))</f>
        <v/>
      </c>
      <c r="I103" s="9">
        <f>IF(H103="","",H103*N(D103))</f>
        <v/>
      </c>
      <c r="J103" s="7" t="n"/>
      <c r="K103" s="10">
        <f>IF(A103="","",IF(H103&lt;=0,"Out of stock",IF(H103&lt;=N(J103),"Reorder","OK")))</f>
        <v/>
      </c>
    </row>
    <row r="104">
      <c r="A104" s="11" t="n"/>
      <c r="B104" s="11" t="n"/>
      <c r="C104" s="11" t="n"/>
      <c r="D104" s="12" t="n"/>
      <c r="E104" s="13" t="n"/>
      <c r="F104" s="13" t="n"/>
      <c r="G104" s="13" t="n"/>
      <c r="H104" s="14">
        <f>IF(A104="","",N(E104)+N(F104)-N(G104))</f>
        <v/>
      </c>
      <c r="I104" s="15">
        <f>IF(H104="","",H104*N(D104))</f>
        <v/>
      </c>
      <c r="J104" s="13" t="n"/>
      <c r="K104" s="16">
        <f>IF(A104="","",IF(H104&lt;=0,"Out of stock",IF(H104&lt;=N(J104),"Reorder","OK")))</f>
        <v/>
      </c>
    </row>
    <row r="105">
      <c r="A105" s="5" t="n"/>
      <c r="B105" s="5" t="n"/>
      <c r="C105" s="5" t="n"/>
      <c r="D105" s="6" t="n"/>
      <c r="E105" s="7" t="n"/>
      <c r="F105" s="7" t="n"/>
      <c r="G105" s="7" t="n"/>
      <c r="H105" s="8">
        <f>IF(A105="","",N(E105)+N(F105)-N(G105))</f>
        <v/>
      </c>
      <c r="I105" s="9">
        <f>IF(H105="","",H105*N(D105))</f>
        <v/>
      </c>
      <c r="J105" s="7" t="n"/>
      <c r="K105" s="10">
        <f>IF(A105="","",IF(H105&lt;=0,"Out of stock",IF(H105&lt;=N(J105),"Reorder","OK")))</f>
        <v/>
      </c>
    </row>
    <row r="106">
      <c r="A106" s="11" t="n"/>
      <c r="B106" s="11" t="n"/>
      <c r="C106" s="11" t="n"/>
      <c r="D106" s="12" t="n"/>
      <c r="E106" s="13" t="n"/>
      <c r="F106" s="13" t="n"/>
      <c r="G106" s="13" t="n"/>
      <c r="H106" s="14">
        <f>IF(A106="","",N(E106)+N(F106)-N(G106))</f>
        <v/>
      </c>
      <c r="I106" s="15">
        <f>IF(H106="","",H106*N(D106))</f>
        <v/>
      </c>
      <c r="J106" s="13" t="n"/>
      <c r="K106" s="16">
        <f>IF(A106="","",IF(H106&lt;=0,"Out of stock",IF(H106&lt;=N(J106),"Reorder","OK")))</f>
        <v/>
      </c>
    </row>
    <row r="107">
      <c r="A107" s="5" t="n"/>
      <c r="B107" s="5" t="n"/>
      <c r="C107" s="5" t="n"/>
      <c r="D107" s="6" t="n"/>
      <c r="E107" s="7" t="n"/>
      <c r="F107" s="7" t="n"/>
      <c r="G107" s="7" t="n"/>
      <c r="H107" s="8">
        <f>IF(A107="","",N(E107)+N(F107)-N(G107))</f>
        <v/>
      </c>
      <c r="I107" s="9">
        <f>IF(H107="","",H107*N(D107))</f>
        <v/>
      </c>
      <c r="J107" s="7" t="n"/>
      <c r="K107" s="10">
        <f>IF(A107="","",IF(H107&lt;=0,"Out of stock",IF(H107&lt;=N(J107),"Reorder","OK")))</f>
        <v/>
      </c>
    </row>
    <row r="108">
      <c r="A108" s="11" t="n"/>
      <c r="B108" s="11" t="n"/>
      <c r="C108" s="11" t="n"/>
      <c r="D108" s="12" t="n"/>
      <c r="E108" s="13" t="n"/>
      <c r="F108" s="13" t="n"/>
      <c r="G108" s="13" t="n"/>
      <c r="H108" s="14">
        <f>IF(A108="","",N(E108)+N(F108)-N(G108))</f>
        <v/>
      </c>
      <c r="I108" s="15">
        <f>IF(H108="","",H108*N(D108))</f>
        <v/>
      </c>
      <c r="J108" s="13" t="n"/>
      <c r="K108" s="16">
        <f>IF(A108="","",IF(H108&lt;=0,"Out of stock",IF(H108&lt;=N(J108),"Reorder","OK")))</f>
        <v/>
      </c>
    </row>
    <row r="109">
      <c r="A109" s="5" t="n"/>
      <c r="B109" s="5" t="n"/>
      <c r="C109" s="5" t="n"/>
      <c r="D109" s="6" t="n"/>
      <c r="E109" s="7" t="n"/>
      <c r="F109" s="7" t="n"/>
      <c r="G109" s="7" t="n"/>
      <c r="H109" s="8">
        <f>IF(A109="","",N(E109)+N(F109)-N(G109))</f>
        <v/>
      </c>
      <c r="I109" s="9">
        <f>IF(H109="","",H109*N(D109))</f>
        <v/>
      </c>
      <c r="J109" s="7" t="n"/>
      <c r="K109" s="10">
        <f>IF(A109="","",IF(H109&lt;=0,"Out of stock",IF(H109&lt;=N(J109),"Reorder","OK")))</f>
        <v/>
      </c>
    </row>
    <row r="110">
      <c r="A110" s="11" t="n"/>
      <c r="B110" s="11" t="n"/>
      <c r="C110" s="11" t="n"/>
      <c r="D110" s="12" t="n"/>
      <c r="E110" s="13" t="n"/>
      <c r="F110" s="13" t="n"/>
      <c r="G110" s="13" t="n"/>
      <c r="H110" s="14">
        <f>IF(A110="","",N(E110)+N(F110)-N(G110))</f>
        <v/>
      </c>
      <c r="I110" s="15">
        <f>IF(H110="","",H110*N(D110))</f>
        <v/>
      </c>
      <c r="J110" s="13" t="n"/>
      <c r="K110" s="16">
        <f>IF(A110="","",IF(H110&lt;=0,"Out of stock",IF(H110&lt;=N(J110),"Reorder","OK")))</f>
        <v/>
      </c>
    </row>
    <row r="111">
      <c r="A111" s="5" t="n"/>
      <c r="B111" s="5" t="n"/>
      <c r="C111" s="5" t="n"/>
      <c r="D111" s="6" t="n"/>
      <c r="E111" s="7" t="n"/>
      <c r="F111" s="7" t="n"/>
      <c r="G111" s="7" t="n"/>
      <c r="H111" s="8">
        <f>IF(A111="","",N(E111)+N(F111)-N(G111))</f>
        <v/>
      </c>
      <c r="I111" s="9">
        <f>IF(H111="","",H111*N(D111))</f>
        <v/>
      </c>
      <c r="J111" s="7" t="n"/>
      <c r="K111" s="10">
        <f>IF(A111="","",IF(H111&lt;=0,"Out of stock",IF(H111&lt;=N(J111),"Reorder","OK")))</f>
        <v/>
      </c>
    </row>
    <row r="112">
      <c r="A112" s="11" t="n"/>
      <c r="B112" s="11" t="n"/>
      <c r="C112" s="11" t="n"/>
      <c r="D112" s="12" t="n"/>
      <c r="E112" s="13" t="n"/>
      <c r="F112" s="13" t="n"/>
      <c r="G112" s="13" t="n"/>
      <c r="H112" s="14">
        <f>IF(A112="","",N(E112)+N(F112)-N(G112))</f>
        <v/>
      </c>
      <c r="I112" s="15">
        <f>IF(H112="","",H112*N(D112))</f>
        <v/>
      </c>
      <c r="J112" s="13" t="n"/>
      <c r="K112" s="16">
        <f>IF(A112="","",IF(H112&lt;=0,"Out of stock",IF(H112&lt;=N(J112),"Reorder","OK")))</f>
        <v/>
      </c>
    </row>
    <row r="113">
      <c r="A113" s="5" t="n"/>
      <c r="B113" s="5" t="n"/>
      <c r="C113" s="5" t="n"/>
      <c r="D113" s="6" t="n"/>
      <c r="E113" s="7" t="n"/>
      <c r="F113" s="7" t="n"/>
      <c r="G113" s="7" t="n"/>
      <c r="H113" s="8">
        <f>IF(A113="","",N(E113)+N(F113)-N(G113))</f>
        <v/>
      </c>
      <c r="I113" s="9">
        <f>IF(H113="","",H113*N(D113))</f>
        <v/>
      </c>
      <c r="J113" s="7" t="n"/>
      <c r="K113" s="10">
        <f>IF(A113="","",IF(H113&lt;=0,"Out of stock",IF(H113&lt;=N(J113),"Reorder","OK")))</f>
        <v/>
      </c>
    </row>
    <row r="114">
      <c r="A114" s="11" t="n"/>
      <c r="B114" s="11" t="n"/>
      <c r="C114" s="11" t="n"/>
      <c r="D114" s="12" t="n"/>
      <c r="E114" s="13" t="n"/>
      <c r="F114" s="13" t="n"/>
      <c r="G114" s="13" t="n"/>
      <c r="H114" s="14">
        <f>IF(A114="","",N(E114)+N(F114)-N(G114))</f>
        <v/>
      </c>
      <c r="I114" s="15">
        <f>IF(H114="","",H114*N(D114))</f>
        <v/>
      </c>
      <c r="J114" s="13" t="n"/>
      <c r="K114" s="16">
        <f>IF(A114="","",IF(H114&lt;=0,"Out of stock",IF(H114&lt;=N(J114),"Reorder","OK")))</f>
        <v/>
      </c>
    </row>
    <row r="115">
      <c r="A115" s="5" t="n"/>
      <c r="B115" s="5" t="n"/>
      <c r="C115" s="5" t="n"/>
      <c r="D115" s="6" t="n"/>
      <c r="E115" s="7" t="n"/>
      <c r="F115" s="7" t="n"/>
      <c r="G115" s="7" t="n"/>
      <c r="H115" s="8">
        <f>IF(A115="","",N(E115)+N(F115)-N(G115))</f>
        <v/>
      </c>
      <c r="I115" s="9">
        <f>IF(H115="","",H115*N(D115))</f>
        <v/>
      </c>
      <c r="J115" s="7" t="n"/>
      <c r="K115" s="10">
        <f>IF(A115="","",IF(H115&lt;=0,"Out of stock",IF(H115&lt;=N(J115),"Reorder","OK")))</f>
        <v/>
      </c>
    </row>
    <row r="116">
      <c r="A116" s="11" t="n"/>
      <c r="B116" s="11" t="n"/>
      <c r="C116" s="11" t="n"/>
      <c r="D116" s="12" t="n"/>
      <c r="E116" s="13" t="n"/>
      <c r="F116" s="13" t="n"/>
      <c r="G116" s="13" t="n"/>
      <c r="H116" s="14">
        <f>IF(A116="","",N(E116)+N(F116)-N(G116))</f>
        <v/>
      </c>
      <c r="I116" s="15">
        <f>IF(H116="","",H116*N(D116))</f>
        <v/>
      </c>
      <c r="J116" s="13" t="n"/>
      <c r="K116" s="16">
        <f>IF(A116="","",IF(H116&lt;=0,"Out of stock",IF(H116&lt;=N(J116),"Reorder","OK")))</f>
        <v/>
      </c>
    </row>
    <row r="117">
      <c r="A117" s="5" t="n"/>
      <c r="B117" s="5" t="n"/>
      <c r="C117" s="5" t="n"/>
      <c r="D117" s="6" t="n"/>
      <c r="E117" s="7" t="n"/>
      <c r="F117" s="7" t="n"/>
      <c r="G117" s="7" t="n"/>
      <c r="H117" s="8">
        <f>IF(A117="","",N(E117)+N(F117)-N(G117))</f>
        <v/>
      </c>
      <c r="I117" s="9">
        <f>IF(H117="","",H117*N(D117))</f>
        <v/>
      </c>
      <c r="J117" s="7" t="n"/>
      <c r="K117" s="10">
        <f>IF(A117="","",IF(H117&lt;=0,"Out of stock",IF(H117&lt;=N(J117),"Reorder","OK")))</f>
        <v/>
      </c>
    </row>
    <row r="118">
      <c r="A118" s="11" t="n"/>
      <c r="B118" s="11" t="n"/>
      <c r="C118" s="11" t="n"/>
      <c r="D118" s="12" t="n"/>
      <c r="E118" s="13" t="n"/>
      <c r="F118" s="13" t="n"/>
      <c r="G118" s="13" t="n"/>
      <c r="H118" s="14">
        <f>IF(A118="","",N(E118)+N(F118)-N(G118))</f>
        <v/>
      </c>
      <c r="I118" s="15">
        <f>IF(H118="","",H118*N(D118))</f>
        <v/>
      </c>
      <c r="J118" s="13" t="n"/>
      <c r="K118" s="16">
        <f>IF(A118="","",IF(H118&lt;=0,"Out of stock",IF(H118&lt;=N(J118),"Reorder","OK")))</f>
        <v/>
      </c>
    </row>
    <row r="119">
      <c r="A119" s="5" t="n"/>
      <c r="B119" s="5" t="n"/>
      <c r="C119" s="5" t="n"/>
      <c r="D119" s="6" t="n"/>
      <c r="E119" s="7" t="n"/>
      <c r="F119" s="7" t="n"/>
      <c r="G119" s="7" t="n"/>
      <c r="H119" s="8">
        <f>IF(A119="","",N(E119)+N(F119)-N(G119))</f>
        <v/>
      </c>
      <c r="I119" s="9">
        <f>IF(H119="","",H119*N(D119))</f>
        <v/>
      </c>
      <c r="J119" s="7" t="n"/>
      <c r="K119" s="10">
        <f>IF(A119="","",IF(H119&lt;=0,"Out of stock",IF(H119&lt;=N(J119),"Reorder","OK")))</f>
        <v/>
      </c>
    </row>
    <row r="120">
      <c r="A120" s="11" t="n"/>
      <c r="B120" s="11" t="n"/>
      <c r="C120" s="11" t="n"/>
      <c r="D120" s="12" t="n"/>
      <c r="E120" s="13" t="n"/>
      <c r="F120" s="13" t="n"/>
      <c r="G120" s="13" t="n"/>
      <c r="H120" s="14">
        <f>IF(A120="","",N(E120)+N(F120)-N(G120))</f>
        <v/>
      </c>
      <c r="I120" s="15">
        <f>IF(H120="","",H120*N(D120))</f>
        <v/>
      </c>
      <c r="J120" s="13" t="n"/>
      <c r="K120" s="16">
        <f>IF(A120="","",IF(H120&lt;=0,"Out of stock",IF(H120&lt;=N(J120),"Reorder","OK")))</f>
        <v/>
      </c>
    </row>
    <row r="121">
      <c r="A121" s="5" t="n"/>
      <c r="B121" s="5" t="n"/>
      <c r="C121" s="5" t="n"/>
      <c r="D121" s="6" t="n"/>
      <c r="E121" s="7" t="n"/>
      <c r="F121" s="7" t="n"/>
      <c r="G121" s="7" t="n"/>
      <c r="H121" s="8">
        <f>IF(A121="","",N(E121)+N(F121)-N(G121))</f>
        <v/>
      </c>
      <c r="I121" s="9">
        <f>IF(H121="","",H121*N(D121))</f>
        <v/>
      </c>
      <c r="J121" s="7" t="n"/>
      <c r="K121" s="10">
        <f>IF(A121="","",IF(H121&lt;=0,"Out of stock",IF(H121&lt;=N(J121),"Reorder","OK")))</f>
        <v/>
      </c>
    </row>
    <row r="122">
      <c r="A122" s="11" t="n"/>
      <c r="B122" s="11" t="n"/>
      <c r="C122" s="11" t="n"/>
      <c r="D122" s="12" t="n"/>
      <c r="E122" s="13" t="n"/>
      <c r="F122" s="13" t="n"/>
      <c r="G122" s="13" t="n"/>
      <c r="H122" s="14">
        <f>IF(A122="","",N(E122)+N(F122)-N(G122))</f>
        <v/>
      </c>
      <c r="I122" s="15">
        <f>IF(H122="","",H122*N(D122))</f>
        <v/>
      </c>
      <c r="J122" s="13" t="n"/>
      <c r="K122" s="16">
        <f>IF(A122="","",IF(H122&lt;=0,"Out of stock",IF(H122&lt;=N(J122),"Reorder","OK")))</f>
        <v/>
      </c>
    </row>
    <row r="123">
      <c r="A123" s="5" t="n"/>
      <c r="B123" s="5" t="n"/>
      <c r="C123" s="5" t="n"/>
      <c r="D123" s="6" t="n"/>
      <c r="E123" s="7" t="n"/>
      <c r="F123" s="7" t="n"/>
      <c r="G123" s="7" t="n"/>
      <c r="H123" s="8">
        <f>IF(A123="","",N(E123)+N(F123)-N(G123))</f>
        <v/>
      </c>
      <c r="I123" s="9">
        <f>IF(H123="","",H123*N(D123))</f>
        <v/>
      </c>
      <c r="J123" s="7" t="n"/>
      <c r="K123" s="10">
        <f>IF(A123="","",IF(H123&lt;=0,"Out of stock",IF(H123&lt;=N(J123),"Reorder","OK")))</f>
        <v/>
      </c>
    </row>
    <row r="124">
      <c r="A124" s="11" t="n"/>
      <c r="B124" s="11" t="n"/>
      <c r="C124" s="11" t="n"/>
      <c r="D124" s="12" t="n"/>
      <c r="E124" s="13" t="n"/>
      <c r="F124" s="13" t="n"/>
      <c r="G124" s="13" t="n"/>
      <c r="H124" s="14">
        <f>IF(A124="","",N(E124)+N(F124)-N(G124))</f>
        <v/>
      </c>
      <c r="I124" s="15">
        <f>IF(H124="","",H124*N(D124))</f>
        <v/>
      </c>
      <c r="J124" s="13" t="n"/>
      <c r="K124" s="16">
        <f>IF(A124="","",IF(H124&lt;=0,"Out of stock",IF(H124&lt;=N(J124),"Reorder","OK")))</f>
        <v/>
      </c>
    </row>
    <row r="125">
      <c r="A125" s="5" t="n"/>
      <c r="B125" s="5" t="n"/>
      <c r="C125" s="5" t="n"/>
      <c r="D125" s="6" t="n"/>
      <c r="E125" s="7" t="n"/>
      <c r="F125" s="7" t="n"/>
      <c r="G125" s="7" t="n"/>
      <c r="H125" s="8">
        <f>IF(A125="","",N(E125)+N(F125)-N(G125))</f>
        <v/>
      </c>
      <c r="I125" s="9">
        <f>IF(H125="","",H125*N(D125))</f>
        <v/>
      </c>
      <c r="J125" s="7" t="n"/>
      <c r="K125" s="10">
        <f>IF(A125="","",IF(H125&lt;=0,"Out of stock",IF(H125&lt;=N(J125),"Reorder","OK")))</f>
        <v/>
      </c>
    </row>
    <row r="126">
      <c r="A126" s="11" t="n"/>
      <c r="B126" s="11" t="n"/>
      <c r="C126" s="11" t="n"/>
      <c r="D126" s="12" t="n"/>
      <c r="E126" s="13" t="n"/>
      <c r="F126" s="13" t="n"/>
      <c r="G126" s="13" t="n"/>
      <c r="H126" s="14">
        <f>IF(A126="","",N(E126)+N(F126)-N(G126))</f>
        <v/>
      </c>
      <c r="I126" s="15">
        <f>IF(H126="","",H126*N(D126))</f>
        <v/>
      </c>
      <c r="J126" s="13" t="n"/>
      <c r="K126" s="16">
        <f>IF(A126="","",IF(H126&lt;=0,"Out of stock",IF(H126&lt;=N(J126),"Reorder","OK")))</f>
        <v/>
      </c>
    </row>
    <row r="127">
      <c r="A127" s="5" t="n"/>
      <c r="B127" s="5" t="n"/>
      <c r="C127" s="5" t="n"/>
      <c r="D127" s="6" t="n"/>
      <c r="E127" s="7" t="n"/>
      <c r="F127" s="7" t="n"/>
      <c r="G127" s="7" t="n"/>
      <c r="H127" s="8">
        <f>IF(A127="","",N(E127)+N(F127)-N(G127))</f>
        <v/>
      </c>
      <c r="I127" s="9">
        <f>IF(H127="","",H127*N(D127))</f>
        <v/>
      </c>
      <c r="J127" s="7" t="n"/>
      <c r="K127" s="10">
        <f>IF(A127="","",IF(H127&lt;=0,"Out of stock",IF(H127&lt;=N(J127),"Reorder","OK")))</f>
        <v/>
      </c>
    </row>
    <row r="128">
      <c r="A128" s="11" t="n"/>
      <c r="B128" s="11" t="n"/>
      <c r="C128" s="11" t="n"/>
      <c r="D128" s="12" t="n"/>
      <c r="E128" s="13" t="n"/>
      <c r="F128" s="13" t="n"/>
      <c r="G128" s="13" t="n"/>
      <c r="H128" s="14">
        <f>IF(A128="","",N(E128)+N(F128)-N(G128))</f>
        <v/>
      </c>
      <c r="I128" s="15">
        <f>IF(H128="","",H128*N(D128))</f>
        <v/>
      </c>
      <c r="J128" s="13" t="n"/>
      <c r="K128" s="16">
        <f>IF(A128="","",IF(H128&lt;=0,"Out of stock",IF(H128&lt;=N(J128),"Reorder","OK")))</f>
        <v/>
      </c>
    </row>
    <row r="129">
      <c r="A129" s="5" t="n"/>
      <c r="B129" s="5" t="n"/>
      <c r="C129" s="5" t="n"/>
      <c r="D129" s="6" t="n"/>
      <c r="E129" s="7" t="n"/>
      <c r="F129" s="7" t="n"/>
      <c r="G129" s="7" t="n"/>
      <c r="H129" s="8">
        <f>IF(A129="","",N(E129)+N(F129)-N(G129))</f>
        <v/>
      </c>
      <c r="I129" s="9">
        <f>IF(H129="","",H129*N(D129))</f>
        <v/>
      </c>
      <c r="J129" s="7" t="n"/>
      <c r="K129" s="10">
        <f>IF(A129="","",IF(H129&lt;=0,"Out of stock",IF(H129&lt;=N(J129),"Reorder","OK")))</f>
        <v/>
      </c>
    </row>
    <row r="130">
      <c r="A130" s="11" t="n"/>
      <c r="B130" s="11" t="n"/>
      <c r="C130" s="11" t="n"/>
      <c r="D130" s="12" t="n"/>
      <c r="E130" s="13" t="n"/>
      <c r="F130" s="13" t="n"/>
      <c r="G130" s="13" t="n"/>
      <c r="H130" s="14">
        <f>IF(A130="","",N(E130)+N(F130)-N(G130))</f>
        <v/>
      </c>
      <c r="I130" s="15">
        <f>IF(H130="","",H130*N(D130))</f>
        <v/>
      </c>
      <c r="J130" s="13" t="n"/>
      <c r="K130" s="16">
        <f>IF(A130="","",IF(H130&lt;=0,"Out of stock",IF(H130&lt;=N(J130),"Reorder","OK")))</f>
        <v/>
      </c>
    </row>
    <row r="131">
      <c r="A131" s="5" t="n"/>
      <c r="B131" s="5" t="n"/>
      <c r="C131" s="5" t="n"/>
      <c r="D131" s="6" t="n"/>
      <c r="E131" s="7" t="n"/>
      <c r="F131" s="7" t="n"/>
      <c r="G131" s="7" t="n"/>
      <c r="H131" s="8">
        <f>IF(A131="","",N(E131)+N(F131)-N(G131))</f>
        <v/>
      </c>
      <c r="I131" s="9">
        <f>IF(H131="","",H131*N(D131))</f>
        <v/>
      </c>
      <c r="J131" s="7" t="n"/>
      <c r="K131" s="10">
        <f>IF(A131="","",IF(H131&lt;=0,"Out of stock",IF(H131&lt;=N(J131),"Reorder","OK")))</f>
        <v/>
      </c>
    </row>
    <row r="132">
      <c r="A132" s="11" t="n"/>
      <c r="B132" s="11" t="n"/>
      <c r="C132" s="11" t="n"/>
      <c r="D132" s="12" t="n"/>
      <c r="E132" s="13" t="n"/>
      <c r="F132" s="13" t="n"/>
      <c r="G132" s="13" t="n"/>
      <c r="H132" s="14">
        <f>IF(A132="","",N(E132)+N(F132)-N(G132))</f>
        <v/>
      </c>
      <c r="I132" s="15">
        <f>IF(H132="","",H132*N(D132))</f>
        <v/>
      </c>
      <c r="J132" s="13" t="n"/>
      <c r="K132" s="16">
        <f>IF(A132="","",IF(H132&lt;=0,"Out of stock",IF(H132&lt;=N(J132),"Reorder","OK")))</f>
        <v/>
      </c>
    </row>
    <row r="133">
      <c r="A133" s="5" t="n"/>
      <c r="B133" s="5" t="n"/>
      <c r="C133" s="5" t="n"/>
      <c r="D133" s="6" t="n"/>
      <c r="E133" s="7" t="n"/>
      <c r="F133" s="7" t="n"/>
      <c r="G133" s="7" t="n"/>
      <c r="H133" s="8">
        <f>IF(A133="","",N(E133)+N(F133)-N(G133))</f>
        <v/>
      </c>
      <c r="I133" s="9">
        <f>IF(H133="","",H133*N(D133))</f>
        <v/>
      </c>
      <c r="J133" s="7" t="n"/>
      <c r="K133" s="10">
        <f>IF(A133="","",IF(H133&lt;=0,"Out of stock",IF(H133&lt;=N(J133),"Reorder","OK")))</f>
        <v/>
      </c>
    </row>
    <row r="134">
      <c r="A134" s="11" t="n"/>
      <c r="B134" s="11" t="n"/>
      <c r="C134" s="11" t="n"/>
      <c r="D134" s="12" t="n"/>
      <c r="E134" s="13" t="n"/>
      <c r="F134" s="13" t="n"/>
      <c r="G134" s="13" t="n"/>
      <c r="H134" s="14">
        <f>IF(A134="","",N(E134)+N(F134)-N(G134))</f>
        <v/>
      </c>
      <c r="I134" s="15">
        <f>IF(H134="","",H134*N(D134))</f>
        <v/>
      </c>
      <c r="J134" s="13" t="n"/>
      <c r="K134" s="16">
        <f>IF(A134="","",IF(H134&lt;=0,"Out of stock",IF(H134&lt;=N(J134),"Reorder","OK")))</f>
        <v/>
      </c>
    </row>
    <row r="135">
      <c r="A135" s="5" t="n"/>
      <c r="B135" s="5" t="n"/>
      <c r="C135" s="5" t="n"/>
      <c r="D135" s="6" t="n"/>
      <c r="E135" s="7" t="n"/>
      <c r="F135" s="7" t="n"/>
      <c r="G135" s="7" t="n"/>
      <c r="H135" s="8">
        <f>IF(A135="","",N(E135)+N(F135)-N(G135))</f>
        <v/>
      </c>
      <c r="I135" s="9">
        <f>IF(H135="","",H135*N(D135))</f>
        <v/>
      </c>
      <c r="J135" s="7" t="n"/>
      <c r="K135" s="10">
        <f>IF(A135="","",IF(H135&lt;=0,"Out of stock",IF(H135&lt;=N(J135),"Reorder","OK")))</f>
        <v/>
      </c>
    </row>
    <row r="136">
      <c r="A136" s="11" t="n"/>
      <c r="B136" s="11" t="n"/>
      <c r="C136" s="11" t="n"/>
      <c r="D136" s="12" t="n"/>
      <c r="E136" s="13" t="n"/>
      <c r="F136" s="13" t="n"/>
      <c r="G136" s="13" t="n"/>
      <c r="H136" s="14">
        <f>IF(A136="","",N(E136)+N(F136)-N(G136))</f>
        <v/>
      </c>
      <c r="I136" s="15">
        <f>IF(H136="","",H136*N(D136))</f>
        <v/>
      </c>
      <c r="J136" s="13" t="n"/>
      <c r="K136" s="16">
        <f>IF(A136="","",IF(H136&lt;=0,"Out of stock",IF(H136&lt;=N(J136),"Reorder","OK")))</f>
        <v/>
      </c>
    </row>
    <row r="137">
      <c r="A137" s="5" t="n"/>
      <c r="B137" s="5" t="n"/>
      <c r="C137" s="5" t="n"/>
      <c r="D137" s="6" t="n"/>
      <c r="E137" s="7" t="n"/>
      <c r="F137" s="7" t="n"/>
      <c r="G137" s="7" t="n"/>
      <c r="H137" s="8">
        <f>IF(A137="","",N(E137)+N(F137)-N(G137))</f>
        <v/>
      </c>
      <c r="I137" s="9">
        <f>IF(H137="","",H137*N(D137))</f>
        <v/>
      </c>
      <c r="J137" s="7" t="n"/>
      <c r="K137" s="10">
        <f>IF(A137="","",IF(H137&lt;=0,"Out of stock",IF(H137&lt;=N(J137),"Reorder","OK")))</f>
        <v/>
      </c>
    </row>
    <row r="138">
      <c r="A138" s="11" t="n"/>
      <c r="B138" s="11" t="n"/>
      <c r="C138" s="11" t="n"/>
      <c r="D138" s="12" t="n"/>
      <c r="E138" s="13" t="n"/>
      <c r="F138" s="13" t="n"/>
      <c r="G138" s="13" t="n"/>
      <c r="H138" s="14">
        <f>IF(A138="","",N(E138)+N(F138)-N(G138))</f>
        <v/>
      </c>
      <c r="I138" s="15">
        <f>IF(H138="","",H138*N(D138))</f>
        <v/>
      </c>
      <c r="J138" s="13" t="n"/>
      <c r="K138" s="16">
        <f>IF(A138="","",IF(H138&lt;=0,"Out of stock",IF(H138&lt;=N(J138),"Reorder","OK")))</f>
        <v/>
      </c>
    </row>
    <row r="139">
      <c r="A139" s="5" t="n"/>
      <c r="B139" s="5" t="n"/>
      <c r="C139" s="5" t="n"/>
      <c r="D139" s="6" t="n"/>
      <c r="E139" s="7" t="n"/>
      <c r="F139" s="7" t="n"/>
      <c r="G139" s="7" t="n"/>
      <c r="H139" s="8">
        <f>IF(A139="","",N(E139)+N(F139)-N(G139))</f>
        <v/>
      </c>
      <c r="I139" s="9">
        <f>IF(H139="","",H139*N(D139))</f>
        <v/>
      </c>
      <c r="J139" s="7" t="n"/>
      <c r="K139" s="10">
        <f>IF(A139="","",IF(H139&lt;=0,"Out of stock",IF(H139&lt;=N(J139),"Reorder","OK")))</f>
        <v/>
      </c>
    </row>
    <row r="140">
      <c r="A140" s="11" t="n"/>
      <c r="B140" s="11" t="n"/>
      <c r="C140" s="11" t="n"/>
      <c r="D140" s="12" t="n"/>
      <c r="E140" s="13" t="n"/>
      <c r="F140" s="13" t="n"/>
      <c r="G140" s="13" t="n"/>
      <c r="H140" s="14">
        <f>IF(A140="","",N(E140)+N(F140)-N(G140))</f>
        <v/>
      </c>
      <c r="I140" s="15">
        <f>IF(H140="","",H140*N(D140))</f>
        <v/>
      </c>
      <c r="J140" s="13" t="n"/>
      <c r="K140" s="16">
        <f>IF(A140="","",IF(H140&lt;=0,"Out of stock",IF(H140&lt;=N(J140),"Reorder","OK")))</f>
        <v/>
      </c>
    </row>
    <row r="141">
      <c r="A141" s="5" t="n"/>
      <c r="B141" s="5" t="n"/>
      <c r="C141" s="5" t="n"/>
      <c r="D141" s="6" t="n"/>
      <c r="E141" s="7" t="n"/>
      <c r="F141" s="7" t="n"/>
      <c r="G141" s="7" t="n"/>
      <c r="H141" s="8">
        <f>IF(A141="","",N(E141)+N(F141)-N(G141))</f>
        <v/>
      </c>
      <c r="I141" s="9">
        <f>IF(H141="","",H141*N(D141))</f>
        <v/>
      </c>
      <c r="J141" s="7" t="n"/>
      <c r="K141" s="10">
        <f>IF(A141="","",IF(H141&lt;=0,"Out of stock",IF(H141&lt;=N(J141),"Reorder","OK")))</f>
        <v/>
      </c>
    </row>
    <row r="142">
      <c r="A142" s="11" t="n"/>
      <c r="B142" s="11" t="n"/>
      <c r="C142" s="11" t="n"/>
      <c r="D142" s="12" t="n"/>
      <c r="E142" s="13" t="n"/>
      <c r="F142" s="13" t="n"/>
      <c r="G142" s="13" t="n"/>
      <c r="H142" s="14">
        <f>IF(A142="","",N(E142)+N(F142)-N(G142))</f>
        <v/>
      </c>
      <c r="I142" s="15">
        <f>IF(H142="","",H142*N(D142))</f>
        <v/>
      </c>
      <c r="J142" s="13" t="n"/>
      <c r="K142" s="16">
        <f>IF(A142="","",IF(H142&lt;=0,"Out of stock",IF(H142&lt;=N(J142),"Reorder","OK")))</f>
        <v/>
      </c>
    </row>
    <row r="143">
      <c r="A143" s="5" t="n"/>
      <c r="B143" s="5" t="n"/>
      <c r="C143" s="5" t="n"/>
      <c r="D143" s="6" t="n"/>
      <c r="E143" s="7" t="n"/>
      <c r="F143" s="7" t="n"/>
      <c r="G143" s="7" t="n"/>
      <c r="H143" s="8">
        <f>IF(A143="","",N(E143)+N(F143)-N(G143))</f>
        <v/>
      </c>
      <c r="I143" s="9">
        <f>IF(H143="","",H143*N(D143))</f>
        <v/>
      </c>
      <c r="J143" s="7" t="n"/>
      <c r="K143" s="10">
        <f>IF(A143="","",IF(H143&lt;=0,"Out of stock",IF(H143&lt;=N(J143),"Reorder","OK")))</f>
        <v/>
      </c>
    </row>
    <row r="144">
      <c r="A144" s="11" t="n"/>
      <c r="B144" s="11" t="n"/>
      <c r="C144" s="11" t="n"/>
      <c r="D144" s="12" t="n"/>
      <c r="E144" s="13" t="n"/>
      <c r="F144" s="13" t="n"/>
      <c r="G144" s="13" t="n"/>
      <c r="H144" s="14">
        <f>IF(A144="","",N(E144)+N(F144)-N(G144))</f>
        <v/>
      </c>
      <c r="I144" s="15">
        <f>IF(H144="","",H144*N(D144))</f>
        <v/>
      </c>
      <c r="J144" s="13" t="n"/>
      <c r="K144" s="16">
        <f>IF(A144="","",IF(H144&lt;=0,"Out of stock",IF(H144&lt;=N(J144),"Reorder","OK")))</f>
        <v/>
      </c>
    </row>
    <row r="145">
      <c r="A145" s="5" t="n"/>
      <c r="B145" s="5" t="n"/>
      <c r="C145" s="5" t="n"/>
      <c r="D145" s="6" t="n"/>
      <c r="E145" s="7" t="n"/>
      <c r="F145" s="7" t="n"/>
      <c r="G145" s="7" t="n"/>
      <c r="H145" s="8">
        <f>IF(A145="","",N(E145)+N(F145)-N(G145))</f>
        <v/>
      </c>
      <c r="I145" s="9">
        <f>IF(H145="","",H145*N(D145))</f>
        <v/>
      </c>
      <c r="J145" s="7" t="n"/>
      <c r="K145" s="10">
        <f>IF(A145="","",IF(H145&lt;=0,"Out of stock",IF(H145&lt;=N(J145),"Reorder","OK")))</f>
        <v/>
      </c>
    </row>
    <row r="146">
      <c r="A146" s="11" t="n"/>
      <c r="B146" s="11" t="n"/>
      <c r="C146" s="11" t="n"/>
      <c r="D146" s="12" t="n"/>
      <c r="E146" s="13" t="n"/>
      <c r="F146" s="13" t="n"/>
      <c r="G146" s="13" t="n"/>
      <c r="H146" s="14">
        <f>IF(A146="","",N(E146)+N(F146)-N(G146))</f>
        <v/>
      </c>
      <c r="I146" s="15">
        <f>IF(H146="","",H146*N(D146))</f>
        <v/>
      </c>
      <c r="J146" s="13" t="n"/>
      <c r="K146" s="16">
        <f>IF(A146="","",IF(H146&lt;=0,"Out of stock",IF(H146&lt;=N(J146),"Reorder","OK")))</f>
        <v/>
      </c>
    </row>
    <row r="147">
      <c r="A147" s="5" t="n"/>
      <c r="B147" s="5" t="n"/>
      <c r="C147" s="5" t="n"/>
      <c r="D147" s="6" t="n"/>
      <c r="E147" s="7" t="n"/>
      <c r="F147" s="7" t="n"/>
      <c r="G147" s="7" t="n"/>
      <c r="H147" s="8">
        <f>IF(A147="","",N(E147)+N(F147)-N(G147))</f>
        <v/>
      </c>
      <c r="I147" s="9">
        <f>IF(H147="","",H147*N(D147))</f>
        <v/>
      </c>
      <c r="J147" s="7" t="n"/>
      <c r="K147" s="10">
        <f>IF(A147="","",IF(H147&lt;=0,"Out of stock",IF(H147&lt;=N(J147),"Reorder","OK")))</f>
        <v/>
      </c>
    </row>
    <row r="148">
      <c r="A148" s="11" t="n"/>
      <c r="B148" s="11" t="n"/>
      <c r="C148" s="11" t="n"/>
      <c r="D148" s="12" t="n"/>
      <c r="E148" s="13" t="n"/>
      <c r="F148" s="13" t="n"/>
      <c r="G148" s="13" t="n"/>
      <c r="H148" s="14">
        <f>IF(A148="","",N(E148)+N(F148)-N(G148))</f>
        <v/>
      </c>
      <c r="I148" s="15">
        <f>IF(H148="","",H148*N(D148))</f>
        <v/>
      </c>
      <c r="J148" s="13" t="n"/>
      <c r="K148" s="16">
        <f>IF(A148="","",IF(H148&lt;=0,"Out of stock",IF(H148&lt;=N(J148),"Reorder","OK")))</f>
        <v/>
      </c>
    </row>
    <row r="149">
      <c r="A149" s="5" t="n"/>
      <c r="B149" s="5" t="n"/>
      <c r="C149" s="5" t="n"/>
      <c r="D149" s="6" t="n"/>
      <c r="E149" s="7" t="n"/>
      <c r="F149" s="7" t="n"/>
      <c r="G149" s="7" t="n"/>
      <c r="H149" s="8">
        <f>IF(A149="","",N(E149)+N(F149)-N(G149))</f>
        <v/>
      </c>
      <c r="I149" s="9">
        <f>IF(H149="","",H149*N(D149))</f>
        <v/>
      </c>
      <c r="J149" s="7" t="n"/>
      <c r="K149" s="10">
        <f>IF(A149="","",IF(H149&lt;=0,"Out of stock",IF(H149&lt;=N(J149),"Reorder","OK")))</f>
        <v/>
      </c>
    </row>
    <row r="150">
      <c r="A150" s="11" t="n"/>
      <c r="B150" s="11" t="n"/>
      <c r="C150" s="11" t="n"/>
      <c r="D150" s="12" t="n"/>
      <c r="E150" s="13" t="n"/>
      <c r="F150" s="13" t="n"/>
      <c r="G150" s="13" t="n"/>
      <c r="H150" s="14">
        <f>IF(A150="","",N(E150)+N(F150)-N(G150))</f>
        <v/>
      </c>
      <c r="I150" s="15">
        <f>IF(H150="","",H150*N(D150))</f>
        <v/>
      </c>
      <c r="J150" s="13" t="n"/>
      <c r="K150" s="16">
        <f>IF(A150="","",IF(H150&lt;=0,"Out of stock",IF(H150&lt;=N(J150),"Reorder","OK")))</f>
        <v/>
      </c>
    </row>
    <row r="151">
      <c r="A151" s="5" t="n"/>
      <c r="B151" s="5" t="n"/>
      <c r="C151" s="5" t="n"/>
      <c r="D151" s="6" t="n"/>
      <c r="E151" s="7" t="n"/>
      <c r="F151" s="7" t="n"/>
      <c r="G151" s="7" t="n"/>
      <c r="H151" s="8">
        <f>IF(A151="","",N(E151)+N(F151)-N(G151))</f>
        <v/>
      </c>
      <c r="I151" s="9">
        <f>IF(H151="","",H151*N(D151))</f>
        <v/>
      </c>
      <c r="J151" s="7" t="n"/>
      <c r="K151" s="10">
        <f>IF(A151="","",IF(H151&lt;=0,"Out of stock",IF(H151&lt;=N(J151),"Reorder","OK")))</f>
        <v/>
      </c>
    </row>
    <row r="152">
      <c r="A152" s="11" t="n"/>
      <c r="B152" s="11" t="n"/>
      <c r="C152" s="11" t="n"/>
      <c r="D152" s="12" t="n"/>
      <c r="E152" s="13" t="n"/>
      <c r="F152" s="13" t="n"/>
      <c r="G152" s="13" t="n"/>
      <c r="H152" s="14">
        <f>IF(A152="","",N(E152)+N(F152)-N(G152))</f>
        <v/>
      </c>
      <c r="I152" s="15">
        <f>IF(H152="","",H152*N(D152))</f>
        <v/>
      </c>
      <c r="J152" s="13" t="n"/>
      <c r="K152" s="16">
        <f>IF(A152="","",IF(H152&lt;=0,"Out of stock",IF(H152&lt;=N(J152),"Reorder","OK")))</f>
        <v/>
      </c>
    </row>
    <row r="153">
      <c r="A153" s="5" t="n"/>
      <c r="B153" s="5" t="n"/>
      <c r="C153" s="5" t="n"/>
      <c r="D153" s="6" t="n"/>
      <c r="E153" s="7" t="n"/>
      <c r="F153" s="7" t="n"/>
      <c r="G153" s="7" t="n"/>
      <c r="H153" s="8">
        <f>IF(A153="","",N(E153)+N(F153)-N(G153))</f>
        <v/>
      </c>
      <c r="I153" s="9">
        <f>IF(H153="","",H153*N(D153))</f>
        <v/>
      </c>
      <c r="J153" s="7" t="n"/>
      <c r="K153" s="10">
        <f>IF(A153="","",IF(H153&lt;=0,"Out of stock",IF(H153&lt;=N(J153),"Reorder","OK")))</f>
        <v/>
      </c>
    </row>
    <row r="154">
      <c r="A154" s="11" t="n"/>
      <c r="B154" s="11" t="n"/>
      <c r="C154" s="11" t="n"/>
      <c r="D154" s="12" t="n"/>
      <c r="E154" s="13" t="n"/>
      <c r="F154" s="13" t="n"/>
      <c r="G154" s="13" t="n"/>
      <c r="H154" s="14">
        <f>IF(A154="","",N(E154)+N(F154)-N(G154))</f>
        <v/>
      </c>
      <c r="I154" s="15">
        <f>IF(H154="","",H154*N(D154))</f>
        <v/>
      </c>
      <c r="J154" s="13" t="n"/>
      <c r="K154" s="16">
        <f>IF(A154="","",IF(H154&lt;=0,"Out of stock",IF(H154&lt;=N(J154),"Reorder","OK")))</f>
        <v/>
      </c>
    </row>
    <row r="156">
      <c r="A156" s="17" t="inlineStr">
        <is>
          <t>EXAMPLE — delete before use</t>
        </is>
      </c>
    </row>
    <row r="157">
      <c r="A157" s="18" t="inlineStr">
        <is>
          <t>SKU-101</t>
        </is>
      </c>
      <c r="B157" s="18" t="inlineStr">
        <is>
          <t>M8 bracket</t>
        </is>
      </c>
      <c r="C157" s="18" t="inlineStr">
        <is>
          <t>Fixings</t>
        </is>
      </c>
      <c r="D157" s="18" t="n">
        <v>8.75</v>
      </c>
      <c r="E157" s="18" t="n">
        <v>120</v>
      </c>
      <c r="F157" s="18" t="n">
        <v>40</v>
      </c>
      <c r="G157" s="18" t="n">
        <v>65</v>
      </c>
      <c r="J157" s="18" t="n">
        <v>50</v>
      </c>
    </row>
  </sheetData>
  <autoFilter ref="A4:K154"/>
  <mergeCells count="2">
    <mergeCell ref="A2:K2"/>
    <mergeCell ref="A1:K1"/>
  </mergeCells>
  <conditionalFormatting sqref="K5:K154">
    <cfRule type="expression" priority="1" dxfId="0">
      <formula>$K5="Out of stock"</formula>
    </cfRule>
    <cfRule type="expression" priority="2" dxfId="1">
      <formula>$K5="Reorder"</formula>
    </cfRule>
    <cfRule type="expression" priority="3" dxfId="2">
      <formula>$K5="OK"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6" customWidth="1" min="3" max="3"/>
    <col width="50" customWidth="1" min="4" max="4"/>
  </cols>
  <sheetData>
    <row r="1" ht="26" customHeight="1">
      <c r="A1" s="1" t="inlineStr">
        <is>
          <t>Inventory Summary</t>
        </is>
      </c>
      <c r="B1" s="2" t="n"/>
      <c r="C1" s="2" t="n"/>
      <c r="D1" s="2" t="n"/>
    </row>
    <row r="2" ht="15" customHeight="1">
      <c r="A2" s="3" t="inlineStr">
        <is>
          <t>Reads from the Inventory sheet.</t>
        </is>
      </c>
      <c r="B2" s="2" t="n"/>
      <c r="C2" s="2" t="n"/>
      <c r="D2" s="2" t="n"/>
    </row>
    <row r="4">
      <c r="A4" s="19" t="inlineStr">
        <is>
          <t>Position</t>
        </is>
      </c>
    </row>
    <row r="5">
      <c r="A5" s="20" t="inlineStr">
        <is>
          <t>Total SKUs</t>
        </is>
      </c>
      <c r="C5" s="21">
        <f>COUNTA(Inventory!$A$5:$A$154)</f>
        <v/>
      </c>
      <c r="D5" s="17" t="inlineStr">
        <is>
          <t>Every row with a SKU.</t>
        </is>
      </c>
    </row>
    <row r="6">
      <c r="A6" s="20" t="inlineStr">
        <is>
          <t>Total units held</t>
        </is>
      </c>
      <c r="C6" s="21">
        <f>SUM(Inventory!$H$5:$H$154)</f>
        <v/>
      </c>
      <c r="D6" s="17" t="inlineStr"/>
    </row>
    <row r="7">
      <c r="A7" s="20" t="inlineStr">
        <is>
          <t>Total inventory value</t>
        </is>
      </c>
      <c r="C7" s="22">
        <f>SUM(Inventory!$I$5:$I$154)</f>
        <v/>
      </c>
      <c r="D7" s="17" t="inlineStr">
        <is>
          <t>Quantity times unit cost, on a periodic basis.</t>
        </is>
      </c>
    </row>
    <row r="8">
      <c r="A8" s="20" t="inlineStr">
        <is>
          <t>Lines needing reorder</t>
        </is>
      </c>
      <c r="C8" s="21">
        <f>COUNTIFS(Inventory!$K$5:$K$154,"Reorder")</f>
        <v/>
      </c>
      <c r="D8" s="17" t="inlineStr">
        <is>
          <t>At or below reorder point.</t>
        </is>
      </c>
    </row>
    <row r="9">
      <c r="A9" s="20" t="inlineStr">
        <is>
          <t>Lines out of stock</t>
        </is>
      </c>
      <c r="C9" s="21">
        <f>COUNTIFS(Inventory!$K$5:$K$154,"Out of stock")</f>
        <v/>
      </c>
      <c r="D9" s="17" t="inlineStr">
        <is>
          <t>The ones costing you sales right now.</t>
        </is>
      </c>
    </row>
    <row r="10">
      <c r="A10" s="20" t="inlineStr">
        <is>
          <t>Value at risk</t>
        </is>
      </c>
      <c r="C10" s="22">
        <f>SUMIFS(Inventory!$I$5:$I$154,Inventory!$K$5:$K$154,"Reorder")</f>
        <v/>
      </c>
      <c r="D10" s="17" t="inlineStr">
        <is>
          <t>Value tied up in lines that need replenishing.</t>
        </is>
      </c>
    </row>
    <row r="12">
      <c r="A12" s="19" t="inlineStr">
        <is>
          <t>By category</t>
        </is>
      </c>
    </row>
    <row r="13" ht="24" customHeight="1">
      <c r="A13" s="4" t="inlineStr">
        <is>
          <t>Category</t>
        </is>
      </c>
      <c r="B13" s="4" t="inlineStr">
        <is>
          <t>SKUs</t>
        </is>
      </c>
      <c r="C13" s="4" t="inlineStr">
        <is>
          <t>Value</t>
        </is>
      </c>
      <c r="D13" s="4" t="inlineStr"/>
    </row>
    <row r="14">
      <c r="A14" s="5" t="inlineStr">
        <is>
          <t>Fixings</t>
        </is>
      </c>
      <c r="B14" s="8">
        <f>COUNTIFS(Inventory!$C$5:$C$154,A14)</f>
        <v/>
      </c>
      <c r="C14" s="9">
        <f>SUMIFS(Inventory!$I$5:$I$154,Inventory!$C$5:$C$154,A14)</f>
        <v/>
      </c>
    </row>
    <row r="15">
      <c r="A15" s="5" t="inlineStr">
        <is>
          <t>Raw material</t>
        </is>
      </c>
      <c r="B15" s="8">
        <f>COUNTIFS(Inventory!$C$5:$C$154,A15)</f>
        <v/>
      </c>
      <c r="C15" s="9">
        <f>SUMIFS(Inventory!$I$5:$I$154,Inventory!$C$5:$C$154,A15)</f>
        <v/>
      </c>
    </row>
    <row r="16">
      <c r="A16" s="5" t="inlineStr">
        <is>
          <t>Consumables</t>
        </is>
      </c>
      <c r="B16" s="8">
        <f>COUNTIFS(Inventory!$C$5:$C$154,A16)</f>
        <v/>
      </c>
      <c r="C16" s="9">
        <f>SUMIFS(Inventory!$I$5:$I$154,Inventory!$C$5:$C$154,A16)</f>
        <v/>
      </c>
    </row>
    <row r="17">
      <c r="A17" s="5" t="inlineStr">
        <is>
          <t>Finished goods</t>
        </is>
      </c>
      <c r="B17" s="8">
        <f>COUNTIFS(Inventory!$C$5:$C$154,A17)</f>
        <v/>
      </c>
      <c r="C17" s="9">
        <f>SUMIFS(Inventory!$I$5:$I$154,Inventory!$C$5:$C$154,A17)</f>
        <v/>
      </c>
    </row>
    <row r="18">
      <c r="A18" s="5" t="inlineStr">
        <is>
          <t>Packaging</t>
        </is>
      </c>
      <c r="B18" s="8">
        <f>COUNTIFS(Inventory!$C$5:$C$154,A18)</f>
        <v/>
      </c>
      <c r="C18" s="9">
        <f>SUMIFS(Inventory!$I$5:$I$154,Inventory!$C$5:$C$154,A18)</f>
        <v/>
      </c>
    </row>
    <row r="19">
      <c r="A19" s="17" t="inlineStr">
        <is>
          <t>Overwrite the category names above to match your own.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 ht="26" customHeight="1">
      <c r="A1" s="1" t="inlineStr">
        <is>
          <t>How this workbook works</t>
        </is>
      </c>
      <c r="B1" s="2" t="n"/>
      <c r="C1" s="2" t="n"/>
    </row>
    <row r="2" ht="15" customHeight="1">
      <c r="A2" s="3" t="inlineStr">
        <is>
          <t>Explore Excel  ·  exploreexcel.com</t>
        </is>
      </c>
      <c r="B2" s="2" t="n"/>
      <c r="C2" s="2" t="n"/>
    </row>
    <row r="4">
      <c r="A4" s="23" t="inlineStr">
        <is>
          <t>What this is</t>
        </is>
      </c>
    </row>
    <row r="5" ht="34" customHeight="1">
      <c r="A5" s="24" t="inlineStr">
        <is>
          <t>A stock tracker that calculates closing quantity, inventory value and whether each line needs reordering.</t>
        </is>
      </c>
    </row>
    <row r="7">
      <c r="A7" s="23" t="inlineStr">
        <is>
          <t>Filling it in</t>
        </is>
      </c>
    </row>
    <row r="8" ht="34" customHeight="1">
      <c r="A8" s="24" t="inlineStr">
        <is>
          <t>Blue columns are yours: SKU, description, category, unit cost, opening quantity, received, issued and reorder point. Closing quantity, value and the action flag calculate.</t>
        </is>
      </c>
    </row>
    <row r="10">
      <c r="A10" s="23" t="inlineStr">
        <is>
          <t>The action column</t>
        </is>
      </c>
    </row>
    <row r="11" ht="34" customHeight="1">
      <c r="A11" s="24" t="inlineStr">
        <is>
          <t>OK means above the reorder point. Reorder means at or below it. Out of stock means zero or negative. Filter on this column to get your purchasing list.</t>
        </is>
      </c>
    </row>
    <row r="13">
      <c r="A13" s="23" t="inlineStr">
        <is>
          <t>A negative closing quantity</t>
        </is>
      </c>
    </row>
    <row r="14" ht="34" customHeight="1">
      <c r="A14" s="24" t="inlineStr">
        <is>
          <t>If closing goes negative you have issued more than you had. That is not a rounding problem, it is a data problem — usually a missing goods receipt. The flag will say Out of stock, but the real message is that the records are wrong.</t>
        </is>
      </c>
    </row>
    <row r="16">
      <c r="A16" s="23" t="inlineStr">
        <is>
          <t>Valuation basis</t>
        </is>
      </c>
    </row>
    <row r="17" ht="34" customHeight="1">
      <c r="A17" s="24" t="inlineStr">
        <is>
          <t>This values stock at the unit cost you enter, on a periodic basis. It is not FIFO, weighted average or standard cost. For statutory reporting you will need whichever basis your accounting policy specifies.</t>
        </is>
      </c>
    </row>
  </sheetData>
  <mergeCells count="12">
    <mergeCell ref="A10:C10"/>
    <mergeCell ref="A13:C13"/>
    <mergeCell ref="A11:C11"/>
    <mergeCell ref="A1:C1"/>
    <mergeCell ref="A5:C5"/>
    <mergeCell ref="A16:C16"/>
    <mergeCell ref="A8:C8"/>
    <mergeCell ref="A14:C14"/>
    <mergeCell ref="A17:C17"/>
    <mergeCell ref="A7:C7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2026-07-23T18:22:56Z</dcterms:created>
  <dcterms:modified xmlns:dcterms="http://purl.org/dc/terms/" xmlns:xsi="http://www.w3.org/2001/XMLSchema-instance" xsi:type="dcterms:W3CDTF">2026-07-23T18:22:56Z</dcterms:modified>
</cp:coreProperties>
</file>