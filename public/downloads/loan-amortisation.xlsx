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4">
    <numFmt numFmtId="164" formatCode="#,##0.00;(#,##0.00);&quot;-&quot;"/>
    <numFmt numFmtId="165" formatCode="0.0%;(0.0%);&quot;-&quot;"/>
    <numFmt numFmtId="166" formatCode="#,##0;(#,##0);&quot;-&quot;"/>
    <numFmt numFmtId="167" formatCode="dd-mmm-yy"/>
  </numFmts>
  <fonts count="9">
    <font>
      <name val="Calibri"/>
      <family val="2"/>
      <color theme="1"/>
      <sz val="11"/>
      <scheme val="minor"/>
    </font>
    <font>
      <name val="Arial"/>
      <b val="1"/>
      <color rgb="00FFFFFF"/>
      <sz val="16"/>
    </font>
    <font>
      <name val="Arial"/>
      <color rgb="00C6E4D9"/>
      <sz val="9"/>
    </font>
    <font>
      <name val="Arial"/>
      <b val="1"/>
      <color rgb="000A4A3A"/>
      <sz val="11"/>
    </font>
    <font>
      <name val="Arial"/>
      <color rgb="000000FF"/>
      <sz val="10"/>
    </font>
    <font>
      <name val="Arial"/>
      <i val="1"/>
      <color rgb="004A4A48"/>
      <sz val="9"/>
    </font>
    <font>
      <name val="Arial"/>
      <b val="1"/>
      <color rgb="000A4A3A"/>
      <sz val="10"/>
    </font>
    <font>
      <name val="Arial"/>
      <b val="1"/>
      <color rgb="00FFFFFF"/>
      <sz val="10"/>
    </font>
    <font>
      <name val="Arial"/>
      <color rgb="00141414"/>
      <sz val="10"/>
    </font>
  </fonts>
  <fills count="6">
    <fill>
      <patternFill/>
    </fill>
    <fill>
      <patternFill patternType="gray125"/>
    </fill>
    <fill>
      <patternFill patternType="solid">
        <fgColor rgb="000F6E56"/>
        <bgColor rgb="000F6E56"/>
      </patternFill>
    </fill>
    <fill>
      <patternFill patternType="solid">
        <fgColor rgb="00FFFDF0"/>
        <bgColor rgb="00FFFDF0"/>
      </patternFill>
    </fill>
    <fill>
      <patternFill patternType="solid">
        <fgColor rgb="00E1F5EE"/>
        <bgColor rgb="00E1F5EE"/>
      </patternFill>
    </fill>
    <fill>
      <patternFill patternType="solid">
        <fgColor rgb="00FAFAF8"/>
        <bgColor rgb="00FAFAF8"/>
      </patternFill>
    </fill>
  </fills>
  <borders count="2">
    <border>
      <left/>
      <right/>
      <top/>
      <bottom/>
      <diagonal/>
    </border>
    <border>
      <left style="thin">
        <color rgb="00E4E4E0"/>
      </left>
      <right style="thin">
        <color rgb="00E4E4E0"/>
      </right>
      <top style="thin">
        <color rgb="00E4E4E0"/>
      </top>
      <bottom style="thin">
        <color rgb="00E4E4E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0" borderId="0" pivotButton="0" quotePrefix="0" xfId="0"/>
    <xf numFmtId="164" fontId="4" fillId="3" borderId="1" pivotButton="0" quotePrefix="0" xfId="0"/>
    <xf numFmtId="0" fontId="5" fillId="0" borderId="0" pivotButton="0" quotePrefix="0" xfId="0"/>
    <xf numFmtId="165" fontId="4" fillId="3" borderId="1" pivotButton="0" quotePrefix="0" xfId="0"/>
    <xf numFmtId="166" fontId="4" fillId="3" borderId="1" pivotButton="0" quotePrefix="0" xfId="0"/>
    <xf numFmtId="167" fontId="4" fillId="3" borderId="1" pivotButton="0" quotePrefix="0" xfId="0"/>
    <xf numFmtId="0" fontId="6" fillId="0" borderId="0" pivotButton="0" quotePrefix="0" xfId="0"/>
    <xf numFmtId="164" fontId="6" fillId="4" borderId="1" pivotButton="0" quotePrefix="0" xfId="0"/>
    <xf numFmtId="0" fontId="7" fillId="2" borderId="1" applyAlignment="1" pivotButton="0" quotePrefix="0" xfId="0">
      <alignment horizontal="center" vertical="center" wrapText="1"/>
    </xf>
    <xf numFmtId="166" fontId="8" fillId="0" borderId="1" pivotButton="0" quotePrefix="0" xfId="0"/>
    <xf numFmtId="167" fontId="8" fillId="0" borderId="1" pivotButton="0" quotePrefix="0" xfId="0"/>
    <xf numFmtId="164" fontId="8" fillId="0" borderId="1" pivotButton="0" quotePrefix="0" xfId="0"/>
    <xf numFmtId="166" fontId="8" fillId="5" borderId="1" pivotButton="0" quotePrefix="0" xfId="0"/>
    <xf numFmtId="167" fontId="8" fillId="5" borderId="1" pivotButton="0" quotePrefix="0" xfId="0"/>
    <xf numFmtId="164" fontId="8" fillId="5" borderId="1" pivotButton="0" quotePrefix="0" xfId="0"/>
    <xf numFmtId="0" fontId="3"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pane ySplit="14" topLeftCell="A15" activePane="bottomLeft" state="frozen"/>
      <selection pane="bottomLeft" activeCell="A1" sqref="A1"/>
    </sheetView>
  </sheetViews>
  <sheetFormatPr baseColWidth="8" defaultRowHeight="15"/>
  <cols>
    <col width="7" customWidth="1" min="1" max="1"/>
    <col width="14" customWidth="1" min="2" max="2"/>
    <col width="14" customWidth="1" min="3" max="3"/>
    <col width="13" customWidth="1" min="4" max="4"/>
    <col width="12" customWidth="1" min="5" max="5"/>
    <col width="14" customWidth="1" min="6" max="6"/>
    <col width="15" customWidth="1" min="7" max="7"/>
    <col width="34" customWidth="1" min="8" max="8"/>
  </cols>
  <sheetData>
    <row r="1" ht="26" customHeight="1">
      <c r="A1" s="1" t="inlineStr">
        <is>
          <t>Loan Amortisation Schedule</t>
        </is>
      </c>
      <c r="B1" s="2" t="n"/>
      <c r="C1" s="2" t="n"/>
      <c r="D1" s="2" t="n"/>
      <c r="E1" s="2" t="n"/>
      <c r="F1" s="2" t="n"/>
      <c r="G1" s="2" t="n"/>
      <c r="H1" s="2" t="n"/>
    </row>
    <row r="2" ht="15" customHeight="1">
      <c r="A2" s="3" t="inlineStr">
        <is>
          <t>Explore Excel  ·  exploreexcel.com  ·  Change the inputs, the whole schedule rebuilds</t>
        </is>
      </c>
      <c r="B2" s="2" t="n"/>
      <c r="C2" s="2" t="n"/>
      <c r="D2" s="2" t="n"/>
      <c r="E2" s="2" t="n"/>
      <c r="F2" s="2" t="n"/>
      <c r="G2" s="2" t="n"/>
      <c r="H2" s="2" t="n"/>
    </row>
    <row r="4">
      <c r="A4" s="4" t="inlineStr">
        <is>
          <t>Loan amount</t>
        </is>
      </c>
      <c r="C4" s="5" t="n">
        <v>250000</v>
      </c>
      <c r="D4" s="6" t="inlineStr">
        <is>
          <t>Principal advanced at the start.</t>
        </is>
      </c>
    </row>
    <row r="5">
      <c r="A5" s="4" t="inlineStr">
        <is>
          <t>Annual interest rate</t>
        </is>
      </c>
      <c r="C5" s="7" t="n">
        <v>0.075</v>
      </c>
      <c r="D5" s="6" t="inlineStr">
        <is>
          <t>Nominal annual rate. 7.5% is entered as 0.075.</t>
        </is>
      </c>
    </row>
    <row r="6">
      <c r="A6" s="4" t="inlineStr">
        <is>
          <t>Term (months)</t>
        </is>
      </c>
      <c r="C6" s="8" t="n">
        <v>60</v>
      </c>
      <c r="D6" s="6" t="inlineStr">
        <is>
          <t>Total number of repayments.</t>
        </is>
      </c>
    </row>
    <row r="7">
      <c r="A7" s="4" t="inlineStr">
        <is>
          <t>First payment date</t>
        </is>
      </c>
      <c r="C7" s="9" t="inlineStr">
        <is>
          <t>2026-02-01</t>
        </is>
      </c>
      <c r="D7" s="6" t="inlineStr">
        <is>
          <t>Payments are monthly from this date.</t>
        </is>
      </c>
    </row>
    <row r="8">
      <c r="A8" s="4" t="inlineStr">
        <is>
          <t>Extra payment per month</t>
        </is>
      </c>
      <c r="C8" s="5" t="n">
        <v>0</v>
      </c>
      <c r="D8" s="6" t="inlineStr">
        <is>
          <t>Optional. Applied to principal on every row.</t>
        </is>
      </c>
    </row>
    <row r="10">
      <c r="A10" s="10" t="inlineStr">
        <is>
          <t>Monthly payment</t>
        </is>
      </c>
      <c r="C10" s="11">
        <f>IFERROR(-PMT(C5/12,C6,C4),0)</f>
        <v/>
      </c>
      <c r="D10" s="6" t="inlineStr">
        <is>
          <t>Calculated with PMT. Excludes any extra payment.</t>
        </is>
      </c>
    </row>
    <row r="11">
      <c r="A11" s="10" t="inlineStr">
        <is>
          <t>Total interest</t>
        </is>
      </c>
      <c r="C11" s="11">
        <f>SUM(D15:D134)</f>
        <v/>
      </c>
    </row>
    <row r="12">
      <c r="A12" s="10" t="inlineStr">
        <is>
          <t>Total repaid</t>
        </is>
      </c>
      <c r="C12" s="11">
        <f>SUM(C15:C134)+SUM(D15:D134)</f>
        <v/>
      </c>
    </row>
    <row r="14" ht="24" customHeight="1">
      <c r="A14" s="12" t="inlineStr">
        <is>
          <t>No.</t>
        </is>
      </c>
      <c r="B14" s="12" t="inlineStr">
        <is>
          <t>Payment date</t>
        </is>
      </c>
      <c r="C14" s="12" t="inlineStr">
        <is>
          <t>Principal</t>
        </is>
      </c>
      <c r="D14" s="12" t="inlineStr">
        <is>
          <t>Interest</t>
        </is>
      </c>
      <c r="E14" s="12" t="inlineStr">
        <is>
          <t>Extra</t>
        </is>
      </c>
      <c r="F14" s="12" t="inlineStr">
        <is>
          <t>Total paid</t>
        </is>
      </c>
      <c r="G14" s="12" t="inlineStr">
        <is>
          <t>Balance</t>
        </is>
      </c>
      <c r="H14" s="12" t="inlineStr"/>
    </row>
    <row r="15">
      <c r="A15" s="13" t="n">
        <v>1</v>
      </c>
      <c r="B15" s="14">
        <f>IF(G15="","",EDATE($C$7,0))</f>
        <v/>
      </c>
      <c r="C15" s="15">
        <f>IF(OR($C$4="",N($C$4)&lt;=0),"",MIN(N($C$4),ROUND($C$10-D15,2)))</f>
        <v/>
      </c>
      <c r="D15" s="15">
        <f>IF(OR($C$4="",N($C$4)&lt;=0),"",ROUND(N($C$4)*$C$5/12,2))</f>
        <v/>
      </c>
      <c r="E15" s="15">
        <f>IF(OR($C$4="",N($C$4)&lt;=0),"",MIN(MAX(0,N($C$4)-C15),$C$8))</f>
        <v/>
      </c>
      <c r="F15" s="15">
        <f>IF(C15="","",C15+D15+E15)</f>
        <v/>
      </c>
      <c r="G15" s="15">
        <f>IF(OR($C$4="",N($C$4)&lt;=0),"",MAX(0,N($C$4)-C15-E15))</f>
        <v/>
      </c>
    </row>
    <row r="16">
      <c r="A16" s="16" t="n">
        <v>2</v>
      </c>
      <c r="B16" s="17">
        <f>IF(G16="","",EDATE($C$7,1))</f>
        <v/>
      </c>
      <c r="C16" s="18">
        <f>IF(OR(G15="",N(G15)&lt;=0),"",MIN(N(G15),ROUND($C$10-D16,2)))</f>
        <v/>
      </c>
      <c r="D16" s="18">
        <f>IF(OR(G15="",N(G15)&lt;=0),"",ROUND(N(G15)*$C$5/12,2))</f>
        <v/>
      </c>
      <c r="E16" s="18">
        <f>IF(OR(G15="",N(G15)&lt;=0),"",MIN(MAX(0,N(G15)-C16),$C$8))</f>
        <v/>
      </c>
      <c r="F16" s="18">
        <f>IF(C16="","",C16+D16+E16)</f>
        <v/>
      </c>
      <c r="G16" s="18">
        <f>IF(OR(G15="",N(G15)&lt;=0),"",MAX(0,N(G15)-C16-E16))</f>
        <v/>
      </c>
    </row>
    <row r="17">
      <c r="A17" s="13" t="n">
        <v>3</v>
      </c>
      <c r="B17" s="14">
        <f>IF(G17="","",EDATE($C$7,2))</f>
        <v/>
      </c>
      <c r="C17" s="15">
        <f>IF(OR(G16="",N(G16)&lt;=0),"",MIN(N(G16),ROUND($C$10-D17,2)))</f>
        <v/>
      </c>
      <c r="D17" s="15">
        <f>IF(OR(G16="",N(G16)&lt;=0),"",ROUND(N(G16)*$C$5/12,2))</f>
        <v/>
      </c>
      <c r="E17" s="15">
        <f>IF(OR(G16="",N(G16)&lt;=0),"",MIN(MAX(0,N(G16)-C17),$C$8))</f>
        <v/>
      </c>
      <c r="F17" s="15">
        <f>IF(C17="","",C17+D17+E17)</f>
        <v/>
      </c>
      <c r="G17" s="15">
        <f>IF(OR(G16="",N(G16)&lt;=0),"",MAX(0,N(G16)-C17-E17))</f>
        <v/>
      </c>
    </row>
    <row r="18">
      <c r="A18" s="16" t="n">
        <v>4</v>
      </c>
      <c r="B18" s="17">
        <f>IF(G18="","",EDATE($C$7,3))</f>
        <v/>
      </c>
      <c r="C18" s="18">
        <f>IF(OR(G17="",N(G17)&lt;=0),"",MIN(N(G17),ROUND($C$10-D18,2)))</f>
        <v/>
      </c>
      <c r="D18" s="18">
        <f>IF(OR(G17="",N(G17)&lt;=0),"",ROUND(N(G17)*$C$5/12,2))</f>
        <v/>
      </c>
      <c r="E18" s="18">
        <f>IF(OR(G17="",N(G17)&lt;=0),"",MIN(MAX(0,N(G17)-C18),$C$8))</f>
        <v/>
      </c>
      <c r="F18" s="18">
        <f>IF(C18="","",C18+D18+E18)</f>
        <v/>
      </c>
      <c r="G18" s="18">
        <f>IF(OR(G17="",N(G17)&lt;=0),"",MAX(0,N(G17)-C18-E18))</f>
        <v/>
      </c>
    </row>
    <row r="19">
      <c r="A19" s="13" t="n">
        <v>5</v>
      </c>
      <c r="B19" s="14">
        <f>IF(G19="","",EDATE($C$7,4))</f>
        <v/>
      </c>
      <c r="C19" s="15">
        <f>IF(OR(G18="",N(G18)&lt;=0),"",MIN(N(G18),ROUND($C$10-D19,2)))</f>
        <v/>
      </c>
      <c r="D19" s="15">
        <f>IF(OR(G18="",N(G18)&lt;=0),"",ROUND(N(G18)*$C$5/12,2))</f>
        <v/>
      </c>
      <c r="E19" s="15">
        <f>IF(OR(G18="",N(G18)&lt;=0),"",MIN(MAX(0,N(G18)-C19),$C$8))</f>
        <v/>
      </c>
      <c r="F19" s="15">
        <f>IF(C19="","",C19+D19+E19)</f>
        <v/>
      </c>
      <c r="G19" s="15">
        <f>IF(OR(G18="",N(G18)&lt;=0),"",MAX(0,N(G18)-C19-E19))</f>
        <v/>
      </c>
    </row>
    <row r="20">
      <c r="A20" s="16" t="n">
        <v>6</v>
      </c>
      <c r="B20" s="17">
        <f>IF(G20="","",EDATE($C$7,5))</f>
        <v/>
      </c>
      <c r="C20" s="18">
        <f>IF(OR(G19="",N(G19)&lt;=0),"",MIN(N(G19),ROUND($C$10-D20,2)))</f>
        <v/>
      </c>
      <c r="D20" s="18">
        <f>IF(OR(G19="",N(G19)&lt;=0),"",ROUND(N(G19)*$C$5/12,2))</f>
        <v/>
      </c>
      <c r="E20" s="18">
        <f>IF(OR(G19="",N(G19)&lt;=0),"",MIN(MAX(0,N(G19)-C20),$C$8))</f>
        <v/>
      </c>
      <c r="F20" s="18">
        <f>IF(C20="","",C20+D20+E20)</f>
        <v/>
      </c>
      <c r="G20" s="18">
        <f>IF(OR(G19="",N(G19)&lt;=0),"",MAX(0,N(G19)-C20-E20))</f>
        <v/>
      </c>
    </row>
    <row r="21">
      <c r="A21" s="13" t="n">
        <v>7</v>
      </c>
      <c r="B21" s="14">
        <f>IF(G21="","",EDATE($C$7,6))</f>
        <v/>
      </c>
      <c r="C21" s="15">
        <f>IF(OR(G20="",N(G20)&lt;=0),"",MIN(N(G20),ROUND($C$10-D21,2)))</f>
        <v/>
      </c>
      <c r="D21" s="15">
        <f>IF(OR(G20="",N(G20)&lt;=0),"",ROUND(N(G20)*$C$5/12,2))</f>
        <v/>
      </c>
      <c r="E21" s="15">
        <f>IF(OR(G20="",N(G20)&lt;=0),"",MIN(MAX(0,N(G20)-C21),$C$8))</f>
        <v/>
      </c>
      <c r="F21" s="15">
        <f>IF(C21="","",C21+D21+E21)</f>
        <v/>
      </c>
      <c r="G21" s="15">
        <f>IF(OR(G20="",N(G20)&lt;=0),"",MAX(0,N(G20)-C21-E21))</f>
        <v/>
      </c>
    </row>
    <row r="22">
      <c r="A22" s="16" t="n">
        <v>8</v>
      </c>
      <c r="B22" s="17">
        <f>IF(G22="","",EDATE($C$7,7))</f>
        <v/>
      </c>
      <c r="C22" s="18">
        <f>IF(OR(G21="",N(G21)&lt;=0),"",MIN(N(G21),ROUND($C$10-D22,2)))</f>
        <v/>
      </c>
      <c r="D22" s="18">
        <f>IF(OR(G21="",N(G21)&lt;=0),"",ROUND(N(G21)*$C$5/12,2))</f>
        <v/>
      </c>
      <c r="E22" s="18">
        <f>IF(OR(G21="",N(G21)&lt;=0),"",MIN(MAX(0,N(G21)-C22),$C$8))</f>
        <v/>
      </c>
      <c r="F22" s="18">
        <f>IF(C22="","",C22+D22+E22)</f>
        <v/>
      </c>
      <c r="G22" s="18">
        <f>IF(OR(G21="",N(G21)&lt;=0),"",MAX(0,N(G21)-C22-E22))</f>
        <v/>
      </c>
    </row>
    <row r="23">
      <c r="A23" s="13" t="n">
        <v>9</v>
      </c>
      <c r="B23" s="14">
        <f>IF(G23="","",EDATE($C$7,8))</f>
        <v/>
      </c>
      <c r="C23" s="15">
        <f>IF(OR(G22="",N(G22)&lt;=0),"",MIN(N(G22),ROUND($C$10-D23,2)))</f>
        <v/>
      </c>
      <c r="D23" s="15">
        <f>IF(OR(G22="",N(G22)&lt;=0),"",ROUND(N(G22)*$C$5/12,2))</f>
        <v/>
      </c>
      <c r="E23" s="15">
        <f>IF(OR(G22="",N(G22)&lt;=0),"",MIN(MAX(0,N(G22)-C23),$C$8))</f>
        <v/>
      </c>
      <c r="F23" s="15">
        <f>IF(C23="","",C23+D23+E23)</f>
        <v/>
      </c>
      <c r="G23" s="15">
        <f>IF(OR(G22="",N(G22)&lt;=0),"",MAX(0,N(G22)-C23-E23))</f>
        <v/>
      </c>
    </row>
    <row r="24">
      <c r="A24" s="16" t="n">
        <v>10</v>
      </c>
      <c r="B24" s="17">
        <f>IF(G24="","",EDATE($C$7,9))</f>
        <v/>
      </c>
      <c r="C24" s="18">
        <f>IF(OR(G23="",N(G23)&lt;=0),"",MIN(N(G23),ROUND($C$10-D24,2)))</f>
        <v/>
      </c>
      <c r="D24" s="18">
        <f>IF(OR(G23="",N(G23)&lt;=0),"",ROUND(N(G23)*$C$5/12,2))</f>
        <v/>
      </c>
      <c r="E24" s="18">
        <f>IF(OR(G23="",N(G23)&lt;=0),"",MIN(MAX(0,N(G23)-C24),$C$8))</f>
        <v/>
      </c>
      <c r="F24" s="18">
        <f>IF(C24="","",C24+D24+E24)</f>
        <v/>
      </c>
      <c r="G24" s="18">
        <f>IF(OR(G23="",N(G23)&lt;=0),"",MAX(0,N(G23)-C24-E24))</f>
        <v/>
      </c>
    </row>
    <row r="25">
      <c r="A25" s="13" t="n">
        <v>11</v>
      </c>
      <c r="B25" s="14">
        <f>IF(G25="","",EDATE($C$7,10))</f>
        <v/>
      </c>
      <c r="C25" s="15">
        <f>IF(OR(G24="",N(G24)&lt;=0),"",MIN(N(G24),ROUND($C$10-D25,2)))</f>
        <v/>
      </c>
      <c r="D25" s="15">
        <f>IF(OR(G24="",N(G24)&lt;=0),"",ROUND(N(G24)*$C$5/12,2))</f>
        <v/>
      </c>
      <c r="E25" s="15">
        <f>IF(OR(G24="",N(G24)&lt;=0),"",MIN(MAX(0,N(G24)-C25),$C$8))</f>
        <v/>
      </c>
      <c r="F25" s="15">
        <f>IF(C25="","",C25+D25+E25)</f>
        <v/>
      </c>
      <c r="G25" s="15">
        <f>IF(OR(G24="",N(G24)&lt;=0),"",MAX(0,N(G24)-C25-E25))</f>
        <v/>
      </c>
    </row>
    <row r="26">
      <c r="A26" s="16" t="n">
        <v>12</v>
      </c>
      <c r="B26" s="17">
        <f>IF(G26="","",EDATE($C$7,11))</f>
        <v/>
      </c>
      <c r="C26" s="18">
        <f>IF(OR(G25="",N(G25)&lt;=0),"",MIN(N(G25),ROUND($C$10-D26,2)))</f>
        <v/>
      </c>
      <c r="D26" s="18">
        <f>IF(OR(G25="",N(G25)&lt;=0),"",ROUND(N(G25)*$C$5/12,2))</f>
        <v/>
      </c>
      <c r="E26" s="18">
        <f>IF(OR(G25="",N(G25)&lt;=0),"",MIN(MAX(0,N(G25)-C26),$C$8))</f>
        <v/>
      </c>
      <c r="F26" s="18">
        <f>IF(C26="","",C26+D26+E26)</f>
        <v/>
      </c>
      <c r="G26" s="18">
        <f>IF(OR(G25="",N(G25)&lt;=0),"",MAX(0,N(G25)-C26-E26))</f>
        <v/>
      </c>
    </row>
    <row r="27">
      <c r="A27" s="13" t="n">
        <v>13</v>
      </c>
      <c r="B27" s="14">
        <f>IF(G27="","",EDATE($C$7,12))</f>
        <v/>
      </c>
      <c r="C27" s="15">
        <f>IF(OR(G26="",N(G26)&lt;=0),"",MIN(N(G26),ROUND($C$10-D27,2)))</f>
        <v/>
      </c>
      <c r="D27" s="15">
        <f>IF(OR(G26="",N(G26)&lt;=0),"",ROUND(N(G26)*$C$5/12,2))</f>
        <v/>
      </c>
      <c r="E27" s="15">
        <f>IF(OR(G26="",N(G26)&lt;=0),"",MIN(MAX(0,N(G26)-C27),$C$8))</f>
        <v/>
      </c>
      <c r="F27" s="15">
        <f>IF(C27="","",C27+D27+E27)</f>
        <v/>
      </c>
      <c r="G27" s="15">
        <f>IF(OR(G26="",N(G26)&lt;=0),"",MAX(0,N(G26)-C27-E27))</f>
        <v/>
      </c>
    </row>
    <row r="28">
      <c r="A28" s="16" t="n">
        <v>14</v>
      </c>
      <c r="B28" s="17">
        <f>IF(G28="","",EDATE($C$7,13))</f>
        <v/>
      </c>
      <c r="C28" s="18">
        <f>IF(OR(G27="",N(G27)&lt;=0),"",MIN(N(G27),ROUND($C$10-D28,2)))</f>
        <v/>
      </c>
      <c r="D28" s="18">
        <f>IF(OR(G27="",N(G27)&lt;=0),"",ROUND(N(G27)*$C$5/12,2))</f>
        <v/>
      </c>
      <c r="E28" s="18">
        <f>IF(OR(G27="",N(G27)&lt;=0),"",MIN(MAX(0,N(G27)-C28),$C$8))</f>
        <v/>
      </c>
      <c r="F28" s="18">
        <f>IF(C28="","",C28+D28+E28)</f>
        <v/>
      </c>
      <c r="G28" s="18">
        <f>IF(OR(G27="",N(G27)&lt;=0),"",MAX(0,N(G27)-C28-E28))</f>
        <v/>
      </c>
    </row>
    <row r="29">
      <c r="A29" s="13" t="n">
        <v>15</v>
      </c>
      <c r="B29" s="14">
        <f>IF(G29="","",EDATE($C$7,14))</f>
        <v/>
      </c>
      <c r="C29" s="15">
        <f>IF(OR(G28="",N(G28)&lt;=0),"",MIN(N(G28),ROUND($C$10-D29,2)))</f>
        <v/>
      </c>
      <c r="D29" s="15">
        <f>IF(OR(G28="",N(G28)&lt;=0),"",ROUND(N(G28)*$C$5/12,2))</f>
        <v/>
      </c>
      <c r="E29" s="15">
        <f>IF(OR(G28="",N(G28)&lt;=0),"",MIN(MAX(0,N(G28)-C29),$C$8))</f>
        <v/>
      </c>
      <c r="F29" s="15">
        <f>IF(C29="","",C29+D29+E29)</f>
        <v/>
      </c>
      <c r="G29" s="15">
        <f>IF(OR(G28="",N(G28)&lt;=0),"",MAX(0,N(G28)-C29-E29))</f>
        <v/>
      </c>
    </row>
    <row r="30">
      <c r="A30" s="16" t="n">
        <v>16</v>
      </c>
      <c r="B30" s="17">
        <f>IF(G30="","",EDATE($C$7,15))</f>
        <v/>
      </c>
      <c r="C30" s="18">
        <f>IF(OR(G29="",N(G29)&lt;=0),"",MIN(N(G29),ROUND($C$10-D30,2)))</f>
        <v/>
      </c>
      <c r="D30" s="18">
        <f>IF(OR(G29="",N(G29)&lt;=0),"",ROUND(N(G29)*$C$5/12,2))</f>
        <v/>
      </c>
      <c r="E30" s="18">
        <f>IF(OR(G29="",N(G29)&lt;=0),"",MIN(MAX(0,N(G29)-C30),$C$8))</f>
        <v/>
      </c>
      <c r="F30" s="18">
        <f>IF(C30="","",C30+D30+E30)</f>
        <v/>
      </c>
      <c r="G30" s="18">
        <f>IF(OR(G29="",N(G29)&lt;=0),"",MAX(0,N(G29)-C30-E30))</f>
        <v/>
      </c>
    </row>
    <row r="31">
      <c r="A31" s="13" t="n">
        <v>17</v>
      </c>
      <c r="B31" s="14">
        <f>IF(G31="","",EDATE($C$7,16))</f>
        <v/>
      </c>
      <c r="C31" s="15">
        <f>IF(OR(G30="",N(G30)&lt;=0),"",MIN(N(G30),ROUND($C$10-D31,2)))</f>
        <v/>
      </c>
      <c r="D31" s="15">
        <f>IF(OR(G30="",N(G30)&lt;=0),"",ROUND(N(G30)*$C$5/12,2))</f>
        <v/>
      </c>
      <c r="E31" s="15">
        <f>IF(OR(G30="",N(G30)&lt;=0),"",MIN(MAX(0,N(G30)-C31),$C$8))</f>
        <v/>
      </c>
      <c r="F31" s="15">
        <f>IF(C31="","",C31+D31+E31)</f>
        <v/>
      </c>
      <c r="G31" s="15">
        <f>IF(OR(G30="",N(G30)&lt;=0),"",MAX(0,N(G30)-C31-E31))</f>
        <v/>
      </c>
    </row>
    <row r="32">
      <c r="A32" s="16" t="n">
        <v>18</v>
      </c>
      <c r="B32" s="17">
        <f>IF(G32="","",EDATE($C$7,17))</f>
        <v/>
      </c>
      <c r="C32" s="18">
        <f>IF(OR(G31="",N(G31)&lt;=0),"",MIN(N(G31),ROUND($C$10-D32,2)))</f>
        <v/>
      </c>
      <c r="D32" s="18">
        <f>IF(OR(G31="",N(G31)&lt;=0),"",ROUND(N(G31)*$C$5/12,2))</f>
        <v/>
      </c>
      <c r="E32" s="18">
        <f>IF(OR(G31="",N(G31)&lt;=0),"",MIN(MAX(0,N(G31)-C32),$C$8))</f>
        <v/>
      </c>
      <c r="F32" s="18">
        <f>IF(C32="","",C32+D32+E32)</f>
        <v/>
      </c>
      <c r="G32" s="18">
        <f>IF(OR(G31="",N(G31)&lt;=0),"",MAX(0,N(G31)-C32-E32))</f>
        <v/>
      </c>
    </row>
    <row r="33">
      <c r="A33" s="13" t="n">
        <v>19</v>
      </c>
      <c r="B33" s="14">
        <f>IF(G33="","",EDATE($C$7,18))</f>
        <v/>
      </c>
      <c r="C33" s="15">
        <f>IF(OR(G32="",N(G32)&lt;=0),"",MIN(N(G32),ROUND($C$10-D33,2)))</f>
        <v/>
      </c>
      <c r="D33" s="15">
        <f>IF(OR(G32="",N(G32)&lt;=0),"",ROUND(N(G32)*$C$5/12,2))</f>
        <v/>
      </c>
      <c r="E33" s="15">
        <f>IF(OR(G32="",N(G32)&lt;=0),"",MIN(MAX(0,N(G32)-C33),$C$8))</f>
        <v/>
      </c>
      <c r="F33" s="15">
        <f>IF(C33="","",C33+D33+E33)</f>
        <v/>
      </c>
      <c r="G33" s="15">
        <f>IF(OR(G32="",N(G32)&lt;=0),"",MAX(0,N(G32)-C33-E33))</f>
        <v/>
      </c>
    </row>
    <row r="34">
      <c r="A34" s="16" t="n">
        <v>20</v>
      </c>
      <c r="B34" s="17">
        <f>IF(G34="","",EDATE($C$7,19))</f>
        <v/>
      </c>
      <c r="C34" s="18">
        <f>IF(OR(G33="",N(G33)&lt;=0),"",MIN(N(G33),ROUND($C$10-D34,2)))</f>
        <v/>
      </c>
      <c r="D34" s="18">
        <f>IF(OR(G33="",N(G33)&lt;=0),"",ROUND(N(G33)*$C$5/12,2))</f>
        <v/>
      </c>
      <c r="E34" s="18">
        <f>IF(OR(G33="",N(G33)&lt;=0),"",MIN(MAX(0,N(G33)-C34),$C$8))</f>
        <v/>
      </c>
      <c r="F34" s="18">
        <f>IF(C34="","",C34+D34+E34)</f>
        <v/>
      </c>
      <c r="G34" s="18">
        <f>IF(OR(G33="",N(G33)&lt;=0),"",MAX(0,N(G33)-C34-E34))</f>
        <v/>
      </c>
    </row>
    <row r="35">
      <c r="A35" s="13" t="n">
        <v>21</v>
      </c>
      <c r="B35" s="14">
        <f>IF(G35="","",EDATE($C$7,20))</f>
        <v/>
      </c>
      <c r="C35" s="15">
        <f>IF(OR(G34="",N(G34)&lt;=0),"",MIN(N(G34),ROUND($C$10-D35,2)))</f>
        <v/>
      </c>
      <c r="D35" s="15">
        <f>IF(OR(G34="",N(G34)&lt;=0),"",ROUND(N(G34)*$C$5/12,2))</f>
        <v/>
      </c>
      <c r="E35" s="15">
        <f>IF(OR(G34="",N(G34)&lt;=0),"",MIN(MAX(0,N(G34)-C35),$C$8))</f>
        <v/>
      </c>
      <c r="F35" s="15">
        <f>IF(C35="","",C35+D35+E35)</f>
        <v/>
      </c>
      <c r="G35" s="15">
        <f>IF(OR(G34="",N(G34)&lt;=0),"",MAX(0,N(G34)-C35-E35))</f>
        <v/>
      </c>
    </row>
    <row r="36">
      <c r="A36" s="16" t="n">
        <v>22</v>
      </c>
      <c r="B36" s="17">
        <f>IF(G36="","",EDATE($C$7,21))</f>
        <v/>
      </c>
      <c r="C36" s="18">
        <f>IF(OR(G35="",N(G35)&lt;=0),"",MIN(N(G35),ROUND($C$10-D36,2)))</f>
        <v/>
      </c>
      <c r="D36" s="18">
        <f>IF(OR(G35="",N(G35)&lt;=0),"",ROUND(N(G35)*$C$5/12,2))</f>
        <v/>
      </c>
      <c r="E36" s="18">
        <f>IF(OR(G35="",N(G35)&lt;=0),"",MIN(MAX(0,N(G35)-C36),$C$8))</f>
        <v/>
      </c>
      <c r="F36" s="18">
        <f>IF(C36="","",C36+D36+E36)</f>
        <v/>
      </c>
      <c r="G36" s="18">
        <f>IF(OR(G35="",N(G35)&lt;=0),"",MAX(0,N(G35)-C36-E36))</f>
        <v/>
      </c>
    </row>
    <row r="37">
      <c r="A37" s="13" t="n">
        <v>23</v>
      </c>
      <c r="B37" s="14">
        <f>IF(G37="","",EDATE($C$7,22))</f>
        <v/>
      </c>
      <c r="C37" s="15">
        <f>IF(OR(G36="",N(G36)&lt;=0),"",MIN(N(G36),ROUND($C$10-D37,2)))</f>
        <v/>
      </c>
      <c r="D37" s="15">
        <f>IF(OR(G36="",N(G36)&lt;=0),"",ROUND(N(G36)*$C$5/12,2))</f>
        <v/>
      </c>
      <c r="E37" s="15">
        <f>IF(OR(G36="",N(G36)&lt;=0),"",MIN(MAX(0,N(G36)-C37),$C$8))</f>
        <v/>
      </c>
      <c r="F37" s="15">
        <f>IF(C37="","",C37+D37+E37)</f>
        <v/>
      </c>
      <c r="G37" s="15">
        <f>IF(OR(G36="",N(G36)&lt;=0),"",MAX(0,N(G36)-C37-E37))</f>
        <v/>
      </c>
    </row>
    <row r="38">
      <c r="A38" s="16" t="n">
        <v>24</v>
      </c>
      <c r="B38" s="17">
        <f>IF(G38="","",EDATE($C$7,23))</f>
        <v/>
      </c>
      <c r="C38" s="18">
        <f>IF(OR(G37="",N(G37)&lt;=0),"",MIN(N(G37),ROUND($C$10-D38,2)))</f>
        <v/>
      </c>
      <c r="D38" s="18">
        <f>IF(OR(G37="",N(G37)&lt;=0),"",ROUND(N(G37)*$C$5/12,2))</f>
        <v/>
      </c>
      <c r="E38" s="18">
        <f>IF(OR(G37="",N(G37)&lt;=0),"",MIN(MAX(0,N(G37)-C38),$C$8))</f>
        <v/>
      </c>
      <c r="F38" s="18">
        <f>IF(C38="","",C38+D38+E38)</f>
        <v/>
      </c>
      <c r="G38" s="18">
        <f>IF(OR(G37="",N(G37)&lt;=0),"",MAX(0,N(G37)-C38-E38))</f>
        <v/>
      </c>
    </row>
    <row r="39">
      <c r="A39" s="13" t="n">
        <v>25</v>
      </c>
      <c r="B39" s="14">
        <f>IF(G39="","",EDATE($C$7,24))</f>
        <v/>
      </c>
      <c r="C39" s="15">
        <f>IF(OR(G38="",N(G38)&lt;=0),"",MIN(N(G38),ROUND($C$10-D39,2)))</f>
        <v/>
      </c>
      <c r="D39" s="15">
        <f>IF(OR(G38="",N(G38)&lt;=0),"",ROUND(N(G38)*$C$5/12,2))</f>
        <v/>
      </c>
      <c r="E39" s="15">
        <f>IF(OR(G38="",N(G38)&lt;=0),"",MIN(MAX(0,N(G38)-C39),$C$8))</f>
        <v/>
      </c>
      <c r="F39" s="15">
        <f>IF(C39="","",C39+D39+E39)</f>
        <v/>
      </c>
      <c r="G39" s="15">
        <f>IF(OR(G38="",N(G38)&lt;=0),"",MAX(0,N(G38)-C39-E39))</f>
        <v/>
      </c>
    </row>
    <row r="40">
      <c r="A40" s="16" t="n">
        <v>26</v>
      </c>
      <c r="B40" s="17">
        <f>IF(G40="","",EDATE($C$7,25))</f>
        <v/>
      </c>
      <c r="C40" s="18">
        <f>IF(OR(G39="",N(G39)&lt;=0),"",MIN(N(G39),ROUND($C$10-D40,2)))</f>
        <v/>
      </c>
      <c r="D40" s="18">
        <f>IF(OR(G39="",N(G39)&lt;=0),"",ROUND(N(G39)*$C$5/12,2))</f>
        <v/>
      </c>
      <c r="E40" s="18">
        <f>IF(OR(G39="",N(G39)&lt;=0),"",MIN(MAX(0,N(G39)-C40),$C$8))</f>
        <v/>
      </c>
      <c r="F40" s="18">
        <f>IF(C40="","",C40+D40+E40)</f>
        <v/>
      </c>
      <c r="G40" s="18">
        <f>IF(OR(G39="",N(G39)&lt;=0),"",MAX(0,N(G39)-C40-E40))</f>
        <v/>
      </c>
    </row>
    <row r="41">
      <c r="A41" s="13" t="n">
        <v>27</v>
      </c>
      <c r="B41" s="14">
        <f>IF(G41="","",EDATE($C$7,26))</f>
        <v/>
      </c>
      <c r="C41" s="15">
        <f>IF(OR(G40="",N(G40)&lt;=0),"",MIN(N(G40),ROUND($C$10-D41,2)))</f>
        <v/>
      </c>
      <c r="D41" s="15">
        <f>IF(OR(G40="",N(G40)&lt;=0),"",ROUND(N(G40)*$C$5/12,2))</f>
        <v/>
      </c>
      <c r="E41" s="15">
        <f>IF(OR(G40="",N(G40)&lt;=0),"",MIN(MAX(0,N(G40)-C41),$C$8))</f>
        <v/>
      </c>
      <c r="F41" s="15">
        <f>IF(C41="","",C41+D41+E41)</f>
        <v/>
      </c>
      <c r="G41" s="15">
        <f>IF(OR(G40="",N(G40)&lt;=0),"",MAX(0,N(G40)-C41-E41))</f>
        <v/>
      </c>
    </row>
    <row r="42">
      <c r="A42" s="16" t="n">
        <v>28</v>
      </c>
      <c r="B42" s="17">
        <f>IF(G42="","",EDATE($C$7,27))</f>
        <v/>
      </c>
      <c r="C42" s="18">
        <f>IF(OR(G41="",N(G41)&lt;=0),"",MIN(N(G41),ROUND($C$10-D42,2)))</f>
        <v/>
      </c>
      <c r="D42" s="18">
        <f>IF(OR(G41="",N(G41)&lt;=0),"",ROUND(N(G41)*$C$5/12,2))</f>
        <v/>
      </c>
      <c r="E42" s="18">
        <f>IF(OR(G41="",N(G41)&lt;=0),"",MIN(MAX(0,N(G41)-C42),$C$8))</f>
        <v/>
      </c>
      <c r="F42" s="18">
        <f>IF(C42="","",C42+D42+E42)</f>
        <v/>
      </c>
      <c r="G42" s="18">
        <f>IF(OR(G41="",N(G41)&lt;=0),"",MAX(0,N(G41)-C42-E42))</f>
        <v/>
      </c>
    </row>
    <row r="43">
      <c r="A43" s="13" t="n">
        <v>29</v>
      </c>
      <c r="B43" s="14">
        <f>IF(G43="","",EDATE($C$7,28))</f>
        <v/>
      </c>
      <c r="C43" s="15">
        <f>IF(OR(G42="",N(G42)&lt;=0),"",MIN(N(G42),ROUND($C$10-D43,2)))</f>
        <v/>
      </c>
      <c r="D43" s="15">
        <f>IF(OR(G42="",N(G42)&lt;=0),"",ROUND(N(G42)*$C$5/12,2))</f>
        <v/>
      </c>
      <c r="E43" s="15">
        <f>IF(OR(G42="",N(G42)&lt;=0),"",MIN(MAX(0,N(G42)-C43),$C$8))</f>
        <v/>
      </c>
      <c r="F43" s="15">
        <f>IF(C43="","",C43+D43+E43)</f>
        <v/>
      </c>
      <c r="G43" s="15">
        <f>IF(OR(G42="",N(G42)&lt;=0),"",MAX(0,N(G42)-C43-E43))</f>
        <v/>
      </c>
    </row>
    <row r="44">
      <c r="A44" s="16" t="n">
        <v>30</v>
      </c>
      <c r="B44" s="17">
        <f>IF(G44="","",EDATE($C$7,29))</f>
        <v/>
      </c>
      <c r="C44" s="18">
        <f>IF(OR(G43="",N(G43)&lt;=0),"",MIN(N(G43),ROUND($C$10-D44,2)))</f>
        <v/>
      </c>
      <c r="D44" s="18">
        <f>IF(OR(G43="",N(G43)&lt;=0),"",ROUND(N(G43)*$C$5/12,2))</f>
        <v/>
      </c>
      <c r="E44" s="18">
        <f>IF(OR(G43="",N(G43)&lt;=0),"",MIN(MAX(0,N(G43)-C44),$C$8))</f>
        <v/>
      </c>
      <c r="F44" s="18">
        <f>IF(C44="","",C44+D44+E44)</f>
        <v/>
      </c>
      <c r="G44" s="18">
        <f>IF(OR(G43="",N(G43)&lt;=0),"",MAX(0,N(G43)-C44-E44))</f>
        <v/>
      </c>
    </row>
    <row r="45">
      <c r="A45" s="13" t="n">
        <v>31</v>
      </c>
      <c r="B45" s="14">
        <f>IF(G45="","",EDATE($C$7,30))</f>
        <v/>
      </c>
      <c r="C45" s="15">
        <f>IF(OR(G44="",N(G44)&lt;=0),"",MIN(N(G44),ROUND($C$10-D45,2)))</f>
        <v/>
      </c>
      <c r="D45" s="15">
        <f>IF(OR(G44="",N(G44)&lt;=0),"",ROUND(N(G44)*$C$5/12,2))</f>
        <v/>
      </c>
      <c r="E45" s="15">
        <f>IF(OR(G44="",N(G44)&lt;=0),"",MIN(MAX(0,N(G44)-C45),$C$8))</f>
        <v/>
      </c>
      <c r="F45" s="15">
        <f>IF(C45="","",C45+D45+E45)</f>
        <v/>
      </c>
      <c r="G45" s="15">
        <f>IF(OR(G44="",N(G44)&lt;=0),"",MAX(0,N(G44)-C45-E45))</f>
        <v/>
      </c>
    </row>
    <row r="46">
      <c r="A46" s="16" t="n">
        <v>32</v>
      </c>
      <c r="B46" s="17">
        <f>IF(G46="","",EDATE($C$7,31))</f>
        <v/>
      </c>
      <c r="C46" s="18">
        <f>IF(OR(G45="",N(G45)&lt;=0),"",MIN(N(G45),ROUND($C$10-D46,2)))</f>
        <v/>
      </c>
      <c r="D46" s="18">
        <f>IF(OR(G45="",N(G45)&lt;=0),"",ROUND(N(G45)*$C$5/12,2))</f>
        <v/>
      </c>
      <c r="E46" s="18">
        <f>IF(OR(G45="",N(G45)&lt;=0),"",MIN(MAX(0,N(G45)-C46),$C$8))</f>
        <v/>
      </c>
      <c r="F46" s="18">
        <f>IF(C46="","",C46+D46+E46)</f>
        <v/>
      </c>
      <c r="G46" s="18">
        <f>IF(OR(G45="",N(G45)&lt;=0),"",MAX(0,N(G45)-C46-E46))</f>
        <v/>
      </c>
    </row>
    <row r="47">
      <c r="A47" s="13" t="n">
        <v>33</v>
      </c>
      <c r="B47" s="14">
        <f>IF(G47="","",EDATE($C$7,32))</f>
        <v/>
      </c>
      <c r="C47" s="15">
        <f>IF(OR(G46="",N(G46)&lt;=0),"",MIN(N(G46),ROUND($C$10-D47,2)))</f>
        <v/>
      </c>
      <c r="D47" s="15">
        <f>IF(OR(G46="",N(G46)&lt;=0),"",ROUND(N(G46)*$C$5/12,2))</f>
        <v/>
      </c>
      <c r="E47" s="15">
        <f>IF(OR(G46="",N(G46)&lt;=0),"",MIN(MAX(0,N(G46)-C47),$C$8))</f>
        <v/>
      </c>
      <c r="F47" s="15">
        <f>IF(C47="","",C47+D47+E47)</f>
        <v/>
      </c>
      <c r="G47" s="15">
        <f>IF(OR(G46="",N(G46)&lt;=0),"",MAX(0,N(G46)-C47-E47))</f>
        <v/>
      </c>
    </row>
    <row r="48">
      <c r="A48" s="16" t="n">
        <v>34</v>
      </c>
      <c r="B48" s="17">
        <f>IF(G48="","",EDATE($C$7,33))</f>
        <v/>
      </c>
      <c r="C48" s="18">
        <f>IF(OR(G47="",N(G47)&lt;=0),"",MIN(N(G47),ROUND($C$10-D48,2)))</f>
        <v/>
      </c>
      <c r="D48" s="18">
        <f>IF(OR(G47="",N(G47)&lt;=0),"",ROUND(N(G47)*$C$5/12,2))</f>
        <v/>
      </c>
      <c r="E48" s="18">
        <f>IF(OR(G47="",N(G47)&lt;=0),"",MIN(MAX(0,N(G47)-C48),$C$8))</f>
        <v/>
      </c>
      <c r="F48" s="18">
        <f>IF(C48="","",C48+D48+E48)</f>
        <v/>
      </c>
      <c r="G48" s="18">
        <f>IF(OR(G47="",N(G47)&lt;=0),"",MAX(0,N(G47)-C48-E48))</f>
        <v/>
      </c>
    </row>
    <row r="49">
      <c r="A49" s="13" t="n">
        <v>35</v>
      </c>
      <c r="B49" s="14">
        <f>IF(G49="","",EDATE($C$7,34))</f>
        <v/>
      </c>
      <c r="C49" s="15">
        <f>IF(OR(G48="",N(G48)&lt;=0),"",MIN(N(G48),ROUND($C$10-D49,2)))</f>
        <v/>
      </c>
      <c r="D49" s="15">
        <f>IF(OR(G48="",N(G48)&lt;=0),"",ROUND(N(G48)*$C$5/12,2))</f>
        <v/>
      </c>
      <c r="E49" s="15">
        <f>IF(OR(G48="",N(G48)&lt;=0),"",MIN(MAX(0,N(G48)-C49),$C$8))</f>
        <v/>
      </c>
      <c r="F49" s="15">
        <f>IF(C49="","",C49+D49+E49)</f>
        <v/>
      </c>
      <c r="G49" s="15">
        <f>IF(OR(G48="",N(G48)&lt;=0),"",MAX(0,N(G48)-C49-E49))</f>
        <v/>
      </c>
    </row>
    <row r="50">
      <c r="A50" s="16" t="n">
        <v>36</v>
      </c>
      <c r="B50" s="17">
        <f>IF(G50="","",EDATE($C$7,35))</f>
        <v/>
      </c>
      <c r="C50" s="18">
        <f>IF(OR(G49="",N(G49)&lt;=0),"",MIN(N(G49),ROUND($C$10-D50,2)))</f>
        <v/>
      </c>
      <c r="D50" s="18">
        <f>IF(OR(G49="",N(G49)&lt;=0),"",ROUND(N(G49)*$C$5/12,2))</f>
        <v/>
      </c>
      <c r="E50" s="18">
        <f>IF(OR(G49="",N(G49)&lt;=0),"",MIN(MAX(0,N(G49)-C50),$C$8))</f>
        <v/>
      </c>
      <c r="F50" s="18">
        <f>IF(C50="","",C50+D50+E50)</f>
        <v/>
      </c>
      <c r="G50" s="18">
        <f>IF(OR(G49="",N(G49)&lt;=0),"",MAX(0,N(G49)-C50-E50))</f>
        <v/>
      </c>
    </row>
    <row r="51">
      <c r="A51" s="13" t="n">
        <v>37</v>
      </c>
      <c r="B51" s="14">
        <f>IF(G51="","",EDATE($C$7,36))</f>
        <v/>
      </c>
      <c r="C51" s="15">
        <f>IF(OR(G50="",N(G50)&lt;=0),"",MIN(N(G50),ROUND($C$10-D51,2)))</f>
        <v/>
      </c>
      <c r="D51" s="15">
        <f>IF(OR(G50="",N(G50)&lt;=0),"",ROUND(N(G50)*$C$5/12,2))</f>
        <v/>
      </c>
      <c r="E51" s="15">
        <f>IF(OR(G50="",N(G50)&lt;=0),"",MIN(MAX(0,N(G50)-C51),$C$8))</f>
        <v/>
      </c>
      <c r="F51" s="15">
        <f>IF(C51="","",C51+D51+E51)</f>
        <v/>
      </c>
      <c r="G51" s="15">
        <f>IF(OR(G50="",N(G50)&lt;=0),"",MAX(0,N(G50)-C51-E51))</f>
        <v/>
      </c>
    </row>
    <row r="52">
      <c r="A52" s="16" t="n">
        <v>38</v>
      </c>
      <c r="B52" s="17">
        <f>IF(G52="","",EDATE($C$7,37))</f>
        <v/>
      </c>
      <c r="C52" s="18">
        <f>IF(OR(G51="",N(G51)&lt;=0),"",MIN(N(G51),ROUND($C$10-D52,2)))</f>
        <v/>
      </c>
      <c r="D52" s="18">
        <f>IF(OR(G51="",N(G51)&lt;=0),"",ROUND(N(G51)*$C$5/12,2))</f>
        <v/>
      </c>
      <c r="E52" s="18">
        <f>IF(OR(G51="",N(G51)&lt;=0),"",MIN(MAX(0,N(G51)-C52),$C$8))</f>
        <v/>
      </c>
      <c r="F52" s="18">
        <f>IF(C52="","",C52+D52+E52)</f>
        <v/>
      </c>
      <c r="G52" s="18">
        <f>IF(OR(G51="",N(G51)&lt;=0),"",MAX(0,N(G51)-C52-E52))</f>
        <v/>
      </c>
    </row>
    <row r="53">
      <c r="A53" s="13" t="n">
        <v>39</v>
      </c>
      <c r="B53" s="14">
        <f>IF(G53="","",EDATE($C$7,38))</f>
        <v/>
      </c>
      <c r="C53" s="15">
        <f>IF(OR(G52="",N(G52)&lt;=0),"",MIN(N(G52),ROUND($C$10-D53,2)))</f>
        <v/>
      </c>
      <c r="D53" s="15">
        <f>IF(OR(G52="",N(G52)&lt;=0),"",ROUND(N(G52)*$C$5/12,2))</f>
        <v/>
      </c>
      <c r="E53" s="15">
        <f>IF(OR(G52="",N(G52)&lt;=0),"",MIN(MAX(0,N(G52)-C53),$C$8))</f>
        <v/>
      </c>
      <c r="F53" s="15">
        <f>IF(C53="","",C53+D53+E53)</f>
        <v/>
      </c>
      <c r="G53" s="15">
        <f>IF(OR(G52="",N(G52)&lt;=0),"",MAX(0,N(G52)-C53-E53))</f>
        <v/>
      </c>
    </row>
    <row r="54">
      <c r="A54" s="16" t="n">
        <v>40</v>
      </c>
      <c r="B54" s="17">
        <f>IF(G54="","",EDATE($C$7,39))</f>
        <v/>
      </c>
      <c r="C54" s="18">
        <f>IF(OR(G53="",N(G53)&lt;=0),"",MIN(N(G53),ROUND($C$10-D54,2)))</f>
        <v/>
      </c>
      <c r="D54" s="18">
        <f>IF(OR(G53="",N(G53)&lt;=0),"",ROUND(N(G53)*$C$5/12,2))</f>
        <v/>
      </c>
      <c r="E54" s="18">
        <f>IF(OR(G53="",N(G53)&lt;=0),"",MIN(MAX(0,N(G53)-C54),$C$8))</f>
        <v/>
      </c>
      <c r="F54" s="18">
        <f>IF(C54="","",C54+D54+E54)</f>
        <v/>
      </c>
      <c r="G54" s="18">
        <f>IF(OR(G53="",N(G53)&lt;=0),"",MAX(0,N(G53)-C54-E54))</f>
        <v/>
      </c>
    </row>
    <row r="55">
      <c r="A55" s="13" t="n">
        <v>41</v>
      </c>
      <c r="B55" s="14">
        <f>IF(G55="","",EDATE($C$7,40))</f>
        <v/>
      </c>
      <c r="C55" s="15">
        <f>IF(OR(G54="",N(G54)&lt;=0),"",MIN(N(G54),ROUND($C$10-D55,2)))</f>
        <v/>
      </c>
      <c r="D55" s="15">
        <f>IF(OR(G54="",N(G54)&lt;=0),"",ROUND(N(G54)*$C$5/12,2))</f>
        <v/>
      </c>
      <c r="E55" s="15">
        <f>IF(OR(G54="",N(G54)&lt;=0),"",MIN(MAX(0,N(G54)-C55),$C$8))</f>
        <v/>
      </c>
      <c r="F55" s="15">
        <f>IF(C55="","",C55+D55+E55)</f>
        <v/>
      </c>
      <c r="G55" s="15">
        <f>IF(OR(G54="",N(G54)&lt;=0),"",MAX(0,N(G54)-C55-E55))</f>
        <v/>
      </c>
    </row>
    <row r="56">
      <c r="A56" s="16" t="n">
        <v>42</v>
      </c>
      <c r="B56" s="17">
        <f>IF(G56="","",EDATE($C$7,41))</f>
        <v/>
      </c>
      <c r="C56" s="18">
        <f>IF(OR(G55="",N(G55)&lt;=0),"",MIN(N(G55),ROUND($C$10-D56,2)))</f>
        <v/>
      </c>
      <c r="D56" s="18">
        <f>IF(OR(G55="",N(G55)&lt;=0),"",ROUND(N(G55)*$C$5/12,2))</f>
        <v/>
      </c>
      <c r="E56" s="18">
        <f>IF(OR(G55="",N(G55)&lt;=0),"",MIN(MAX(0,N(G55)-C56),$C$8))</f>
        <v/>
      </c>
      <c r="F56" s="18">
        <f>IF(C56="","",C56+D56+E56)</f>
        <v/>
      </c>
      <c r="G56" s="18">
        <f>IF(OR(G55="",N(G55)&lt;=0),"",MAX(0,N(G55)-C56-E56))</f>
        <v/>
      </c>
    </row>
    <row r="57">
      <c r="A57" s="13" t="n">
        <v>43</v>
      </c>
      <c r="B57" s="14">
        <f>IF(G57="","",EDATE($C$7,42))</f>
        <v/>
      </c>
      <c r="C57" s="15">
        <f>IF(OR(G56="",N(G56)&lt;=0),"",MIN(N(G56),ROUND($C$10-D57,2)))</f>
        <v/>
      </c>
      <c r="D57" s="15">
        <f>IF(OR(G56="",N(G56)&lt;=0),"",ROUND(N(G56)*$C$5/12,2))</f>
        <v/>
      </c>
      <c r="E57" s="15">
        <f>IF(OR(G56="",N(G56)&lt;=0),"",MIN(MAX(0,N(G56)-C57),$C$8))</f>
        <v/>
      </c>
      <c r="F57" s="15">
        <f>IF(C57="","",C57+D57+E57)</f>
        <v/>
      </c>
      <c r="G57" s="15">
        <f>IF(OR(G56="",N(G56)&lt;=0),"",MAX(0,N(G56)-C57-E57))</f>
        <v/>
      </c>
    </row>
    <row r="58">
      <c r="A58" s="16" t="n">
        <v>44</v>
      </c>
      <c r="B58" s="17">
        <f>IF(G58="","",EDATE($C$7,43))</f>
        <v/>
      </c>
      <c r="C58" s="18">
        <f>IF(OR(G57="",N(G57)&lt;=0),"",MIN(N(G57),ROUND($C$10-D58,2)))</f>
        <v/>
      </c>
      <c r="D58" s="18">
        <f>IF(OR(G57="",N(G57)&lt;=0),"",ROUND(N(G57)*$C$5/12,2))</f>
        <v/>
      </c>
      <c r="E58" s="18">
        <f>IF(OR(G57="",N(G57)&lt;=0),"",MIN(MAX(0,N(G57)-C58),$C$8))</f>
        <v/>
      </c>
      <c r="F58" s="18">
        <f>IF(C58="","",C58+D58+E58)</f>
        <v/>
      </c>
      <c r="G58" s="18">
        <f>IF(OR(G57="",N(G57)&lt;=0),"",MAX(0,N(G57)-C58-E58))</f>
        <v/>
      </c>
    </row>
    <row r="59">
      <c r="A59" s="13" t="n">
        <v>45</v>
      </c>
      <c r="B59" s="14">
        <f>IF(G59="","",EDATE($C$7,44))</f>
        <v/>
      </c>
      <c r="C59" s="15">
        <f>IF(OR(G58="",N(G58)&lt;=0),"",MIN(N(G58),ROUND($C$10-D59,2)))</f>
        <v/>
      </c>
      <c r="D59" s="15">
        <f>IF(OR(G58="",N(G58)&lt;=0),"",ROUND(N(G58)*$C$5/12,2))</f>
        <v/>
      </c>
      <c r="E59" s="15">
        <f>IF(OR(G58="",N(G58)&lt;=0),"",MIN(MAX(0,N(G58)-C59),$C$8))</f>
        <v/>
      </c>
      <c r="F59" s="15">
        <f>IF(C59="","",C59+D59+E59)</f>
        <v/>
      </c>
      <c r="G59" s="15">
        <f>IF(OR(G58="",N(G58)&lt;=0),"",MAX(0,N(G58)-C59-E59))</f>
        <v/>
      </c>
    </row>
    <row r="60">
      <c r="A60" s="16" t="n">
        <v>46</v>
      </c>
      <c r="B60" s="17">
        <f>IF(G60="","",EDATE($C$7,45))</f>
        <v/>
      </c>
      <c r="C60" s="18">
        <f>IF(OR(G59="",N(G59)&lt;=0),"",MIN(N(G59),ROUND($C$10-D60,2)))</f>
        <v/>
      </c>
      <c r="D60" s="18">
        <f>IF(OR(G59="",N(G59)&lt;=0),"",ROUND(N(G59)*$C$5/12,2))</f>
        <v/>
      </c>
      <c r="E60" s="18">
        <f>IF(OR(G59="",N(G59)&lt;=0),"",MIN(MAX(0,N(G59)-C60),$C$8))</f>
        <v/>
      </c>
      <c r="F60" s="18">
        <f>IF(C60="","",C60+D60+E60)</f>
        <v/>
      </c>
      <c r="G60" s="18">
        <f>IF(OR(G59="",N(G59)&lt;=0),"",MAX(0,N(G59)-C60-E60))</f>
        <v/>
      </c>
    </row>
    <row r="61">
      <c r="A61" s="13" t="n">
        <v>47</v>
      </c>
      <c r="B61" s="14">
        <f>IF(G61="","",EDATE($C$7,46))</f>
        <v/>
      </c>
      <c r="C61" s="15">
        <f>IF(OR(G60="",N(G60)&lt;=0),"",MIN(N(G60),ROUND($C$10-D61,2)))</f>
        <v/>
      </c>
      <c r="D61" s="15">
        <f>IF(OR(G60="",N(G60)&lt;=0),"",ROUND(N(G60)*$C$5/12,2))</f>
        <v/>
      </c>
      <c r="E61" s="15">
        <f>IF(OR(G60="",N(G60)&lt;=0),"",MIN(MAX(0,N(G60)-C61),$C$8))</f>
        <v/>
      </c>
      <c r="F61" s="15">
        <f>IF(C61="","",C61+D61+E61)</f>
        <v/>
      </c>
      <c r="G61" s="15">
        <f>IF(OR(G60="",N(G60)&lt;=0),"",MAX(0,N(G60)-C61-E61))</f>
        <v/>
      </c>
    </row>
    <row r="62">
      <c r="A62" s="16" t="n">
        <v>48</v>
      </c>
      <c r="B62" s="17">
        <f>IF(G62="","",EDATE($C$7,47))</f>
        <v/>
      </c>
      <c r="C62" s="18">
        <f>IF(OR(G61="",N(G61)&lt;=0),"",MIN(N(G61),ROUND($C$10-D62,2)))</f>
        <v/>
      </c>
      <c r="D62" s="18">
        <f>IF(OR(G61="",N(G61)&lt;=0),"",ROUND(N(G61)*$C$5/12,2))</f>
        <v/>
      </c>
      <c r="E62" s="18">
        <f>IF(OR(G61="",N(G61)&lt;=0),"",MIN(MAX(0,N(G61)-C62),$C$8))</f>
        <v/>
      </c>
      <c r="F62" s="18">
        <f>IF(C62="","",C62+D62+E62)</f>
        <v/>
      </c>
      <c r="G62" s="18">
        <f>IF(OR(G61="",N(G61)&lt;=0),"",MAX(0,N(G61)-C62-E62))</f>
        <v/>
      </c>
    </row>
    <row r="63">
      <c r="A63" s="13" t="n">
        <v>49</v>
      </c>
      <c r="B63" s="14">
        <f>IF(G63="","",EDATE($C$7,48))</f>
        <v/>
      </c>
      <c r="C63" s="15">
        <f>IF(OR(G62="",N(G62)&lt;=0),"",MIN(N(G62),ROUND($C$10-D63,2)))</f>
        <v/>
      </c>
      <c r="D63" s="15">
        <f>IF(OR(G62="",N(G62)&lt;=0),"",ROUND(N(G62)*$C$5/12,2))</f>
        <v/>
      </c>
      <c r="E63" s="15">
        <f>IF(OR(G62="",N(G62)&lt;=0),"",MIN(MAX(0,N(G62)-C63),$C$8))</f>
        <v/>
      </c>
      <c r="F63" s="15">
        <f>IF(C63="","",C63+D63+E63)</f>
        <v/>
      </c>
      <c r="G63" s="15">
        <f>IF(OR(G62="",N(G62)&lt;=0),"",MAX(0,N(G62)-C63-E63))</f>
        <v/>
      </c>
    </row>
    <row r="64">
      <c r="A64" s="16" t="n">
        <v>50</v>
      </c>
      <c r="B64" s="17">
        <f>IF(G64="","",EDATE($C$7,49))</f>
        <v/>
      </c>
      <c r="C64" s="18">
        <f>IF(OR(G63="",N(G63)&lt;=0),"",MIN(N(G63),ROUND($C$10-D64,2)))</f>
        <v/>
      </c>
      <c r="D64" s="18">
        <f>IF(OR(G63="",N(G63)&lt;=0),"",ROUND(N(G63)*$C$5/12,2))</f>
        <v/>
      </c>
      <c r="E64" s="18">
        <f>IF(OR(G63="",N(G63)&lt;=0),"",MIN(MAX(0,N(G63)-C64),$C$8))</f>
        <v/>
      </c>
      <c r="F64" s="18">
        <f>IF(C64="","",C64+D64+E64)</f>
        <v/>
      </c>
      <c r="G64" s="18">
        <f>IF(OR(G63="",N(G63)&lt;=0),"",MAX(0,N(G63)-C64-E64))</f>
        <v/>
      </c>
    </row>
    <row r="65">
      <c r="A65" s="13" t="n">
        <v>51</v>
      </c>
      <c r="B65" s="14">
        <f>IF(G65="","",EDATE($C$7,50))</f>
        <v/>
      </c>
      <c r="C65" s="15">
        <f>IF(OR(G64="",N(G64)&lt;=0),"",MIN(N(G64),ROUND($C$10-D65,2)))</f>
        <v/>
      </c>
      <c r="D65" s="15">
        <f>IF(OR(G64="",N(G64)&lt;=0),"",ROUND(N(G64)*$C$5/12,2))</f>
        <v/>
      </c>
      <c r="E65" s="15">
        <f>IF(OR(G64="",N(G64)&lt;=0),"",MIN(MAX(0,N(G64)-C65),$C$8))</f>
        <v/>
      </c>
      <c r="F65" s="15">
        <f>IF(C65="","",C65+D65+E65)</f>
        <v/>
      </c>
      <c r="G65" s="15">
        <f>IF(OR(G64="",N(G64)&lt;=0),"",MAX(0,N(G64)-C65-E65))</f>
        <v/>
      </c>
    </row>
    <row r="66">
      <c r="A66" s="16" t="n">
        <v>52</v>
      </c>
      <c r="B66" s="17">
        <f>IF(G66="","",EDATE($C$7,51))</f>
        <v/>
      </c>
      <c r="C66" s="18">
        <f>IF(OR(G65="",N(G65)&lt;=0),"",MIN(N(G65),ROUND($C$10-D66,2)))</f>
        <v/>
      </c>
      <c r="D66" s="18">
        <f>IF(OR(G65="",N(G65)&lt;=0),"",ROUND(N(G65)*$C$5/12,2))</f>
        <v/>
      </c>
      <c r="E66" s="18">
        <f>IF(OR(G65="",N(G65)&lt;=0),"",MIN(MAX(0,N(G65)-C66),$C$8))</f>
        <v/>
      </c>
      <c r="F66" s="18">
        <f>IF(C66="","",C66+D66+E66)</f>
        <v/>
      </c>
      <c r="G66" s="18">
        <f>IF(OR(G65="",N(G65)&lt;=0),"",MAX(0,N(G65)-C66-E66))</f>
        <v/>
      </c>
    </row>
    <row r="67">
      <c r="A67" s="13" t="n">
        <v>53</v>
      </c>
      <c r="B67" s="14">
        <f>IF(G67="","",EDATE($C$7,52))</f>
        <v/>
      </c>
      <c r="C67" s="15">
        <f>IF(OR(G66="",N(G66)&lt;=0),"",MIN(N(G66),ROUND($C$10-D67,2)))</f>
        <v/>
      </c>
      <c r="D67" s="15">
        <f>IF(OR(G66="",N(G66)&lt;=0),"",ROUND(N(G66)*$C$5/12,2))</f>
        <v/>
      </c>
      <c r="E67" s="15">
        <f>IF(OR(G66="",N(G66)&lt;=0),"",MIN(MAX(0,N(G66)-C67),$C$8))</f>
        <v/>
      </c>
      <c r="F67" s="15">
        <f>IF(C67="","",C67+D67+E67)</f>
        <v/>
      </c>
      <c r="G67" s="15">
        <f>IF(OR(G66="",N(G66)&lt;=0),"",MAX(0,N(G66)-C67-E67))</f>
        <v/>
      </c>
    </row>
    <row r="68">
      <c r="A68" s="16" t="n">
        <v>54</v>
      </c>
      <c r="B68" s="17">
        <f>IF(G68="","",EDATE($C$7,53))</f>
        <v/>
      </c>
      <c r="C68" s="18">
        <f>IF(OR(G67="",N(G67)&lt;=0),"",MIN(N(G67),ROUND($C$10-D68,2)))</f>
        <v/>
      </c>
      <c r="D68" s="18">
        <f>IF(OR(G67="",N(G67)&lt;=0),"",ROUND(N(G67)*$C$5/12,2))</f>
        <v/>
      </c>
      <c r="E68" s="18">
        <f>IF(OR(G67="",N(G67)&lt;=0),"",MIN(MAX(0,N(G67)-C68),$C$8))</f>
        <v/>
      </c>
      <c r="F68" s="18">
        <f>IF(C68="","",C68+D68+E68)</f>
        <v/>
      </c>
      <c r="G68" s="18">
        <f>IF(OR(G67="",N(G67)&lt;=0),"",MAX(0,N(G67)-C68-E68))</f>
        <v/>
      </c>
    </row>
    <row r="69">
      <c r="A69" s="13" t="n">
        <v>55</v>
      </c>
      <c r="B69" s="14">
        <f>IF(G69="","",EDATE($C$7,54))</f>
        <v/>
      </c>
      <c r="C69" s="15">
        <f>IF(OR(G68="",N(G68)&lt;=0),"",MIN(N(G68),ROUND($C$10-D69,2)))</f>
        <v/>
      </c>
      <c r="D69" s="15">
        <f>IF(OR(G68="",N(G68)&lt;=0),"",ROUND(N(G68)*$C$5/12,2))</f>
        <v/>
      </c>
      <c r="E69" s="15">
        <f>IF(OR(G68="",N(G68)&lt;=0),"",MIN(MAX(0,N(G68)-C69),$C$8))</f>
        <v/>
      </c>
      <c r="F69" s="15">
        <f>IF(C69="","",C69+D69+E69)</f>
        <v/>
      </c>
      <c r="G69" s="15">
        <f>IF(OR(G68="",N(G68)&lt;=0),"",MAX(0,N(G68)-C69-E69))</f>
        <v/>
      </c>
    </row>
    <row r="70">
      <c r="A70" s="16" t="n">
        <v>56</v>
      </c>
      <c r="B70" s="17">
        <f>IF(G70="","",EDATE($C$7,55))</f>
        <v/>
      </c>
      <c r="C70" s="18">
        <f>IF(OR(G69="",N(G69)&lt;=0),"",MIN(N(G69),ROUND($C$10-D70,2)))</f>
        <v/>
      </c>
      <c r="D70" s="18">
        <f>IF(OR(G69="",N(G69)&lt;=0),"",ROUND(N(G69)*$C$5/12,2))</f>
        <v/>
      </c>
      <c r="E70" s="18">
        <f>IF(OR(G69="",N(G69)&lt;=0),"",MIN(MAX(0,N(G69)-C70),$C$8))</f>
        <v/>
      </c>
      <c r="F70" s="18">
        <f>IF(C70="","",C70+D70+E70)</f>
        <v/>
      </c>
      <c r="G70" s="18">
        <f>IF(OR(G69="",N(G69)&lt;=0),"",MAX(0,N(G69)-C70-E70))</f>
        <v/>
      </c>
    </row>
    <row r="71">
      <c r="A71" s="13" t="n">
        <v>57</v>
      </c>
      <c r="B71" s="14">
        <f>IF(G71="","",EDATE($C$7,56))</f>
        <v/>
      </c>
      <c r="C71" s="15">
        <f>IF(OR(G70="",N(G70)&lt;=0),"",MIN(N(G70),ROUND($C$10-D71,2)))</f>
        <v/>
      </c>
      <c r="D71" s="15">
        <f>IF(OR(G70="",N(G70)&lt;=0),"",ROUND(N(G70)*$C$5/12,2))</f>
        <v/>
      </c>
      <c r="E71" s="15">
        <f>IF(OR(G70="",N(G70)&lt;=0),"",MIN(MAX(0,N(G70)-C71),$C$8))</f>
        <v/>
      </c>
      <c r="F71" s="15">
        <f>IF(C71="","",C71+D71+E71)</f>
        <v/>
      </c>
      <c r="G71" s="15">
        <f>IF(OR(G70="",N(G70)&lt;=0),"",MAX(0,N(G70)-C71-E71))</f>
        <v/>
      </c>
    </row>
    <row r="72">
      <c r="A72" s="16" t="n">
        <v>58</v>
      </c>
      <c r="B72" s="17">
        <f>IF(G72="","",EDATE($C$7,57))</f>
        <v/>
      </c>
      <c r="C72" s="18">
        <f>IF(OR(G71="",N(G71)&lt;=0),"",MIN(N(G71),ROUND($C$10-D72,2)))</f>
        <v/>
      </c>
      <c r="D72" s="18">
        <f>IF(OR(G71="",N(G71)&lt;=0),"",ROUND(N(G71)*$C$5/12,2))</f>
        <v/>
      </c>
      <c r="E72" s="18">
        <f>IF(OR(G71="",N(G71)&lt;=0),"",MIN(MAX(0,N(G71)-C72),$C$8))</f>
        <v/>
      </c>
      <c r="F72" s="18">
        <f>IF(C72="","",C72+D72+E72)</f>
        <v/>
      </c>
      <c r="G72" s="18">
        <f>IF(OR(G71="",N(G71)&lt;=0),"",MAX(0,N(G71)-C72-E72))</f>
        <v/>
      </c>
    </row>
    <row r="73">
      <c r="A73" s="13" t="n">
        <v>59</v>
      </c>
      <c r="B73" s="14">
        <f>IF(G73="","",EDATE($C$7,58))</f>
        <v/>
      </c>
      <c r="C73" s="15">
        <f>IF(OR(G72="",N(G72)&lt;=0),"",MIN(N(G72),ROUND($C$10-D73,2)))</f>
        <v/>
      </c>
      <c r="D73" s="15">
        <f>IF(OR(G72="",N(G72)&lt;=0),"",ROUND(N(G72)*$C$5/12,2))</f>
        <v/>
      </c>
      <c r="E73" s="15">
        <f>IF(OR(G72="",N(G72)&lt;=0),"",MIN(MAX(0,N(G72)-C73),$C$8))</f>
        <v/>
      </c>
      <c r="F73" s="15">
        <f>IF(C73="","",C73+D73+E73)</f>
        <v/>
      </c>
      <c r="G73" s="15">
        <f>IF(OR(G72="",N(G72)&lt;=0),"",MAX(0,N(G72)-C73-E73))</f>
        <v/>
      </c>
    </row>
    <row r="74">
      <c r="A74" s="16" t="n">
        <v>60</v>
      </c>
      <c r="B74" s="17">
        <f>IF(G74="","",EDATE($C$7,59))</f>
        <v/>
      </c>
      <c r="C74" s="18">
        <f>IF(OR(G73="",N(G73)&lt;=0),"",MIN(N(G73),ROUND($C$10-D74,2)))</f>
        <v/>
      </c>
      <c r="D74" s="18">
        <f>IF(OR(G73="",N(G73)&lt;=0),"",ROUND(N(G73)*$C$5/12,2))</f>
        <v/>
      </c>
      <c r="E74" s="18">
        <f>IF(OR(G73="",N(G73)&lt;=0),"",MIN(MAX(0,N(G73)-C74),$C$8))</f>
        <v/>
      </c>
      <c r="F74" s="18">
        <f>IF(C74="","",C74+D74+E74)</f>
        <v/>
      </c>
      <c r="G74" s="18">
        <f>IF(OR(G73="",N(G73)&lt;=0),"",MAX(0,N(G73)-C74-E74))</f>
        <v/>
      </c>
    </row>
    <row r="75">
      <c r="A75" s="13" t="n">
        <v>61</v>
      </c>
      <c r="B75" s="14">
        <f>IF(G75="","",EDATE($C$7,60))</f>
        <v/>
      </c>
      <c r="C75" s="15">
        <f>IF(OR(G74="",N(G74)&lt;=0),"",MIN(N(G74),ROUND($C$10-D75,2)))</f>
        <v/>
      </c>
      <c r="D75" s="15">
        <f>IF(OR(G74="",N(G74)&lt;=0),"",ROUND(N(G74)*$C$5/12,2))</f>
        <v/>
      </c>
      <c r="E75" s="15">
        <f>IF(OR(G74="",N(G74)&lt;=0),"",MIN(MAX(0,N(G74)-C75),$C$8))</f>
        <v/>
      </c>
      <c r="F75" s="15">
        <f>IF(C75="","",C75+D75+E75)</f>
        <v/>
      </c>
      <c r="G75" s="15">
        <f>IF(OR(G74="",N(G74)&lt;=0),"",MAX(0,N(G74)-C75-E75))</f>
        <v/>
      </c>
    </row>
    <row r="76">
      <c r="A76" s="16" t="n">
        <v>62</v>
      </c>
      <c r="B76" s="17">
        <f>IF(G76="","",EDATE($C$7,61))</f>
        <v/>
      </c>
      <c r="C76" s="18">
        <f>IF(OR(G75="",N(G75)&lt;=0),"",MIN(N(G75),ROUND($C$10-D76,2)))</f>
        <v/>
      </c>
      <c r="D76" s="18">
        <f>IF(OR(G75="",N(G75)&lt;=0),"",ROUND(N(G75)*$C$5/12,2))</f>
        <v/>
      </c>
      <c r="E76" s="18">
        <f>IF(OR(G75="",N(G75)&lt;=0),"",MIN(MAX(0,N(G75)-C76),$C$8))</f>
        <v/>
      </c>
      <c r="F76" s="18">
        <f>IF(C76="","",C76+D76+E76)</f>
        <v/>
      </c>
      <c r="G76" s="18">
        <f>IF(OR(G75="",N(G75)&lt;=0),"",MAX(0,N(G75)-C76-E76))</f>
        <v/>
      </c>
    </row>
    <row r="77">
      <c r="A77" s="13" t="n">
        <v>63</v>
      </c>
      <c r="B77" s="14">
        <f>IF(G77="","",EDATE($C$7,62))</f>
        <v/>
      </c>
      <c r="C77" s="15">
        <f>IF(OR(G76="",N(G76)&lt;=0),"",MIN(N(G76),ROUND($C$10-D77,2)))</f>
        <v/>
      </c>
      <c r="D77" s="15">
        <f>IF(OR(G76="",N(G76)&lt;=0),"",ROUND(N(G76)*$C$5/12,2))</f>
        <v/>
      </c>
      <c r="E77" s="15">
        <f>IF(OR(G76="",N(G76)&lt;=0),"",MIN(MAX(0,N(G76)-C77),$C$8))</f>
        <v/>
      </c>
      <c r="F77" s="15">
        <f>IF(C77="","",C77+D77+E77)</f>
        <v/>
      </c>
      <c r="G77" s="15">
        <f>IF(OR(G76="",N(G76)&lt;=0),"",MAX(0,N(G76)-C77-E77))</f>
        <v/>
      </c>
    </row>
    <row r="78">
      <c r="A78" s="16" t="n">
        <v>64</v>
      </c>
      <c r="B78" s="17">
        <f>IF(G78="","",EDATE($C$7,63))</f>
        <v/>
      </c>
      <c r="C78" s="18">
        <f>IF(OR(G77="",N(G77)&lt;=0),"",MIN(N(G77),ROUND($C$10-D78,2)))</f>
        <v/>
      </c>
      <c r="D78" s="18">
        <f>IF(OR(G77="",N(G77)&lt;=0),"",ROUND(N(G77)*$C$5/12,2))</f>
        <v/>
      </c>
      <c r="E78" s="18">
        <f>IF(OR(G77="",N(G77)&lt;=0),"",MIN(MAX(0,N(G77)-C78),$C$8))</f>
        <v/>
      </c>
      <c r="F78" s="18">
        <f>IF(C78="","",C78+D78+E78)</f>
        <v/>
      </c>
      <c r="G78" s="18">
        <f>IF(OR(G77="",N(G77)&lt;=0),"",MAX(0,N(G77)-C78-E78))</f>
        <v/>
      </c>
    </row>
    <row r="79">
      <c r="A79" s="13" t="n">
        <v>65</v>
      </c>
      <c r="B79" s="14">
        <f>IF(G79="","",EDATE($C$7,64))</f>
        <v/>
      </c>
      <c r="C79" s="15">
        <f>IF(OR(G78="",N(G78)&lt;=0),"",MIN(N(G78),ROUND($C$10-D79,2)))</f>
        <v/>
      </c>
      <c r="D79" s="15">
        <f>IF(OR(G78="",N(G78)&lt;=0),"",ROUND(N(G78)*$C$5/12,2))</f>
        <v/>
      </c>
      <c r="E79" s="15">
        <f>IF(OR(G78="",N(G78)&lt;=0),"",MIN(MAX(0,N(G78)-C79),$C$8))</f>
        <v/>
      </c>
      <c r="F79" s="15">
        <f>IF(C79="","",C79+D79+E79)</f>
        <v/>
      </c>
      <c r="G79" s="15">
        <f>IF(OR(G78="",N(G78)&lt;=0),"",MAX(0,N(G78)-C79-E79))</f>
        <v/>
      </c>
    </row>
    <row r="80">
      <c r="A80" s="16" t="n">
        <v>66</v>
      </c>
      <c r="B80" s="17">
        <f>IF(G80="","",EDATE($C$7,65))</f>
        <v/>
      </c>
      <c r="C80" s="18">
        <f>IF(OR(G79="",N(G79)&lt;=0),"",MIN(N(G79),ROUND($C$10-D80,2)))</f>
        <v/>
      </c>
      <c r="D80" s="18">
        <f>IF(OR(G79="",N(G79)&lt;=0),"",ROUND(N(G79)*$C$5/12,2))</f>
        <v/>
      </c>
      <c r="E80" s="18">
        <f>IF(OR(G79="",N(G79)&lt;=0),"",MIN(MAX(0,N(G79)-C80),$C$8))</f>
        <v/>
      </c>
      <c r="F80" s="18">
        <f>IF(C80="","",C80+D80+E80)</f>
        <v/>
      </c>
      <c r="G80" s="18">
        <f>IF(OR(G79="",N(G79)&lt;=0),"",MAX(0,N(G79)-C80-E80))</f>
        <v/>
      </c>
    </row>
    <row r="81">
      <c r="A81" s="13" t="n">
        <v>67</v>
      </c>
      <c r="B81" s="14">
        <f>IF(G81="","",EDATE($C$7,66))</f>
        <v/>
      </c>
      <c r="C81" s="15">
        <f>IF(OR(G80="",N(G80)&lt;=0),"",MIN(N(G80),ROUND($C$10-D81,2)))</f>
        <v/>
      </c>
      <c r="D81" s="15">
        <f>IF(OR(G80="",N(G80)&lt;=0),"",ROUND(N(G80)*$C$5/12,2))</f>
        <v/>
      </c>
      <c r="E81" s="15">
        <f>IF(OR(G80="",N(G80)&lt;=0),"",MIN(MAX(0,N(G80)-C81),$C$8))</f>
        <v/>
      </c>
      <c r="F81" s="15">
        <f>IF(C81="","",C81+D81+E81)</f>
        <v/>
      </c>
      <c r="G81" s="15">
        <f>IF(OR(G80="",N(G80)&lt;=0),"",MAX(0,N(G80)-C81-E81))</f>
        <v/>
      </c>
    </row>
    <row r="82">
      <c r="A82" s="16" t="n">
        <v>68</v>
      </c>
      <c r="B82" s="17">
        <f>IF(G82="","",EDATE($C$7,67))</f>
        <v/>
      </c>
      <c r="C82" s="18">
        <f>IF(OR(G81="",N(G81)&lt;=0),"",MIN(N(G81),ROUND($C$10-D82,2)))</f>
        <v/>
      </c>
      <c r="D82" s="18">
        <f>IF(OR(G81="",N(G81)&lt;=0),"",ROUND(N(G81)*$C$5/12,2))</f>
        <v/>
      </c>
      <c r="E82" s="18">
        <f>IF(OR(G81="",N(G81)&lt;=0),"",MIN(MAX(0,N(G81)-C82),$C$8))</f>
        <v/>
      </c>
      <c r="F82" s="18">
        <f>IF(C82="","",C82+D82+E82)</f>
        <v/>
      </c>
      <c r="G82" s="18">
        <f>IF(OR(G81="",N(G81)&lt;=0),"",MAX(0,N(G81)-C82-E82))</f>
        <v/>
      </c>
    </row>
    <row r="83">
      <c r="A83" s="13" t="n">
        <v>69</v>
      </c>
      <c r="B83" s="14">
        <f>IF(G83="","",EDATE($C$7,68))</f>
        <v/>
      </c>
      <c r="C83" s="15">
        <f>IF(OR(G82="",N(G82)&lt;=0),"",MIN(N(G82),ROUND($C$10-D83,2)))</f>
        <v/>
      </c>
      <c r="D83" s="15">
        <f>IF(OR(G82="",N(G82)&lt;=0),"",ROUND(N(G82)*$C$5/12,2))</f>
        <v/>
      </c>
      <c r="E83" s="15">
        <f>IF(OR(G82="",N(G82)&lt;=0),"",MIN(MAX(0,N(G82)-C83),$C$8))</f>
        <v/>
      </c>
      <c r="F83" s="15">
        <f>IF(C83="","",C83+D83+E83)</f>
        <v/>
      </c>
      <c r="G83" s="15">
        <f>IF(OR(G82="",N(G82)&lt;=0),"",MAX(0,N(G82)-C83-E83))</f>
        <v/>
      </c>
    </row>
    <row r="84">
      <c r="A84" s="16" t="n">
        <v>70</v>
      </c>
      <c r="B84" s="17">
        <f>IF(G84="","",EDATE($C$7,69))</f>
        <v/>
      </c>
      <c r="C84" s="18">
        <f>IF(OR(G83="",N(G83)&lt;=0),"",MIN(N(G83),ROUND($C$10-D84,2)))</f>
        <v/>
      </c>
      <c r="D84" s="18">
        <f>IF(OR(G83="",N(G83)&lt;=0),"",ROUND(N(G83)*$C$5/12,2))</f>
        <v/>
      </c>
      <c r="E84" s="18">
        <f>IF(OR(G83="",N(G83)&lt;=0),"",MIN(MAX(0,N(G83)-C84),$C$8))</f>
        <v/>
      </c>
      <c r="F84" s="18">
        <f>IF(C84="","",C84+D84+E84)</f>
        <v/>
      </c>
      <c r="G84" s="18">
        <f>IF(OR(G83="",N(G83)&lt;=0),"",MAX(0,N(G83)-C84-E84))</f>
        <v/>
      </c>
    </row>
    <row r="85">
      <c r="A85" s="13" t="n">
        <v>71</v>
      </c>
      <c r="B85" s="14">
        <f>IF(G85="","",EDATE($C$7,70))</f>
        <v/>
      </c>
      <c r="C85" s="15">
        <f>IF(OR(G84="",N(G84)&lt;=0),"",MIN(N(G84),ROUND($C$10-D85,2)))</f>
        <v/>
      </c>
      <c r="D85" s="15">
        <f>IF(OR(G84="",N(G84)&lt;=0),"",ROUND(N(G84)*$C$5/12,2))</f>
        <v/>
      </c>
      <c r="E85" s="15">
        <f>IF(OR(G84="",N(G84)&lt;=0),"",MIN(MAX(0,N(G84)-C85),$C$8))</f>
        <v/>
      </c>
      <c r="F85" s="15">
        <f>IF(C85="","",C85+D85+E85)</f>
        <v/>
      </c>
      <c r="G85" s="15">
        <f>IF(OR(G84="",N(G84)&lt;=0),"",MAX(0,N(G84)-C85-E85))</f>
        <v/>
      </c>
    </row>
    <row r="86">
      <c r="A86" s="16" t="n">
        <v>72</v>
      </c>
      <c r="B86" s="17">
        <f>IF(G86="","",EDATE($C$7,71))</f>
        <v/>
      </c>
      <c r="C86" s="18">
        <f>IF(OR(G85="",N(G85)&lt;=0),"",MIN(N(G85),ROUND($C$10-D86,2)))</f>
        <v/>
      </c>
      <c r="D86" s="18">
        <f>IF(OR(G85="",N(G85)&lt;=0),"",ROUND(N(G85)*$C$5/12,2))</f>
        <v/>
      </c>
      <c r="E86" s="18">
        <f>IF(OR(G85="",N(G85)&lt;=0),"",MIN(MAX(0,N(G85)-C86),$C$8))</f>
        <v/>
      </c>
      <c r="F86" s="18">
        <f>IF(C86="","",C86+D86+E86)</f>
        <v/>
      </c>
      <c r="G86" s="18">
        <f>IF(OR(G85="",N(G85)&lt;=0),"",MAX(0,N(G85)-C86-E86))</f>
        <v/>
      </c>
    </row>
    <row r="87">
      <c r="A87" s="13" t="n">
        <v>73</v>
      </c>
      <c r="B87" s="14">
        <f>IF(G87="","",EDATE($C$7,72))</f>
        <v/>
      </c>
      <c r="C87" s="15">
        <f>IF(OR(G86="",N(G86)&lt;=0),"",MIN(N(G86),ROUND($C$10-D87,2)))</f>
        <v/>
      </c>
      <c r="D87" s="15">
        <f>IF(OR(G86="",N(G86)&lt;=0),"",ROUND(N(G86)*$C$5/12,2))</f>
        <v/>
      </c>
      <c r="E87" s="15">
        <f>IF(OR(G86="",N(G86)&lt;=0),"",MIN(MAX(0,N(G86)-C87),$C$8))</f>
        <v/>
      </c>
      <c r="F87" s="15">
        <f>IF(C87="","",C87+D87+E87)</f>
        <v/>
      </c>
      <c r="G87" s="15">
        <f>IF(OR(G86="",N(G86)&lt;=0),"",MAX(0,N(G86)-C87-E87))</f>
        <v/>
      </c>
    </row>
    <row r="88">
      <c r="A88" s="16" t="n">
        <v>74</v>
      </c>
      <c r="B88" s="17">
        <f>IF(G88="","",EDATE($C$7,73))</f>
        <v/>
      </c>
      <c r="C88" s="18">
        <f>IF(OR(G87="",N(G87)&lt;=0),"",MIN(N(G87),ROUND($C$10-D88,2)))</f>
        <v/>
      </c>
      <c r="D88" s="18">
        <f>IF(OR(G87="",N(G87)&lt;=0),"",ROUND(N(G87)*$C$5/12,2))</f>
        <v/>
      </c>
      <c r="E88" s="18">
        <f>IF(OR(G87="",N(G87)&lt;=0),"",MIN(MAX(0,N(G87)-C88),$C$8))</f>
        <v/>
      </c>
      <c r="F88" s="18">
        <f>IF(C88="","",C88+D88+E88)</f>
        <v/>
      </c>
      <c r="G88" s="18">
        <f>IF(OR(G87="",N(G87)&lt;=0),"",MAX(0,N(G87)-C88-E88))</f>
        <v/>
      </c>
    </row>
    <row r="89">
      <c r="A89" s="13" t="n">
        <v>75</v>
      </c>
      <c r="B89" s="14">
        <f>IF(G89="","",EDATE($C$7,74))</f>
        <v/>
      </c>
      <c r="C89" s="15">
        <f>IF(OR(G88="",N(G88)&lt;=0),"",MIN(N(G88),ROUND($C$10-D89,2)))</f>
        <v/>
      </c>
      <c r="D89" s="15">
        <f>IF(OR(G88="",N(G88)&lt;=0),"",ROUND(N(G88)*$C$5/12,2))</f>
        <v/>
      </c>
      <c r="E89" s="15">
        <f>IF(OR(G88="",N(G88)&lt;=0),"",MIN(MAX(0,N(G88)-C89),$C$8))</f>
        <v/>
      </c>
      <c r="F89" s="15">
        <f>IF(C89="","",C89+D89+E89)</f>
        <v/>
      </c>
      <c r="G89" s="15">
        <f>IF(OR(G88="",N(G88)&lt;=0),"",MAX(0,N(G88)-C89-E89))</f>
        <v/>
      </c>
    </row>
    <row r="90">
      <c r="A90" s="16" t="n">
        <v>76</v>
      </c>
      <c r="B90" s="17">
        <f>IF(G90="","",EDATE($C$7,75))</f>
        <v/>
      </c>
      <c r="C90" s="18">
        <f>IF(OR(G89="",N(G89)&lt;=0),"",MIN(N(G89),ROUND($C$10-D90,2)))</f>
        <v/>
      </c>
      <c r="D90" s="18">
        <f>IF(OR(G89="",N(G89)&lt;=0),"",ROUND(N(G89)*$C$5/12,2))</f>
        <v/>
      </c>
      <c r="E90" s="18">
        <f>IF(OR(G89="",N(G89)&lt;=0),"",MIN(MAX(0,N(G89)-C90),$C$8))</f>
        <v/>
      </c>
      <c r="F90" s="18">
        <f>IF(C90="","",C90+D90+E90)</f>
        <v/>
      </c>
      <c r="G90" s="18">
        <f>IF(OR(G89="",N(G89)&lt;=0),"",MAX(0,N(G89)-C90-E90))</f>
        <v/>
      </c>
    </row>
    <row r="91">
      <c r="A91" s="13" t="n">
        <v>77</v>
      </c>
      <c r="B91" s="14">
        <f>IF(G91="","",EDATE($C$7,76))</f>
        <v/>
      </c>
      <c r="C91" s="15">
        <f>IF(OR(G90="",N(G90)&lt;=0),"",MIN(N(G90),ROUND($C$10-D91,2)))</f>
        <v/>
      </c>
      <c r="D91" s="15">
        <f>IF(OR(G90="",N(G90)&lt;=0),"",ROUND(N(G90)*$C$5/12,2))</f>
        <v/>
      </c>
      <c r="E91" s="15">
        <f>IF(OR(G90="",N(G90)&lt;=0),"",MIN(MAX(0,N(G90)-C91),$C$8))</f>
        <v/>
      </c>
      <c r="F91" s="15">
        <f>IF(C91="","",C91+D91+E91)</f>
        <v/>
      </c>
      <c r="G91" s="15">
        <f>IF(OR(G90="",N(G90)&lt;=0),"",MAX(0,N(G90)-C91-E91))</f>
        <v/>
      </c>
    </row>
    <row r="92">
      <c r="A92" s="16" t="n">
        <v>78</v>
      </c>
      <c r="B92" s="17">
        <f>IF(G92="","",EDATE($C$7,77))</f>
        <v/>
      </c>
      <c r="C92" s="18">
        <f>IF(OR(G91="",N(G91)&lt;=0),"",MIN(N(G91),ROUND($C$10-D92,2)))</f>
        <v/>
      </c>
      <c r="D92" s="18">
        <f>IF(OR(G91="",N(G91)&lt;=0),"",ROUND(N(G91)*$C$5/12,2))</f>
        <v/>
      </c>
      <c r="E92" s="18">
        <f>IF(OR(G91="",N(G91)&lt;=0),"",MIN(MAX(0,N(G91)-C92),$C$8))</f>
        <v/>
      </c>
      <c r="F92" s="18">
        <f>IF(C92="","",C92+D92+E92)</f>
        <v/>
      </c>
      <c r="G92" s="18">
        <f>IF(OR(G91="",N(G91)&lt;=0),"",MAX(0,N(G91)-C92-E92))</f>
        <v/>
      </c>
    </row>
    <row r="93">
      <c r="A93" s="13" t="n">
        <v>79</v>
      </c>
      <c r="B93" s="14">
        <f>IF(G93="","",EDATE($C$7,78))</f>
        <v/>
      </c>
      <c r="C93" s="15">
        <f>IF(OR(G92="",N(G92)&lt;=0),"",MIN(N(G92),ROUND($C$10-D93,2)))</f>
        <v/>
      </c>
      <c r="D93" s="15">
        <f>IF(OR(G92="",N(G92)&lt;=0),"",ROUND(N(G92)*$C$5/12,2))</f>
        <v/>
      </c>
      <c r="E93" s="15">
        <f>IF(OR(G92="",N(G92)&lt;=0),"",MIN(MAX(0,N(G92)-C93),$C$8))</f>
        <v/>
      </c>
      <c r="F93" s="15">
        <f>IF(C93="","",C93+D93+E93)</f>
        <v/>
      </c>
      <c r="G93" s="15">
        <f>IF(OR(G92="",N(G92)&lt;=0),"",MAX(0,N(G92)-C93-E93))</f>
        <v/>
      </c>
    </row>
    <row r="94">
      <c r="A94" s="16" t="n">
        <v>80</v>
      </c>
      <c r="B94" s="17">
        <f>IF(G94="","",EDATE($C$7,79))</f>
        <v/>
      </c>
      <c r="C94" s="18">
        <f>IF(OR(G93="",N(G93)&lt;=0),"",MIN(N(G93),ROUND($C$10-D94,2)))</f>
        <v/>
      </c>
      <c r="D94" s="18">
        <f>IF(OR(G93="",N(G93)&lt;=0),"",ROUND(N(G93)*$C$5/12,2))</f>
        <v/>
      </c>
      <c r="E94" s="18">
        <f>IF(OR(G93="",N(G93)&lt;=0),"",MIN(MAX(0,N(G93)-C94),$C$8))</f>
        <v/>
      </c>
      <c r="F94" s="18">
        <f>IF(C94="","",C94+D94+E94)</f>
        <v/>
      </c>
      <c r="G94" s="18">
        <f>IF(OR(G93="",N(G93)&lt;=0),"",MAX(0,N(G93)-C94-E94))</f>
        <v/>
      </c>
    </row>
    <row r="95">
      <c r="A95" s="13" t="n">
        <v>81</v>
      </c>
      <c r="B95" s="14">
        <f>IF(G95="","",EDATE($C$7,80))</f>
        <v/>
      </c>
      <c r="C95" s="15">
        <f>IF(OR(G94="",N(G94)&lt;=0),"",MIN(N(G94),ROUND($C$10-D95,2)))</f>
        <v/>
      </c>
      <c r="D95" s="15">
        <f>IF(OR(G94="",N(G94)&lt;=0),"",ROUND(N(G94)*$C$5/12,2))</f>
        <v/>
      </c>
      <c r="E95" s="15">
        <f>IF(OR(G94="",N(G94)&lt;=0),"",MIN(MAX(0,N(G94)-C95),$C$8))</f>
        <v/>
      </c>
      <c r="F95" s="15">
        <f>IF(C95="","",C95+D95+E95)</f>
        <v/>
      </c>
      <c r="G95" s="15">
        <f>IF(OR(G94="",N(G94)&lt;=0),"",MAX(0,N(G94)-C95-E95))</f>
        <v/>
      </c>
    </row>
    <row r="96">
      <c r="A96" s="16" t="n">
        <v>82</v>
      </c>
      <c r="B96" s="17">
        <f>IF(G96="","",EDATE($C$7,81))</f>
        <v/>
      </c>
      <c r="C96" s="18">
        <f>IF(OR(G95="",N(G95)&lt;=0),"",MIN(N(G95),ROUND($C$10-D96,2)))</f>
        <v/>
      </c>
      <c r="D96" s="18">
        <f>IF(OR(G95="",N(G95)&lt;=0),"",ROUND(N(G95)*$C$5/12,2))</f>
        <v/>
      </c>
      <c r="E96" s="18">
        <f>IF(OR(G95="",N(G95)&lt;=0),"",MIN(MAX(0,N(G95)-C96),$C$8))</f>
        <v/>
      </c>
      <c r="F96" s="18">
        <f>IF(C96="","",C96+D96+E96)</f>
        <v/>
      </c>
      <c r="G96" s="18">
        <f>IF(OR(G95="",N(G95)&lt;=0),"",MAX(0,N(G95)-C96-E96))</f>
        <v/>
      </c>
    </row>
    <row r="97">
      <c r="A97" s="13" t="n">
        <v>83</v>
      </c>
      <c r="B97" s="14">
        <f>IF(G97="","",EDATE($C$7,82))</f>
        <v/>
      </c>
      <c r="C97" s="15">
        <f>IF(OR(G96="",N(G96)&lt;=0),"",MIN(N(G96),ROUND($C$10-D97,2)))</f>
        <v/>
      </c>
      <c r="D97" s="15">
        <f>IF(OR(G96="",N(G96)&lt;=0),"",ROUND(N(G96)*$C$5/12,2))</f>
        <v/>
      </c>
      <c r="E97" s="15">
        <f>IF(OR(G96="",N(G96)&lt;=0),"",MIN(MAX(0,N(G96)-C97),$C$8))</f>
        <v/>
      </c>
      <c r="F97" s="15">
        <f>IF(C97="","",C97+D97+E97)</f>
        <v/>
      </c>
      <c r="G97" s="15">
        <f>IF(OR(G96="",N(G96)&lt;=0),"",MAX(0,N(G96)-C97-E97))</f>
        <v/>
      </c>
    </row>
    <row r="98">
      <c r="A98" s="16" t="n">
        <v>84</v>
      </c>
      <c r="B98" s="17">
        <f>IF(G98="","",EDATE($C$7,83))</f>
        <v/>
      </c>
      <c r="C98" s="18">
        <f>IF(OR(G97="",N(G97)&lt;=0),"",MIN(N(G97),ROUND($C$10-D98,2)))</f>
        <v/>
      </c>
      <c r="D98" s="18">
        <f>IF(OR(G97="",N(G97)&lt;=0),"",ROUND(N(G97)*$C$5/12,2))</f>
        <v/>
      </c>
      <c r="E98" s="18">
        <f>IF(OR(G97="",N(G97)&lt;=0),"",MIN(MAX(0,N(G97)-C98),$C$8))</f>
        <v/>
      </c>
      <c r="F98" s="18">
        <f>IF(C98="","",C98+D98+E98)</f>
        <v/>
      </c>
      <c r="G98" s="18">
        <f>IF(OR(G97="",N(G97)&lt;=0),"",MAX(0,N(G97)-C98-E98))</f>
        <v/>
      </c>
    </row>
    <row r="99">
      <c r="A99" s="13" t="n">
        <v>85</v>
      </c>
      <c r="B99" s="14">
        <f>IF(G99="","",EDATE($C$7,84))</f>
        <v/>
      </c>
      <c r="C99" s="15">
        <f>IF(OR(G98="",N(G98)&lt;=0),"",MIN(N(G98),ROUND($C$10-D99,2)))</f>
        <v/>
      </c>
      <c r="D99" s="15">
        <f>IF(OR(G98="",N(G98)&lt;=0),"",ROUND(N(G98)*$C$5/12,2))</f>
        <v/>
      </c>
      <c r="E99" s="15">
        <f>IF(OR(G98="",N(G98)&lt;=0),"",MIN(MAX(0,N(G98)-C99),$C$8))</f>
        <v/>
      </c>
      <c r="F99" s="15">
        <f>IF(C99="","",C99+D99+E99)</f>
        <v/>
      </c>
      <c r="G99" s="15">
        <f>IF(OR(G98="",N(G98)&lt;=0),"",MAX(0,N(G98)-C99-E99))</f>
        <v/>
      </c>
    </row>
    <row r="100">
      <c r="A100" s="16" t="n">
        <v>86</v>
      </c>
      <c r="B100" s="17">
        <f>IF(G100="","",EDATE($C$7,85))</f>
        <v/>
      </c>
      <c r="C100" s="18">
        <f>IF(OR(G99="",N(G99)&lt;=0),"",MIN(N(G99),ROUND($C$10-D100,2)))</f>
        <v/>
      </c>
      <c r="D100" s="18">
        <f>IF(OR(G99="",N(G99)&lt;=0),"",ROUND(N(G99)*$C$5/12,2))</f>
        <v/>
      </c>
      <c r="E100" s="18">
        <f>IF(OR(G99="",N(G99)&lt;=0),"",MIN(MAX(0,N(G99)-C100),$C$8))</f>
        <v/>
      </c>
      <c r="F100" s="18">
        <f>IF(C100="","",C100+D100+E100)</f>
        <v/>
      </c>
      <c r="G100" s="18">
        <f>IF(OR(G99="",N(G99)&lt;=0),"",MAX(0,N(G99)-C100-E100))</f>
        <v/>
      </c>
    </row>
    <row r="101">
      <c r="A101" s="13" t="n">
        <v>87</v>
      </c>
      <c r="B101" s="14">
        <f>IF(G101="","",EDATE($C$7,86))</f>
        <v/>
      </c>
      <c r="C101" s="15">
        <f>IF(OR(G100="",N(G100)&lt;=0),"",MIN(N(G100),ROUND($C$10-D101,2)))</f>
        <v/>
      </c>
      <c r="D101" s="15">
        <f>IF(OR(G100="",N(G100)&lt;=0),"",ROUND(N(G100)*$C$5/12,2))</f>
        <v/>
      </c>
      <c r="E101" s="15">
        <f>IF(OR(G100="",N(G100)&lt;=0),"",MIN(MAX(0,N(G100)-C101),$C$8))</f>
        <v/>
      </c>
      <c r="F101" s="15">
        <f>IF(C101="","",C101+D101+E101)</f>
        <v/>
      </c>
      <c r="G101" s="15">
        <f>IF(OR(G100="",N(G100)&lt;=0),"",MAX(0,N(G100)-C101-E101))</f>
        <v/>
      </c>
    </row>
    <row r="102">
      <c r="A102" s="16" t="n">
        <v>88</v>
      </c>
      <c r="B102" s="17">
        <f>IF(G102="","",EDATE($C$7,87))</f>
        <v/>
      </c>
      <c r="C102" s="18">
        <f>IF(OR(G101="",N(G101)&lt;=0),"",MIN(N(G101),ROUND($C$10-D102,2)))</f>
        <v/>
      </c>
      <c r="D102" s="18">
        <f>IF(OR(G101="",N(G101)&lt;=0),"",ROUND(N(G101)*$C$5/12,2))</f>
        <v/>
      </c>
      <c r="E102" s="18">
        <f>IF(OR(G101="",N(G101)&lt;=0),"",MIN(MAX(0,N(G101)-C102),$C$8))</f>
        <v/>
      </c>
      <c r="F102" s="18">
        <f>IF(C102="","",C102+D102+E102)</f>
        <v/>
      </c>
      <c r="G102" s="18">
        <f>IF(OR(G101="",N(G101)&lt;=0),"",MAX(0,N(G101)-C102-E102))</f>
        <v/>
      </c>
    </row>
    <row r="103">
      <c r="A103" s="13" t="n">
        <v>89</v>
      </c>
      <c r="B103" s="14">
        <f>IF(G103="","",EDATE($C$7,88))</f>
        <v/>
      </c>
      <c r="C103" s="15">
        <f>IF(OR(G102="",N(G102)&lt;=0),"",MIN(N(G102),ROUND($C$10-D103,2)))</f>
        <v/>
      </c>
      <c r="D103" s="15">
        <f>IF(OR(G102="",N(G102)&lt;=0),"",ROUND(N(G102)*$C$5/12,2))</f>
        <v/>
      </c>
      <c r="E103" s="15">
        <f>IF(OR(G102="",N(G102)&lt;=0),"",MIN(MAX(0,N(G102)-C103),$C$8))</f>
        <v/>
      </c>
      <c r="F103" s="15">
        <f>IF(C103="","",C103+D103+E103)</f>
        <v/>
      </c>
      <c r="G103" s="15">
        <f>IF(OR(G102="",N(G102)&lt;=0),"",MAX(0,N(G102)-C103-E103))</f>
        <v/>
      </c>
    </row>
    <row r="104">
      <c r="A104" s="16" t="n">
        <v>90</v>
      </c>
      <c r="B104" s="17">
        <f>IF(G104="","",EDATE($C$7,89))</f>
        <v/>
      </c>
      <c r="C104" s="18">
        <f>IF(OR(G103="",N(G103)&lt;=0),"",MIN(N(G103),ROUND($C$10-D104,2)))</f>
        <v/>
      </c>
      <c r="D104" s="18">
        <f>IF(OR(G103="",N(G103)&lt;=0),"",ROUND(N(G103)*$C$5/12,2))</f>
        <v/>
      </c>
      <c r="E104" s="18">
        <f>IF(OR(G103="",N(G103)&lt;=0),"",MIN(MAX(0,N(G103)-C104),$C$8))</f>
        <v/>
      </c>
      <c r="F104" s="18">
        <f>IF(C104="","",C104+D104+E104)</f>
        <v/>
      </c>
      <c r="G104" s="18">
        <f>IF(OR(G103="",N(G103)&lt;=0),"",MAX(0,N(G103)-C104-E104))</f>
        <v/>
      </c>
    </row>
    <row r="105">
      <c r="A105" s="13" t="n">
        <v>91</v>
      </c>
      <c r="B105" s="14">
        <f>IF(G105="","",EDATE($C$7,90))</f>
        <v/>
      </c>
      <c r="C105" s="15">
        <f>IF(OR(G104="",N(G104)&lt;=0),"",MIN(N(G104),ROUND($C$10-D105,2)))</f>
        <v/>
      </c>
      <c r="D105" s="15">
        <f>IF(OR(G104="",N(G104)&lt;=0),"",ROUND(N(G104)*$C$5/12,2))</f>
        <v/>
      </c>
      <c r="E105" s="15">
        <f>IF(OR(G104="",N(G104)&lt;=0),"",MIN(MAX(0,N(G104)-C105),$C$8))</f>
        <v/>
      </c>
      <c r="F105" s="15">
        <f>IF(C105="","",C105+D105+E105)</f>
        <v/>
      </c>
      <c r="G105" s="15">
        <f>IF(OR(G104="",N(G104)&lt;=0),"",MAX(0,N(G104)-C105-E105))</f>
        <v/>
      </c>
    </row>
    <row r="106">
      <c r="A106" s="16" t="n">
        <v>92</v>
      </c>
      <c r="B106" s="17">
        <f>IF(G106="","",EDATE($C$7,91))</f>
        <v/>
      </c>
      <c r="C106" s="18">
        <f>IF(OR(G105="",N(G105)&lt;=0),"",MIN(N(G105),ROUND($C$10-D106,2)))</f>
        <v/>
      </c>
      <c r="D106" s="18">
        <f>IF(OR(G105="",N(G105)&lt;=0),"",ROUND(N(G105)*$C$5/12,2))</f>
        <v/>
      </c>
      <c r="E106" s="18">
        <f>IF(OR(G105="",N(G105)&lt;=0),"",MIN(MAX(0,N(G105)-C106),$C$8))</f>
        <v/>
      </c>
      <c r="F106" s="18">
        <f>IF(C106="","",C106+D106+E106)</f>
        <v/>
      </c>
      <c r="G106" s="18">
        <f>IF(OR(G105="",N(G105)&lt;=0),"",MAX(0,N(G105)-C106-E106))</f>
        <v/>
      </c>
    </row>
    <row r="107">
      <c r="A107" s="13" t="n">
        <v>93</v>
      </c>
      <c r="B107" s="14">
        <f>IF(G107="","",EDATE($C$7,92))</f>
        <v/>
      </c>
      <c r="C107" s="15">
        <f>IF(OR(G106="",N(G106)&lt;=0),"",MIN(N(G106),ROUND($C$10-D107,2)))</f>
        <v/>
      </c>
      <c r="D107" s="15">
        <f>IF(OR(G106="",N(G106)&lt;=0),"",ROUND(N(G106)*$C$5/12,2))</f>
        <v/>
      </c>
      <c r="E107" s="15">
        <f>IF(OR(G106="",N(G106)&lt;=0),"",MIN(MAX(0,N(G106)-C107),$C$8))</f>
        <v/>
      </c>
      <c r="F107" s="15">
        <f>IF(C107="","",C107+D107+E107)</f>
        <v/>
      </c>
      <c r="G107" s="15">
        <f>IF(OR(G106="",N(G106)&lt;=0),"",MAX(0,N(G106)-C107-E107))</f>
        <v/>
      </c>
    </row>
    <row r="108">
      <c r="A108" s="16" t="n">
        <v>94</v>
      </c>
      <c r="B108" s="17">
        <f>IF(G108="","",EDATE($C$7,93))</f>
        <v/>
      </c>
      <c r="C108" s="18">
        <f>IF(OR(G107="",N(G107)&lt;=0),"",MIN(N(G107),ROUND($C$10-D108,2)))</f>
        <v/>
      </c>
      <c r="D108" s="18">
        <f>IF(OR(G107="",N(G107)&lt;=0),"",ROUND(N(G107)*$C$5/12,2))</f>
        <v/>
      </c>
      <c r="E108" s="18">
        <f>IF(OR(G107="",N(G107)&lt;=0),"",MIN(MAX(0,N(G107)-C108),$C$8))</f>
        <v/>
      </c>
      <c r="F108" s="18">
        <f>IF(C108="","",C108+D108+E108)</f>
        <v/>
      </c>
      <c r="G108" s="18">
        <f>IF(OR(G107="",N(G107)&lt;=0),"",MAX(0,N(G107)-C108-E108))</f>
        <v/>
      </c>
    </row>
    <row r="109">
      <c r="A109" s="13" t="n">
        <v>95</v>
      </c>
      <c r="B109" s="14">
        <f>IF(G109="","",EDATE($C$7,94))</f>
        <v/>
      </c>
      <c r="C109" s="15">
        <f>IF(OR(G108="",N(G108)&lt;=0),"",MIN(N(G108),ROUND($C$10-D109,2)))</f>
        <v/>
      </c>
      <c r="D109" s="15">
        <f>IF(OR(G108="",N(G108)&lt;=0),"",ROUND(N(G108)*$C$5/12,2))</f>
        <v/>
      </c>
      <c r="E109" s="15">
        <f>IF(OR(G108="",N(G108)&lt;=0),"",MIN(MAX(0,N(G108)-C109),$C$8))</f>
        <v/>
      </c>
      <c r="F109" s="15">
        <f>IF(C109="","",C109+D109+E109)</f>
        <v/>
      </c>
      <c r="G109" s="15">
        <f>IF(OR(G108="",N(G108)&lt;=0),"",MAX(0,N(G108)-C109-E109))</f>
        <v/>
      </c>
    </row>
    <row r="110">
      <c r="A110" s="16" t="n">
        <v>96</v>
      </c>
      <c r="B110" s="17">
        <f>IF(G110="","",EDATE($C$7,95))</f>
        <v/>
      </c>
      <c r="C110" s="18">
        <f>IF(OR(G109="",N(G109)&lt;=0),"",MIN(N(G109),ROUND($C$10-D110,2)))</f>
        <v/>
      </c>
      <c r="D110" s="18">
        <f>IF(OR(G109="",N(G109)&lt;=0),"",ROUND(N(G109)*$C$5/12,2))</f>
        <v/>
      </c>
      <c r="E110" s="18">
        <f>IF(OR(G109="",N(G109)&lt;=0),"",MIN(MAX(0,N(G109)-C110),$C$8))</f>
        <v/>
      </c>
      <c r="F110" s="18">
        <f>IF(C110="","",C110+D110+E110)</f>
        <v/>
      </c>
      <c r="G110" s="18">
        <f>IF(OR(G109="",N(G109)&lt;=0),"",MAX(0,N(G109)-C110-E110))</f>
        <v/>
      </c>
    </row>
    <row r="111">
      <c r="A111" s="13" t="n">
        <v>97</v>
      </c>
      <c r="B111" s="14">
        <f>IF(G111="","",EDATE($C$7,96))</f>
        <v/>
      </c>
      <c r="C111" s="15">
        <f>IF(OR(G110="",N(G110)&lt;=0),"",MIN(N(G110),ROUND($C$10-D111,2)))</f>
        <v/>
      </c>
      <c r="D111" s="15">
        <f>IF(OR(G110="",N(G110)&lt;=0),"",ROUND(N(G110)*$C$5/12,2))</f>
        <v/>
      </c>
      <c r="E111" s="15">
        <f>IF(OR(G110="",N(G110)&lt;=0),"",MIN(MAX(0,N(G110)-C111),$C$8))</f>
        <v/>
      </c>
      <c r="F111" s="15">
        <f>IF(C111="","",C111+D111+E111)</f>
        <v/>
      </c>
      <c r="G111" s="15">
        <f>IF(OR(G110="",N(G110)&lt;=0),"",MAX(0,N(G110)-C111-E111))</f>
        <v/>
      </c>
    </row>
    <row r="112">
      <c r="A112" s="16" t="n">
        <v>98</v>
      </c>
      <c r="B112" s="17">
        <f>IF(G112="","",EDATE($C$7,97))</f>
        <v/>
      </c>
      <c r="C112" s="18">
        <f>IF(OR(G111="",N(G111)&lt;=0),"",MIN(N(G111),ROUND($C$10-D112,2)))</f>
        <v/>
      </c>
      <c r="D112" s="18">
        <f>IF(OR(G111="",N(G111)&lt;=0),"",ROUND(N(G111)*$C$5/12,2))</f>
        <v/>
      </c>
      <c r="E112" s="18">
        <f>IF(OR(G111="",N(G111)&lt;=0),"",MIN(MAX(0,N(G111)-C112),$C$8))</f>
        <v/>
      </c>
      <c r="F112" s="18">
        <f>IF(C112="","",C112+D112+E112)</f>
        <v/>
      </c>
      <c r="G112" s="18">
        <f>IF(OR(G111="",N(G111)&lt;=0),"",MAX(0,N(G111)-C112-E112))</f>
        <v/>
      </c>
    </row>
    <row r="113">
      <c r="A113" s="13" t="n">
        <v>99</v>
      </c>
      <c r="B113" s="14">
        <f>IF(G113="","",EDATE($C$7,98))</f>
        <v/>
      </c>
      <c r="C113" s="15">
        <f>IF(OR(G112="",N(G112)&lt;=0),"",MIN(N(G112),ROUND($C$10-D113,2)))</f>
        <v/>
      </c>
      <c r="D113" s="15">
        <f>IF(OR(G112="",N(G112)&lt;=0),"",ROUND(N(G112)*$C$5/12,2))</f>
        <v/>
      </c>
      <c r="E113" s="15">
        <f>IF(OR(G112="",N(G112)&lt;=0),"",MIN(MAX(0,N(G112)-C113),$C$8))</f>
        <v/>
      </c>
      <c r="F113" s="15">
        <f>IF(C113="","",C113+D113+E113)</f>
        <v/>
      </c>
      <c r="G113" s="15">
        <f>IF(OR(G112="",N(G112)&lt;=0),"",MAX(0,N(G112)-C113-E113))</f>
        <v/>
      </c>
    </row>
    <row r="114">
      <c r="A114" s="16" t="n">
        <v>100</v>
      </c>
      <c r="B114" s="17">
        <f>IF(G114="","",EDATE($C$7,99))</f>
        <v/>
      </c>
      <c r="C114" s="18">
        <f>IF(OR(G113="",N(G113)&lt;=0),"",MIN(N(G113),ROUND($C$10-D114,2)))</f>
        <v/>
      </c>
      <c r="D114" s="18">
        <f>IF(OR(G113="",N(G113)&lt;=0),"",ROUND(N(G113)*$C$5/12,2))</f>
        <v/>
      </c>
      <c r="E114" s="18">
        <f>IF(OR(G113="",N(G113)&lt;=0),"",MIN(MAX(0,N(G113)-C114),$C$8))</f>
        <v/>
      </c>
      <c r="F114" s="18">
        <f>IF(C114="","",C114+D114+E114)</f>
        <v/>
      </c>
      <c r="G114" s="18">
        <f>IF(OR(G113="",N(G113)&lt;=0),"",MAX(0,N(G113)-C114-E114))</f>
        <v/>
      </c>
    </row>
    <row r="115">
      <c r="A115" s="13" t="n">
        <v>101</v>
      </c>
      <c r="B115" s="14">
        <f>IF(G115="","",EDATE($C$7,100))</f>
        <v/>
      </c>
      <c r="C115" s="15">
        <f>IF(OR(G114="",N(G114)&lt;=0),"",MIN(N(G114),ROUND($C$10-D115,2)))</f>
        <v/>
      </c>
      <c r="D115" s="15">
        <f>IF(OR(G114="",N(G114)&lt;=0),"",ROUND(N(G114)*$C$5/12,2))</f>
        <v/>
      </c>
      <c r="E115" s="15">
        <f>IF(OR(G114="",N(G114)&lt;=0),"",MIN(MAX(0,N(G114)-C115),$C$8))</f>
        <v/>
      </c>
      <c r="F115" s="15">
        <f>IF(C115="","",C115+D115+E115)</f>
        <v/>
      </c>
      <c r="G115" s="15">
        <f>IF(OR(G114="",N(G114)&lt;=0),"",MAX(0,N(G114)-C115-E115))</f>
        <v/>
      </c>
    </row>
    <row r="116">
      <c r="A116" s="16" t="n">
        <v>102</v>
      </c>
      <c r="B116" s="17">
        <f>IF(G116="","",EDATE($C$7,101))</f>
        <v/>
      </c>
      <c r="C116" s="18">
        <f>IF(OR(G115="",N(G115)&lt;=0),"",MIN(N(G115),ROUND($C$10-D116,2)))</f>
        <v/>
      </c>
      <c r="D116" s="18">
        <f>IF(OR(G115="",N(G115)&lt;=0),"",ROUND(N(G115)*$C$5/12,2))</f>
        <v/>
      </c>
      <c r="E116" s="18">
        <f>IF(OR(G115="",N(G115)&lt;=0),"",MIN(MAX(0,N(G115)-C116),$C$8))</f>
        <v/>
      </c>
      <c r="F116" s="18">
        <f>IF(C116="","",C116+D116+E116)</f>
        <v/>
      </c>
      <c r="G116" s="18">
        <f>IF(OR(G115="",N(G115)&lt;=0),"",MAX(0,N(G115)-C116-E116))</f>
        <v/>
      </c>
    </row>
    <row r="117">
      <c r="A117" s="13" t="n">
        <v>103</v>
      </c>
      <c r="B117" s="14">
        <f>IF(G117="","",EDATE($C$7,102))</f>
        <v/>
      </c>
      <c r="C117" s="15">
        <f>IF(OR(G116="",N(G116)&lt;=0),"",MIN(N(G116),ROUND($C$10-D117,2)))</f>
        <v/>
      </c>
      <c r="D117" s="15">
        <f>IF(OR(G116="",N(G116)&lt;=0),"",ROUND(N(G116)*$C$5/12,2))</f>
        <v/>
      </c>
      <c r="E117" s="15">
        <f>IF(OR(G116="",N(G116)&lt;=0),"",MIN(MAX(0,N(G116)-C117),$C$8))</f>
        <v/>
      </c>
      <c r="F117" s="15">
        <f>IF(C117="","",C117+D117+E117)</f>
        <v/>
      </c>
      <c r="G117" s="15">
        <f>IF(OR(G116="",N(G116)&lt;=0),"",MAX(0,N(G116)-C117-E117))</f>
        <v/>
      </c>
    </row>
    <row r="118">
      <c r="A118" s="16" t="n">
        <v>104</v>
      </c>
      <c r="B118" s="17">
        <f>IF(G118="","",EDATE($C$7,103))</f>
        <v/>
      </c>
      <c r="C118" s="18">
        <f>IF(OR(G117="",N(G117)&lt;=0),"",MIN(N(G117),ROUND($C$10-D118,2)))</f>
        <v/>
      </c>
      <c r="D118" s="18">
        <f>IF(OR(G117="",N(G117)&lt;=0),"",ROUND(N(G117)*$C$5/12,2))</f>
        <v/>
      </c>
      <c r="E118" s="18">
        <f>IF(OR(G117="",N(G117)&lt;=0),"",MIN(MAX(0,N(G117)-C118),$C$8))</f>
        <v/>
      </c>
      <c r="F118" s="18">
        <f>IF(C118="","",C118+D118+E118)</f>
        <v/>
      </c>
      <c r="G118" s="18">
        <f>IF(OR(G117="",N(G117)&lt;=0),"",MAX(0,N(G117)-C118-E118))</f>
        <v/>
      </c>
    </row>
    <row r="119">
      <c r="A119" s="13" t="n">
        <v>105</v>
      </c>
      <c r="B119" s="14">
        <f>IF(G119="","",EDATE($C$7,104))</f>
        <v/>
      </c>
      <c r="C119" s="15">
        <f>IF(OR(G118="",N(G118)&lt;=0),"",MIN(N(G118),ROUND($C$10-D119,2)))</f>
        <v/>
      </c>
      <c r="D119" s="15">
        <f>IF(OR(G118="",N(G118)&lt;=0),"",ROUND(N(G118)*$C$5/12,2))</f>
        <v/>
      </c>
      <c r="E119" s="15">
        <f>IF(OR(G118="",N(G118)&lt;=0),"",MIN(MAX(0,N(G118)-C119),$C$8))</f>
        <v/>
      </c>
      <c r="F119" s="15">
        <f>IF(C119="","",C119+D119+E119)</f>
        <v/>
      </c>
      <c r="G119" s="15">
        <f>IF(OR(G118="",N(G118)&lt;=0),"",MAX(0,N(G118)-C119-E119))</f>
        <v/>
      </c>
    </row>
    <row r="120">
      <c r="A120" s="16" t="n">
        <v>106</v>
      </c>
      <c r="B120" s="17">
        <f>IF(G120="","",EDATE($C$7,105))</f>
        <v/>
      </c>
      <c r="C120" s="18">
        <f>IF(OR(G119="",N(G119)&lt;=0),"",MIN(N(G119),ROUND($C$10-D120,2)))</f>
        <v/>
      </c>
      <c r="D120" s="18">
        <f>IF(OR(G119="",N(G119)&lt;=0),"",ROUND(N(G119)*$C$5/12,2))</f>
        <v/>
      </c>
      <c r="E120" s="18">
        <f>IF(OR(G119="",N(G119)&lt;=0),"",MIN(MAX(0,N(G119)-C120),$C$8))</f>
        <v/>
      </c>
      <c r="F120" s="18">
        <f>IF(C120="","",C120+D120+E120)</f>
        <v/>
      </c>
      <c r="G120" s="18">
        <f>IF(OR(G119="",N(G119)&lt;=0),"",MAX(0,N(G119)-C120-E120))</f>
        <v/>
      </c>
    </row>
    <row r="121">
      <c r="A121" s="13" t="n">
        <v>107</v>
      </c>
      <c r="B121" s="14">
        <f>IF(G121="","",EDATE($C$7,106))</f>
        <v/>
      </c>
      <c r="C121" s="15">
        <f>IF(OR(G120="",N(G120)&lt;=0),"",MIN(N(G120),ROUND($C$10-D121,2)))</f>
        <v/>
      </c>
      <c r="D121" s="15">
        <f>IF(OR(G120="",N(G120)&lt;=0),"",ROUND(N(G120)*$C$5/12,2))</f>
        <v/>
      </c>
      <c r="E121" s="15">
        <f>IF(OR(G120="",N(G120)&lt;=0),"",MIN(MAX(0,N(G120)-C121),$C$8))</f>
        <v/>
      </c>
      <c r="F121" s="15">
        <f>IF(C121="","",C121+D121+E121)</f>
        <v/>
      </c>
      <c r="G121" s="15">
        <f>IF(OR(G120="",N(G120)&lt;=0),"",MAX(0,N(G120)-C121-E121))</f>
        <v/>
      </c>
    </row>
    <row r="122">
      <c r="A122" s="16" t="n">
        <v>108</v>
      </c>
      <c r="B122" s="17">
        <f>IF(G122="","",EDATE($C$7,107))</f>
        <v/>
      </c>
      <c r="C122" s="18">
        <f>IF(OR(G121="",N(G121)&lt;=0),"",MIN(N(G121),ROUND($C$10-D122,2)))</f>
        <v/>
      </c>
      <c r="D122" s="18">
        <f>IF(OR(G121="",N(G121)&lt;=0),"",ROUND(N(G121)*$C$5/12,2))</f>
        <v/>
      </c>
      <c r="E122" s="18">
        <f>IF(OR(G121="",N(G121)&lt;=0),"",MIN(MAX(0,N(G121)-C122),$C$8))</f>
        <v/>
      </c>
      <c r="F122" s="18">
        <f>IF(C122="","",C122+D122+E122)</f>
        <v/>
      </c>
      <c r="G122" s="18">
        <f>IF(OR(G121="",N(G121)&lt;=0),"",MAX(0,N(G121)-C122-E122))</f>
        <v/>
      </c>
    </row>
    <row r="123">
      <c r="A123" s="13" t="n">
        <v>109</v>
      </c>
      <c r="B123" s="14">
        <f>IF(G123="","",EDATE($C$7,108))</f>
        <v/>
      </c>
      <c r="C123" s="15">
        <f>IF(OR(G122="",N(G122)&lt;=0),"",MIN(N(G122),ROUND($C$10-D123,2)))</f>
        <v/>
      </c>
      <c r="D123" s="15">
        <f>IF(OR(G122="",N(G122)&lt;=0),"",ROUND(N(G122)*$C$5/12,2))</f>
        <v/>
      </c>
      <c r="E123" s="15">
        <f>IF(OR(G122="",N(G122)&lt;=0),"",MIN(MAX(0,N(G122)-C123),$C$8))</f>
        <v/>
      </c>
      <c r="F123" s="15">
        <f>IF(C123="","",C123+D123+E123)</f>
        <v/>
      </c>
      <c r="G123" s="15">
        <f>IF(OR(G122="",N(G122)&lt;=0),"",MAX(0,N(G122)-C123-E123))</f>
        <v/>
      </c>
    </row>
    <row r="124">
      <c r="A124" s="16" t="n">
        <v>110</v>
      </c>
      <c r="B124" s="17">
        <f>IF(G124="","",EDATE($C$7,109))</f>
        <v/>
      </c>
      <c r="C124" s="18">
        <f>IF(OR(G123="",N(G123)&lt;=0),"",MIN(N(G123),ROUND($C$10-D124,2)))</f>
        <v/>
      </c>
      <c r="D124" s="18">
        <f>IF(OR(G123="",N(G123)&lt;=0),"",ROUND(N(G123)*$C$5/12,2))</f>
        <v/>
      </c>
      <c r="E124" s="18">
        <f>IF(OR(G123="",N(G123)&lt;=0),"",MIN(MAX(0,N(G123)-C124),$C$8))</f>
        <v/>
      </c>
      <c r="F124" s="18">
        <f>IF(C124="","",C124+D124+E124)</f>
        <v/>
      </c>
      <c r="G124" s="18">
        <f>IF(OR(G123="",N(G123)&lt;=0),"",MAX(0,N(G123)-C124-E124))</f>
        <v/>
      </c>
    </row>
    <row r="125">
      <c r="A125" s="13" t="n">
        <v>111</v>
      </c>
      <c r="B125" s="14">
        <f>IF(G125="","",EDATE($C$7,110))</f>
        <v/>
      </c>
      <c r="C125" s="15">
        <f>IF(OR(G124="",N(G124)&lt;=0),"",MIN(N(G124),ROUND($C$10-D125,2)))</f>
        <v/>
      </c>
      <c r="D125" s="15">
        <f>IF(OR(G124="",N(G124)&lt;=0),"",ROUND(N(G124)*$C$5/12,2))</f>
        <v/>
      </c>
      <c r="E125" s="15">
        <f>IF(OR(G124="",N(G124)&lt;=0),"",MIN(MAX(0,N(G124)-C125),$C$8))</f>
        <v/>
      </c>
      <c r="F125" s="15">
        <f>IF(C125="","",C125+D125+E125)</f>
        <v/>
      </c>
      <c r="G125" s="15">
        <f>IF(OR(G124="",N(G124)&lt;=0),"",MAX(0,N(G124)-C125-E125))</f>
        <v/>
      </c>
    </row>
    <row r="126">
      <c r="A126" s="16" t="n">
        <v>112</v>
      </c>
      <c r="B126" s="17">
        <f>IF(G126="","",EDATE($C$7,111))</f>
        <v/>
      </c>
      <c r="C126" s="18">
        <f>IF(OR(G125="",N(G125)&lt;=0),"",MIN(N(G125),ROUND($C$10-D126,2)))</f>
        <v/>
      </c>
      <c r="D126" s="18">
        <f>IF(OR(G125="",N(G125)&lt;=0),"",ROUND(N(G125)*$C$5/12,2))</f>
        <v/>
      </c>
      <c r="E126" s="18">
        <f>IF(OR(G125="",N(G125)&lt;=0),"",MIN(MAX(0,N(G125)-C126),$C$8))</f>
        <v/>
      </c>
      <c r="F126" s="18">
        <f>IF(C126="","",C126+D126+E126)</f>
        <v/>
      </c>
      <c r="G126" s="18">
        <f>IF(OR(G125="",N(G125)&lt;=0),"",MAX(0,N(G125)-C126-E126))</f>
        <v/>
      </c>
    </row>
    <row r="127">
      <c r="A127" s="13" t="n">
        <v>113</v>
      </c>
      <c r="B127" s="14">
        <f>IF(G127="","",EDATE($C$7,112))</f>
        <v/>
      </c>
      <c r="C127" s="15">
        <f>IF(OR(G126="",N(G126)&lt;=0),"",MIN(N(G126),ROUND($C$10-D127,2)))</f>
        <v/>
      </c>
      <c r="D127" s="15">
        <f>IF(OR(G126="",N(G126)&lt;=0),"",ROUND(N(G126)*$C$5/12,2))</f>
        <v/>
      </c>
      <c r="E127" s="15">
        <f>IF(OR(G126="",N(G126)&lt;=0),"",MIN(MAX(0,N(G126)-C127),$C$8))</f>
        <v/>
      </c>
      <c r="F127" s="15">
        <f>IF(C127="","",C127+D127+E127)</f>
        <v/>
      </c>
      <c r="G127" s="15">
        <f>IF(OR(G126="",N(G126)&lt;=0),"",MAX(0,N(G126)-C127-E127))</f>
        <v/>
      </c>
    </row>
    <row r="128">
      <c r="A128" s="16" t="n">
        <v>114</v>
      </c>
      <c r="B128" s="17">
        <f>IF(G128="","",EDATE($C$7,113))</f>
        <v/>
      </c>
      <c r="C128" s="18">
        <f>IF(OR(G127="",N(G127)&lt;=0),"",MIN(N(G127),ROUND($C$10-D128,2)))</f>
        <v/>
      </c>
      <c r="D128" s="18">
        <f>IF(OR(G127="",N(G127)&lt;=0),"",ROUND(N(G127)*$C$5/12,2))</f>
        <v/>
      </c>
      <c r="E128" s="18">
        <f>IF(OR(G127="",N(G127)&lt;=0),"",MIN(MAX(0,N(G127)-C128),$C$8))</f>
        <v/>
      </c>
      <c r="F128" s="18">
        <f>IF(C128="","",C128+D128+E128)</f>
        <v/>
      </c>
      <c r="G128" s="18">
        <f>IF(OR(G127="",N(G127)&lt;=0),"",MAX(0,N(G127)-C128-E128))</f>
        <v/>
      </c>
    </row>
    <row r="129">
      <c r="A129" s="13" t="n">
        <v>115</v>
      </c>
      <c r="B129" s="14">
        <f>IF(G129="","",EDATE($C$7,114))</f>
        <v/>
      </c>
      <c r="C129" s="15">
        <f>IF(OR(G128="",N(G128)&lt;=0),"",MIN(N(G128),ROUND($C$10-D129,2)))</f>
        <v/>
      </c>
      <c r="D129" s="15">
        <f>IF(OR(G128="",N(G128)&lt;=0),"",ROUND(N(G128)*$C$5/12,2))</f>
        <v/>
      </c>
      <c r="E129" s="15">
        <f>IF(OR(G128="",N(G128)&lt;=0),"",MIN(MAX(0,N(G128)-C129),$C$8))</f>
        <v/>
      </c>
      <c r="F129" s="15">
        <f>IF(C129="","",C129+D129+E129)</f>
        <v/>
      </c>
      <c r="G129" s="15">
        <f>IF(OR(G128="",N(G128)&lt;=0),"",MAX(0,N(G128)-C129-E129))</f>
        <v/>
      </c>
    </row>
    <row r="130">
      <c r="A130" s="16" t="n">
        <v>116</v>
      </c>
      <c r="B130" s="17">
        <f>IF(G130="","",EDATE($C$7,115))</f>
        <v/>
      </c>
      <c r="C130" s="18">
        <f>IF(OR(G129="",N(G129)&lt;=0),"",MIN(N(G129),ROUND($C$10-D130,2)))</f>
        <v/>
      </c>
      <c r="D130" s="18">
        <f>IF(OR(G129="",N(G129)&lt;=0),"",ROUND(N(G129)*$C$5/12,2))</f>
        <v/>
      </c>
      <c r="E130" s="18">
        <f>IF(OR(G129="",N(G129)&lt;=0),"",MIN(MAX(0,N(G129)-C130),$C$8))</f>
        <v/>
      </c>
      <c r="F130" s="18">
        <f>IF(C130="","",C130+D130+E130)</f>
        <v/>
      </c>
      <c r="G130" s="18">
        <f>IF(OR(G129="",N(G129)&lt;=0),"",MAX(0,N(G129)-C130-E130))</f>
        <v/>
      </c>
    </row>
    <row r="131">
      <c r="A131" s="13" t="n">
        <v>117</v>
      </c>
      <c r="B131" s="14">
        <f>IF(G131="","",EDATE($C$7,116))</f>
        <v/>
      </c>
      <c r="C131" s="15">
        <f>IF(OR(G130="",N(G130)&lt;=0),"",MIN(N(G130),ROUND($C$10-D131,2)))</f>
        <v/>
      </c>
      <c r="D131" s="15">
        <f>IF(OR(G130="",N(G130)&lt;=0),"",ROUND(N(G130)*$C$5/12,2))</f>
        <v/>
      </c>
      <c r="E131" s="15">
        <f>IF(OR(G130="",N(G130)&lt;=0),"",MIN(MAX(0,N(G130)-C131),$C$8))</f>
        <v/>
      </c>
      <c r="F131" s="15">
        <f>IF(C131="","",C131+D131+E131)</f>
        <v/>
      </c>
      <c r="G131" s="15">
        <f>IF(OR(G130="",N(G130)&lt;=0),"",MAX(0,N(G130)-C131-E131))</f>
        <v/>
      </c>
    </row>
    <row r="132">
      <c r="A132" s="16" t="n">
        <v>118</v>
      </c>
      <c r="B132" s="17">
        <f>IF(G132="","",EDATE($C$7,117))</f>
        <v/>
      </c>
      <c r="C132" s="18">
        <f>IF(OR(G131="",N(G131)&lt;=0),"",MIN(N(G131),ROUND($C$10-D132,2)))</f>
        <v/>
      </c>
      <c r="D132" s="18">
        <f>IF(OR(G131="",N(G131)&lt;=0),"",ROUND(N(G131)*$C$5/12,2))</f>
        <v/>
      </c>
      <c r="E132" s="18">
        <f>IF(OR(G131="",N(G131)&lt;=0),"",MIN(MAX(0,N(G131)-C132),$C$8))</f>
        <v/>
      </c>
      <c r="F132" s="18">
        <f>IF(C132="","",C132+D132+E132)</f>
        <v/>
      </c>
      <c r="G132" s="18">
        <f>IF(OR(G131="",N(G131)&lt;=0),"",MAX(0,N(G131)-C132-E132))</f>
        <v/>
      </c>
    </row>
    <row r="133">
      <c r="A133" s="13" t="n">
        <v>119</v>
      </c>
      <c r="B133" s="14">
        <f>IF(G133="","",EDATE($C$7,118))</f>
        <v/>
      </c>
      <c r="C133" s="15">
        <f>IF(OR(G132="",N(G132)&lt;=0),"",MIN(N(G132),ROUND($C$10-D133,2)))</f>
        <v/>
      </c>
      <c r="D133" s="15">
        <f>IF(OR(G132="",N(G132)&lt;=0),"",ROUND(N(G132)*$C$5/12,2))</f>
        <v/>
      </c>
      <c r="E133" s="15">
        <f>IF(OR(G132="",N(G132)&lt;=0),"",MIN(MAX(0,N(G132)-C133),$C$8))</f>
        <v/>
      </c>
      <c r="F133" s="15">
        <f>IF(C133="","",C133+D133+E133)</f>
        <v/>
      </c>
      <c r="G133" s="15">
        <f>IF(OR(G132="",N(G132)&lt;=0),"",MAX(0,N(G132)-C133-E133))</f>
        <v/>
      </c>
    </row>
    <row r="134">
      <c r="A134" s="16" t="n">
        <v>120</v>
      </c>
      <c r="B134" s="17">
        <f>IF(G134="","",EDATE($C$7,119))</f>
        <v/>
      </c>
      <c r="C134" s="18">
        <f>IF(OR(G133="",N(G133)&lt;=0),"",MIN(N(G133),ROUND($C$10-D134,2)))</f>
        <v/>
      </c>
      <c r="D134" s="18">
        <f>IF(OR(G133="",N(G133)&lt;=0),"",ROUND(N(G133)*$C$5/12,2))</f>
        <v/>
      </c>
      <c r="E134" s="18">
        <f>IF(OR(G133="",N(G133)&lt;=0),"",MIN(MAX(0,N(G133)-C134),$C$8))</f>
        <v/>
      </c>
      <c r="F134" s="18">
        <f>IF(C134="","",C134+D134+E134)</f>
        <v/>
      </c>
      <c r="G134" s="18">
        <f>IF(OR(G133="",N(G133)&lt;=0),"",MAX(0,N(G133)-C134-E134))</f>
        <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0" customWidth="1" min="1" max="1"/>
    <col width="30" customWidth="1" min="2" max="2"/>
    <col width="30" customWidth="1" min="3" max="3"/>
  </cols>
  <sheetData>
    <row r="1" ht="26" customHeight="1">
      <c r="A1" s="1" t="inlineStr">
        <is>
          <t>How this workbook works</t>
        </is>
      </c>
      <c r="B1" s="2" t="n"/>
      <c r="C1" s="2" t="n"/>
    </row>
    <row r="2" ht="15" customHeight="1">
      <c r="A2" s="3" t="inlineStr">
        <is>
          <t>Explore Excel  ·  exploreexcel.com</t>
        </is>
      </c>
      <c r="B2" s="2" t="n"/>
      <c r="C2" s="2" t="n"/>
    </row>
    <row r="4">
      <c r="A4" s="19" t="inlineStr">
        <is>
          <t>What this is</t>
        </is>
      </c>
    </row>
    <row r="5" ht="34" customHeight="1">
      <c r="A5" s="20" t="inlineStr">
        <is>
          <t>A full repayment schedule generated from four inputs, with optional extra payments and the effect on interest and payoff date shown automatically.</t>
        </is>
      </c>
    </row>
    <row r="7">
      <c r="A7" s="19" t="inlineStr">
        <is>
          <t>Using it</t>
        </is>
      </c>
    </row>
    <row r="8" ht="34" customHeight="1">
      <c r="A8" s="20" t="inlineStr">
        <is>
          <t>Change the five blue cells at the top. The schedule rebuilds. Rows past the payoff point go blank rather than showing zeros or errors.</t>
        </is>
      </c>
    </row>
    <row r="10">
      <c r="A10" s="19" t="inlineStr">
        <is>
          <t>The extra payment column</t>
        </is>
      </c>
    </row>
    <row r="11" ht="34" customHeight="1">
      <c r="A11" s="20" t="inlineStr">
        <is>
          <t>Any amount entered is applied to principal on every payment. Try a small number — the reduction in total interest is usually larger than people expect, because it compounds over the remaining term.</t>
        </is>
      </c>
    </row>
    <row r="13">
      <c r="A13" s="19" t="inlineStr">
        <is>
          <t>Why interest is calculated before principal</t>
        </is>
      </c>
    </row>
    <row r="14" ht="34" customHeight="1">
      <c r="A14" s="20" t="inlineStr">
        <is>
          <t>Each month, interest accrues on the opening balance. Principal is whatever is left of the payment after interest. Calculating them the other way round is the classic error in homemade amortisation schedules and produces a loan that never quite clears.</t>
        </is>
      </c>
    </row>
    <row r="16">
      <c r="A16" s="19" t="inlineStr">
        <is>
          <t>Rate convention</t>
        </is>
      </c>
    </row>
    <row r="17" ht="34" customHeight="1">
      <c r="A17" s="20" t="inlineStr">
        <is>
          <t>The rate is nominal annual, divided by twelve for the monthly period. This is how most commercial loans are quoted. If yours is an effective annual rate, convert it first or the payment will be slightly wrong.</t>
        </is>
      </c>
    </row>
    <row r="19">
      <c r="A19" s="19" t="inlineStr">
        <is>
          <t>Capacity</t>
        </is>
      </c>
    </row>
    <row r="20" ht="34" customHeight="1">
      <c r="A20" s="20" t="inlineStr">
        <is>
          <t>The schedule holds 120 rows, so terms up to ten years. For longer, copy the last row down.</t>
        </is>
      </c>
    </row>
  </sheetData>
  <mergeCells count="14">
    <mergeCell ref="A10:C10"/>
    <mergeCell ref="A13:C13"/>
    <mergeCell ref="A11:C11"/>
    <mergeCell ref="A19:C19"/>
    <mergeCell ref="A1:C1"/>
    <mergeCell ref="A5:C5"/>
    <mergeCell ref="A16:C16"/>
    <mergeCell ref="A8:C8"/>
    <mergeCell ref="A14:C14"/>
    <mergeCell ref="A17:C17"/>
    <mergeCell ref="A7:C7"/>
    <mergeCell ref="A4:C4"/>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2026-07-23T18:22:56Z</dcterms:created>
  <dcterms:modified xmlns:dcterms="http://purl.org/dc/terms/" xmlns:xsi="http://www.w3.org/2001/XMLSchema-instance" xsi:type="dcterms:W3CDTF">2026-07-23T18:22:56Z</dcterms:modified>
</cp:coreProperties>
</file>