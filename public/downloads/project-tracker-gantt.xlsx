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Task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<sst xmlns="http://schemas.openxmlformats.org/spreadsheetml/2006/main" count="68" uniqueCount="58">
  <si>
    <t>Project tracker with Gantt</t>
  </si>
  <si>
    <t>How to use this template</t>
  </si>
  <si>
    <t>What this does</t>
  </si>
  <si>
    <t>Tracks tasks, owners, dates and progress, and draws a Gantt chart from those dates without a single manual bar.</t>
  </si>
  <si>
    <t/>
  </si>
  <si>
    <t>Using it</t>
  </si>
  <si>
    <t>1. Set the chart start date in the cream cell B3 on the Tasks sheet. The timeline runs from there.</t>
  </si>
  <si>
    <t>2. Enter each task with an owner, a start date and a duration in days.</t>
  </si>
  <si>
    <t>3. End date, Status and the chart bars all calculate themselves.</t>
  </si>
  <si>
    <t>4. Update the Progress column as work proceeds.</t>
  </si>
  <si>
    <t>How the chart works</t>
  </si>
  <si>
    <t>There are no shapes and nothing is drawn. Each timeline cell carries a conditional formatting rule that fills it when its date falls between the task start and end. Change a date and the chart redraws instantly.</t>
  </si>
  <si>
    <t>Completed tasks fill dark green, work in progress fills light green, and weekends are shaded so the working week stays readable.</t>
  </si>
  <si>
    <t>Extending the timeline</t>
  </si>
  <si>
    <t>The timeline covers 42 days. Move the window by changing the start date, or widen it by copying the last timeline column to the right.</t>
  </si>
  <si>
    <t>Blue text on a cream background marks a cell you fill in. Black text is calculated — typing over one replaces the formula. Green shading is a heading or a total. This is the standard financial-modelling convention.</t>
  </si>
  <si>
    <t>Project tracker</t>
  </si>
  <si>
    <t>Dates drive the chart. Nothing is drawn by hand.</t>
  </si>
  <si>
    <t>Chart starts</t>
  </si>
  <si>
    <t>#</t>
  </si>
  <si>
    <t>Task</t>
  </si>
  <si>
    <t>Owner</t>
  </si>
  <si>
    <t>Start</t>
  </si>
  <si>
    <t>Days</t>
  </si>
  <si>
    <t>End</t>
  </si>
  <si>
    <t>Progress</t>
  </si>
  <si>
    <t>Status</t>
  </si>
  <si>
    <t>Scope and requirements</t>
  </si>
  <si>
    <t>Adams</t>
  </si>
  <si>
    <t>Data audit</t>
  </si>
  <si>
    <t>Brennan</t>
  </si>
  <si>
    <t>Build data model</t>
  </si>
  <si>
    <t>Reporting layer</t>
  </si>
  <si>
    <t>Raman</t>
  </si>
  <si>
    <t>User testing</t>
  </si>
  <si>
    <t>Okafor</t>
  </si>
  <si>
    <t>Fixes and polish</t>
  </si>
  <si>
    <t>Training and handover</t>
  </si>
  <si>
    <t>Project summary</t>
  </si>
  <si>
    <t>Everything here reads from the Tasks sheet</t>
  </si>
  <si>
    <t>Measure</t>
  </si>
  <si>
    <t>Value</t>
  </si>
  <si>
    <t>Notes</t>
  </si>
  <si>
    <t>Tasks total</t>
  </si>
  <si>
    <t>Rows with a task name</t>
  </si>
  <si>
    <t>Done</t>
  </si>
  <si>
    <t>Progress at 100%</t>
  </si>
  <si>
    <t>In progress</t>
  </si>
  <si>
    <t>Not started</t>
  </si>
  <si>
    <t>Late</t>
  </si>
  <si>
    <t>Started before today with no progress</t>
  </si>
  <si>
    <t>Overall progress</t>
  </si>
  <si>
    <t>Average of the progress column</t>
  </si>
  <si>
    <t>Earliest start</t>
  </si>
  <si>
    <t>Latest finish</t>
  </si>
  <si>
    <t>Calendar days</t>
  </si>
  <si>
    <t>Working days</t>
  </si>
  <si>
    <t>Excludes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</si>
</sst>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d"/>
  </numFmts>
  <fonts count="11" x14ac:knownFonts="1">
    <font>
      <color theme="1"/>
      <family val="2"/>
      <scheme val="minor"/>
      <sz val="11"/>
      <name val="Calibri"/>
    </font>
    <font>
      <b/>
      <color rgb="FF0A4A3A"/>
      <sz val="15"/>
      <name val="Arial"/>
    </font>
    <font>
      <i/>
      <color rgb="FF4A4A48"/>
      <sz val="10"/>
      <name val="Calibri"/>
    </font>
    <font>
      <b/>
      <color rgb="FF0A4A3A"/>
      <sz val="11"/>
      <name val="Arial"/>
    </font>
    <font>
      <color rgb="FF141414"/>
      <sz val="10"/>
      <name val="Calibri"/>
    </font>
    <font>
      <i/>
      <color rgb="FF4A4A48"/>
      <sz val="9"/>
      <name val="Calibri"/>
    </font>
    <font>
      <b/>
      <color rgb="FF4A4A48"/>
      <sz val="9"/>
      <name val="Calibri"/>
    </font>
    <font>
      <b/>
      <color rgb="FF0000FF"/>
      <sz val="11"/>
      <name val="Calibri"/>
    </font>
    <font>
      <b/>
      <color rgb="FFFFFFFF"/>
      <sz val="10"/>
      <name val="Arial"/>
    </font>
    <font>
      <b/>
      <color rgb="FFFFFFFF"/>
      <sz val="8"/>
      <name val="Arial"/>
    </font>
    <font>
      <color rgb="FF0000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FFFDF0"/>
      </patternFill>
    </fill>
    <fill>
      <patternFill patternType="solid">
        <fgColor rgb="FF0F6E56"/>
      </patternFill>
    </fill>
    <fill>
      <patternFill patternType="solid">
        <fgColor rgb="FFFAFAF8"/>
      </patternFill>
    </fill>
  </fills>
  <borders count="2">
    <border>
      <left/>
      <right/>
      <top/>
      <bottom/>
      <diagonal/>
    </border>
    <border>
      <left style="thin">
        <color rgb="FFE4E4E0"/>
      </left>
      <right style="thin">
        <color rgb="FFE4E4E0"/>
      </right>
      <top style="thin">
        <color rgb="FFE4E4E0"/>
      </top>
      <bottom style="thin">
        <color rgb="FFE4E4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164" fontId="7" fillId="3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3" borderId="1" xfId="0" applyFont="1" applyFill="1" applyBorder="1"/>
    <xf numFmtId="164" fontId="10" fillId="3" borderId="1" xfId="0" applyNumberFormat="1" applyFont="1" applyFill="1" applyBorder="1"/>
    <xf numFmtId="0" fontId="10" fillId="3" borderId="1" xfId="0" applyFont="1" applyFill="1" applyBorder="1" applyAlignment="1">
      <alignment horizontal="center"/>
    </xf>
    <xf numFmtId="164" fontId="4" fillId="0" borderId="1" xfId="0" applyNumberFormat="1" applyFont="1" applyBorder="1"/>
    <xf numFmtId="9" fontId="10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4" fillId="0" borderId="1" xfId="0" applyFont="1" applyBorder="1"/>
    <xf numFmtId="0" fontId="4" fillId="5" borderId="1" xfId="0" applyFont="1" applyFill="1" applyBorder="1"/>
    <xf numFmtId="9" fontId="4" fillId="5" borderId="1" xfId="0" applyNumberFormat="1" applyFont="1" applyFill="1" applyBorder="1"/>
  </cellXfs>
  <cellStyles count="1">
    <cellStyle name="Normal" xfId="0" builtinId="0"/>
  </cellStyles>
  <dxfs count="5">
    <dxf>
      <fill>
        <patternFill patternType="solid">
          <bgColor rgb="FF0F6E56"/>
        </patternFill>
      </fill>
    </dxf>
    <dxf>
      <fill>
        <patternFill patternType="solid">
          <bgColor rgb="FFC6E4D9"/>
        </patternFill>
      </fill>
    </dxf>
    <dxf>
      <fill>
        <patternFill patternType="solid">
          <bgColor rgb="FFFAFAF8"/>
        </patternFill>
      </fill>
    </dxf>
    <dxf>
      <font>
        <b/>
        <color rgb="FF0A4A3A"/>
      </font>
      <fill>
        <patternFill patternType="solid">
          <bgColor rgb="FFE1F5EE"/>
        </patternFill>
      </fill>
    </dxf>
    <dxf>
      <font>
        <b/>
        <color rgb="FF7A2020"/>
      </font>
      <fill>
        <patternFill patternType="solid">
          <bgColor rgb="FFF6DE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4A48"/>
    <pageSetUpPr fitToPage="1"/>
  </sheetPr>
  <dimension ref="A2:B21"/>
  <sheetViews>
    <sheetView workbookViewId="0" showGridLines="0" zoomScale="100"/>
  </sheetViews>
  <sheetFormatPr defaultRowHeight="15" outlineLevelRow="0" outlineLevelCol="0" x14ac:dyDescent="55"/>
  <cols>
    <col min="1" max="1" width="3" customWidth="1"/>
    <col min="2" max="2" width="94" customWidth="1"/>
  </cols>
  <sheetData>
    <row r="2" ht="26" customHeight="1" spans="1:2" x14ac:dyDescent="0.25">
      <c r="A2" s="1" t="s">
        <v>0</v>
      </c>
      <c r="B2" s="2"/>
    </row>
    <row r="3" ht="16" customHeight="1" spans="1:2" x14ac:dyDescent="0.25">
      <c r="A3" s="3" t="s">
        <v>1</v>
      </c>
      <c r="B3" s="4"/>
    </row>
    <row r="5" ht="22" customHeight="1" spans="2:2" x14ac:dyDescent="0.25">
      <c r="B5" s="5" t="s">
        <v>2</v>
      </c>
    </row>
    <row r="6" ht="30" customHeight="1" spans="2:2" x14ac:dyDescent="0.25">
      <c r="B6" s="6" t="s">
        <v>3</v>
      </c>
    </row>
    <row r="7" ht="16" customHeight="1" spans="2:2" x14ac:dyDescent="0.25">
      <c r="B7" s="6" t="s">
        <v>4</v>
      </c>
    </row>
    <row r="8" ht="22" customHeight="1" spans="2:2" x14ac:dyDescent="0.25">
      <c r="B8" s="5" t="s">
        <v>5</v>
      </c>
    </row>
    <row r="9" ht="30" customHeight="1" spans="2:2" x14ac:dyDescent="0.25">
      <c r="B9" s="6" t="s">
        <v>6</v>
      </c>
    </row>
    <row r="10" ht="16" customHeight="1" spans="2:2" x14ac:dyDescent="0.25">
      <c r="B10" s="6" t="s">
        <v>7</v>
      </c>
    </row>
    <row r="11" ht="16" customHeight="1" spans="2:2" x14ac:dyDescent="0.25">
      <c r="B11" s="6" t="s">
        <v>8</v>
      </c>
    </row>
    <row r="12" ht="16" customHeight="1" spans="2:2" x14ac:dyDescent="0.25">
      <c r="B12" s="6" t="s">
        <v>9</v>
      </c>
    </row>
    <row r="13" ht="16" customHeight="1" spans="2:2" x14ac:dyDescent="0.25">
      <c r="B13" s="6" t="s">
        <v>4</v>
      </c>
    </row>
    <row r="14" ht="22" customHeight="1" spans="2:2" x14ac:dyDescent="0.25">
      <c r="B14" s="5" t="s">
        <v>10</v>
      </c>
    </row>
    <row r="15" ht="30" customHeight="1" spans="2:2" x14ac:dyDescent="0.25">
      <c r="B15" s="6" t="s">
        <v>11</v>
      </c>
    </row>
    <row r="16" ht="30" customHeight="1" spans="2:2" x14ac:dyDescent="0.25">
      <c r="B16" s="6" t="s">
        <v>12</v>
      </c>
    </row>
    <row r="17" ht="16" customHeight="1" spans="2:2" x14ac:dyDescent="0.25">
      <c r="B17" s="6" t="s">
        <v>4</v>
      </c>
    </row>
    <row r="18" ht="22" customHeight="1" spans="2:2" x14ac:dyDescent="0.25">
      <c r="B18" s="5" t="s">
        <v>13</v>
      </c>
    </row>
    <row r="19" ht="30" customHeight="1" spans="2:2" x14ac:dyDescent="0.25">
      <c r="B19" s="6" t="s">
        <v>14</v>
      </c>
    </row>
    <row r="21" ht="30" customHeight="1" spans="2:2" x14ac:dyDescent="0.25">
      <c r="B21" s="7" t="s">
        <v>15</v>
      </c>
    </row>
  </sheetData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  <pageSetUpPr fitToPage="1"/>
  </sheetPr>
  <dimension ref="A1:AX13"/>
  <sheetViews>
    <sheetView workbookViewId="0" showGridLines="0" zoomScale="100">
      <pane xSplit="8" ySplit="6" topLeftCell="I7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16" customWidth="1"/>
    <col min="4" max="4" width="14" customWidth="1"/>
    <col min="5" max="5" width="8" customWidth="1"/>
    <col min="6" max="6" width="14" customWidth="1"/>
    <col min="7" max="7" width="10" customWidth="1"/>
    <col min="8" max="8" width="13" customWidth="1"/>
    <col min="9" max="50" width="3" customWidth="1"/>
  </cols>
  <sheetData>
    <row r="1" ht="26" customHeight="1" spans="1:8" x14ac:dyDescent="0.25">
      <c r="A1" s="1" t="s">
        <v>16</v>
      </c>
      <c r="B1" s="2"/>
      <c r="C1" s="2"/>
      <c r="D1" s="2"/>
      <c r="E1" s="2"/>
      <c r="F1" s="2"/>
      <c r="G1" s="2"/>
      <c r="H1" s="2"/>
    </row>
    <row r="2" ht="16" customHeight="1" spans="1:8" x14ac:dyDescent="0.25">
      <c r="A2" s="3" t="s">
        <v>17</v>
      </c>
      <c r="B2" s="4"/>
      <c r="C2" s="4"/>
      <c r="D2" s="4"/>
      <c r="E2" s="4"/>
      <c r="F2" s="4"/>
      <c r="G2" s="4"/>
      <c r="H2" s="4"/>
    </row>
    <row r="3" spans="1:2" x14ac:dyDescent="0.25">
      <c r="A3" s="8" t="s">
        <v>18</v>
      </c>
      <c r="B3" s="9">
        <v>46027</v>
      </c>
    </row>
    <row r="6" ht="26" customHeight="1" spans="1:50" x14ac:dyDescent="0.25">
      <c r="A6" s="10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1">
        <f>$B$3+0</f>
      </c>
      <c r="J6" s="11">
        <f>$B$3+1</f>
      </c>
      <c r="K6" s="11">
        <f>$B$3+2</f>
      </c>
      <c r="L6" s="11">
        <f>$B$3+3</f>
      </c>
      <c r="M6" s="11">
        <f>$B$3+4</f>
      </c>
      <c r="N6" s="11">
        <f>$B$3+5</f>
      </c>
      <c r="O6" s="11">
        <f>$B$3+6</f>
      </c>
      <c r="P6" s="11">
        <f>$B$3+7</f>
      </c>
      <c r="Q6" s="11">
        <f>$B$3+8</f>
      </c>
      <c r="R6" s="11">
        <f>$B$3+9</f>
      </c>
      <c r="S6" s="11">
        <f>$B$3+10</f>
      </c>
      <c r="T6" s="11">
        <f>$B$3+11</f>
      </c>
      <c r="U6" s="11">
        <f>$B$3+12</f>
      </c>
      <c r="V6" s="11">
        <f>$B$3+13</f>
      </c>
      <c r="W6" s="11">
        <f>$B$3+14</f>
      </c>
      <c r="X6" s="11">
        <f>$B$3+15</f>
      </c>
      <c r="Y6" s="11">
        <f>$B$3+16</f>
      </c>
      <c r="Z6" s="11">
        <f>$B$3+17</f>
      </c>
      <c r="AA6" s="11">
        <f>$B$3+18</f>
      </c>
      <c r="AB6" s="11">
        <f>$B$3+19</f>
      </c>
      <c r="AC6" s="11">
        <f>$B$3+20</f>
      </c>
      <c r="AD6" s="11">
        <f>$B$3+21</f>
      </c>
      <c r="AE6" s="11">
        <f>$B$3+22</f>
      </c>
      <c r="AF6" s="11">
        <f>$B$3+23</f>
      </c>
      <c r="AG6" s="11">
        <f>$B$3+24</f>
      </c>
      <c r="AH6" s="11">
        <f>$B$3+25</f>
      </c>
      <c r="AI6" s="11">
        <f>$B$3+26</f>
      </c>
      <c r="AJ6" s="11">
        <f>$B$3+27</f>
      </c>
      <c r="AK6" s="11">
        <f>$B$3+28</f>
      </c>
      <c r="AL6" s="11">
        <f>$B$3+29</f>
      </c>
      <c r="AM6" s="11">
        <f>$B$3+30</f>
      </c>
      <c r="AN6" s="11">
        <f>$B$3+31</f>
      </c>
      <c r="AO6" s="11">
        <f>$B$3+32</f>
      </c>
      <c r="AP6" s="11">
        <f>$B$3+33</f>
      </c>
      <c r="AQ6" s="11">
        <f>$B$3+34</f>
      </c>
      <c r="AR6" s="11">
        <f>$B$3+35</f>
      </c>
      <c r="AS6" s="11">
        <f>$B$3+36</f>
      </c>
      <c r="AT6" s="11">
        <f>$B$3+37</f>
      </c>
      <c r="AU6" s="11">
        <f>$B$3+38</f>
      </c>
      <c r="AV6" s="11">
        <f>$B$3+39</f>
      </c>
      <c r="AW6" s="11">
        <f>$B$3+40</f>
      </c>
      <c r="AX6" s="11">
        <f>$B$3+41</f>
      </c>
    </row>
    <row r="7" spans="1:50" x14ac:dyDescent="0.25">
      <c r="A7" s="12">
        <v>1</v>
      </c>
      <c r="B7" s="13" t="s">
        <v>27</v>
      </c>
      <c r="C7" s="13" t="s">
        <v>28</v>
      </c>
      <c r="D7" s="14">
        <v>46027</v>
      </c>
      <c r="E7" s="15">
        <v>4</v>
      </c>
      <c r="F7" s="16">
        <f>IF(OR(D7="",E7=""),"",D7+E7-1)</f>
      </c>
      <c r="G7" s="17">
        <v>1</v>
      </c>
      <c r="H7" s="12">
        <f>IF(D7="","",IF(G7&gt;=1,"Done",IF(G7&gt;0,"In progress",IF(D7&lt;TODAY(),"Late","Not started"))))</f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</row>
    <row r="8" spans="1:50" x14ac:dyDescent="0.25">
      <c r="A8" s="19">
        <v>2</v>
      </c>
      <c r="B8" s="13" t="s">
        <v>29</v>
      </c>
      <c r="C8" s="13" t="s">
        <v>30</v>
      </c>
      <c r="D8" s="14">
        <v>46031</v>
      </c>
      <c r="E8" s="15">
        <v>3</v>
      </c>
      <c r="F8" s="20">
        <f>IF(OR(D8="",E8=""),"",D8+E8-1)</f>
      </c>
      <c r="G8" s="17">
        <v>1</v>
      </c>
      <c r="H8" s="19">
        <f>IF(D8="","",IF(G8&gt;=1,"Done",IF(G8&gt;0,"In progress",IF(D8&lt;TODAY(),"Late","Not started"))))</f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 spans="1:50" x14ac:dyDescent="0.25">
      <c r="A9" s="12">
        <v>3</v>
      </c>
      <c r="B9" s="13" t="s">
        <v>31</v>
      </c>
      <c r="C9" s="13" t="s">
        <v>28</v>
      </c>
      <c r="D9" s="14">
        <v>46034</v>
      </c>
      <c r="E9" s="15">
        <v>6</v>
      </c>
      <c r="F9" s="16">
        <f>IF(OR(D9="",E9=""),"",D9+E9-1)</f>
      </c>
      <c r="G9" s="17">
        <v>0.6</v>
      </c>
      <c r="H9" s="12">
        <f>IF(D9="","",IF(G9&gt;=1,"Done",IF(G9&gt;0,"In progress",IF(D9&lt;TODAY(),"Late","Not started"))))</f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</row>
    <row r="10" spans="1:50" x14ac:dyDescent="0.25">
      <c r="A10" s="19">
        <v>4</v>
      </c>
      <c r="B10" s="13" t="s">
        <v>32</v>
      </c>
      <c r="C10" s="13" t="s">
        <v>33</v>
      </c>
      <c r="D10" s="14">
        <v>46040</v>
      </c>
      <c r="E10" s="15">
        <v>5</v>
      </c>
      <c r="F10" s="20">
        <f>IF(OR(D10="",E10=""),"",D10+E10-1)</f>
      </c>
      <c r="G10" s="17">
        <v>0.2</v>
      </c>
      <c r="H10" s="19">
        <f>IF(D10="","",IF(G10&gt;=1,"Done",IF(G10&gt;0,"In progress",IF(D10&lt;TODAY(),"Late","Not started"))))</f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</row>
    <row r="11" spans="1:50" x14ac:dyDescent="0.25">
      <c r="A11" s="12">
        <v>5</v>
      </c>
      <c r="B11" s="13" t="s">
        <v>34</v>
      </c>
      <c r="C11" s="13" t="s">
        <v>35</v>
      </c>
      <c r="D11" s="14">
        <v>46045</v>
      </c>
      <c r="E11" s="15">
        <v>4</v>
      </c>
      <c r="F11" s="16">
        <f>IF(OR(D11="",E11=""),"",D11+E11-1)</f>
      </c>
      <c r="G11" s="17">
        <v>0</v>
      </c>
      <c r="H11" s="12">
        <f>IF(D11="","",IF(G11&gt;=1,"Done",IF(G11&gt;0,"In progress",IF(D11&lt;TODAY(),"Late","Not started"))))</f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1:50" x14ac:dyDescent="0.25">
      <c r="A12" s="19">
        <v>6</v>
      </c>
      <c r="B12" s="13" t="s">
        <v>36</v>
      </c>
      <c r="C12" s="13" t="s">
        <v>28</v>
      </c>
      <c r="D12" s="14">
        <v>46049</v>
      </c>
      <c r="E12" s="15">
        <v>3</v>
      </c>
      <c r="F12" s="20">
        <f>IF(OR(D12="",E12=""),"",D12+E12-1)</f>
      </c>
      <c r="G12" s="17">
        <v>0</v>
      </c>
      <c r="H12" s="19">
        <f>IF(D12="","",IF(G12&gt;=1,"Done",IF(G12&gt;0,"In progress",IF(D12&lt;TODAY(),"Late","Not started"))))</f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1:50" x14ac:dyDescent="0.25">
      <c r="A13" s="12">
        <v>7</v>
      </c>
      <c r="B13" s="13" t="s">
        <v>37</v>
      </c>
      <c r="C13" s="13" t="s">
        <v>33</v>
      </c>
      <c r="D13" s="14">
        <v>46052</v>
      </c>
      <c r="E13" s="15">
        <v>2</v>
      </c>
      <c r="F13" s="16">
        <f>IF(OR(D13="",E13=""),"",D13+E13-1)</f>
      </c>
      <c r="G13" s="17">
        <v>0</v>
      </c>
      <c r="H13" s="12">
        <f>IF(D13="","",IF(G13&gt;=1,"Done",IF(G13&gt;0,"In progress",IF(D13&lt;TODAY(),"Late","Not started"))))</f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</sheetData>
  <conditionalFormatting sqref="I7:AX13">
    <cfRule type="expression" dxfId="0" priority="1">
      <formula>AND($D7&lt;&gt;"",I$6&gt;=$D7,I$6&lt;=$F7,$G7&gt;=1)</formula>
    </cfRule>
    <cfRule type="expression" dxfId="1" priority="2">
      <formula>AND($D7&lt;&gt;"",I$6&gt;=$D7,I$6&lt;=$F7)</formula>
    </cfRule>
    <cfRule type="expression" dxfId="2" priority="3">
      <formula>WEEKDAY(I$6,2)&gt;5</formula>
    </cfRule>
  </conditionalFormatting>
  <conditionalFormatting sqref="H7:H13">
    <cfRule type="cellIs" dxfId="3" priority="1" operator="equal">
      <formula>"Done"</formula>
    </cfRule>
    <cfRule type="cellIs" dxfId="4" priority="2" operator="equal">
      <formula>"Late"</formula>
    </cfRule>
  </conditionalFormatting>
  <dataValidations count="1">
    <dataValidation type="decimal" allowBlank="1" showErrorMessage="1" errorStyle="stop" errorTitle="Progress is a percentage" error="Enter a value between 0% and 100%." sqref="G7:G13">
      <formula1>0</formula1>
      <formula2>1</formula2>
    </dataValidation>
  </dataValidations>
  <printOptions horizontalCentered="1"/>
  <pageMargins left="0.4" right="0.4" top="0.6" bottom="0.6" header="0.3" footer="0.3"/>
  <pageSetup orientation="landscape" fitToWidth="1" fitToHeight="0"/>
  <headerFooter>
    <oddFooter>&amp;L&amp;9Explore Excel&amp;R&amp;9Page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4A3A"/>
    <pageSetUpPr fitToPage="1"/>
  </sheetPr>
  <dimension ref="A1:C1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44" customWidth="1"/>
  </cols>
  <sheetData>
    <row r="1" ht="26" customHeight="1" spans="1:3" x14ac:dyDescent="0.25">
      <c r="A1" s="1" t="s">
        <v>38</v>
      </c>
      <c r="B1" s="2"/>
      <c r="C1" s="2"/>
    </row>
    <row r="2" ht="16" customHeight="1" spans="1:3" x14ac:dyDescent="0.25">
      <c r="A2" s="3" t="s">
        <v>39</v>
      </c>
      <c r="B2" s="4"/>
      <c r="C2" s="4"/>
    </row>
    <row r="4" ht="26" customHeight="1" spans="1:3" x14ac:dyDescent="0.25">
      <c r="A4" s="10" t="s">
        <v>40</v>
      </c>
      <c r="B4" s="10" t="s">
        <v>41</v>
      </c>
      <c r="C4" s="10" t="s">
        <v>42</v>
      </c>
    </row>
    <row r="5" spans="1:3" x14ac:dyDescent="0.25">
      <c r="A5" s="21" t="s">
        <v>43</v>
      </c>
      <c r="B5" s="21">
        <f>COUNTA(Tasks!B7:B13)</f>
      </c>
      <c r="C5" s="21" t="s">
        <v>44</v>
      </c>
    </row>
    <row r="6" spans="1:3" x14ac:dyDescent="0.25">
      <c r="A6" s="22" t="s">
        <v>45</v>
      </c>
      <c r="B6" s="22">
        <f>COUNTIF(Tasks!H7:H13,"Done")</f>
      </c>
      <c r="C6" s="22" t="s">
        <v>46</v>
      </c>
    </row>
    <row r="7" spans="1:3" x14ac:dyDescent="0.25">
      <c r="A7" s="21" t="s">
        <v>47</v>
      </c>
      <c r="B7" s="21">
        <f>COUNTIF(Tasks!H7:H13,"In progress")</f>
      </c>
      <c r="C7" s="21" t="s">
        <v>4</v>
      </c>
    </row>
    <row r="8" spans="1:3" x14ac:dyDescent="0.25">
      <c r="A8" s="22" t="s">
        <v>48</v>
      </c>
      <c r="B8" s="22">
        <f>COUNTIF(Tasks!H7:H13,"Not started")</f>
      </c>
      <c r="C8" s="22" t="s">
        <v>4</v>
      </c>
    </row>
    <row r="9" spans="1:3" x14ac:dyDescent="0.25">
      <c r="A9" s="21" t="s">
        <v>49</v>
      </c>
      <c r="B9" s="21">
        <f>COUNTIF(Tasks!H7:H13,"Late")</f>
      </c>
      <c r="C9" s="21" t="s">
        <v>50</v>
      </c>
    </row>
    <row r="10" spans="1:3" x14ac:dyDescent="0.25">
      <c r="A10" s="22" t="s">
        <v>51</v>
      </c>
      <c r="B10" s="23">
        <f>IFERROR(AVERAGE(Tasks!G7:G13),0)</f>
      </c>
      <c r="C10" s="22" t="s">
        <v>52</v>
      </c>
    </row>
    <row r="11" spans="1:3" x14ac:dyDescent="0.25">
      <c r="A11" s="21" t="s">
        <v>53</v>
      </c>
      <c r="B11" s="16">
        <f>MIN(Tasks!D7:D13)</f>
      </c>
      <c r="C11" s="21" t="s">
        <v>4</v>
      </c>
    </row>
    <row r="12" spans="1:3" x14ac:dyDescent="0.25">
      <c r="A12" s="22" t="s">
        <v>54</v>
      </c>
      <c r="B12" s="20">
        <f>MAX(Tasks!F7:F13)</f>
      </c>
      <c r="C12" s="22" t="s">
        <v>4</v>
      </c>
    </row>
    <row r="13" spans="1:3" x14ac:dyDescent="0.25">
      <c r="A13" s="21" t="s">
        <v>55</v>
      </c>
      <c r="B13" s="21">
        <f>MAX(Tasks!F7:F13)-MIN(Tasks!D7:D13)+1</f>
      </c>
      <c r="C13" s="21" t="s">
        <v>4</v>
      </c>
    </row>
    <row r="14" spans="1:3" x14ac:dyDescent="0.25">
      <c r="A14" s="22" t="s">
        <v>56</v>
      </c>
      <c r="B14" s="22">
        <f>NETWORKDAYS(MIN(Tasks!D7:D13),MAX(Tasks!F7:F13))</f>
      </c>
      <c r="C14" s="22" t="s">
        <v>57</v>
      </c>
    </row>
  </sheetData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Tasks</vt:lpstr>
      <vt:lpstr>Summary</vt:lpstr>
    </vt:vector>
  </TitlesOfParts>
  <Company>Explore Excel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Explore Excel</dc:creator>
  <dc:title/>
  <dc:subject/>
  <dc:description/>
  <cp:keywords/>
  <cp:category/>
  <cp:lastModifiedBy>Unknown</cp:lastModifiedBy>
  <dcterms:created xsi:type="dcterms:W3CDTF">2026-08-02T11:13:52Z</dcterms:created>
  <dcterms:modified xsi:type="dcterms:W3CDTF">2026-08-02T11:13:52Z</dcterms:modified>
</cp:coreProperties>
</file>