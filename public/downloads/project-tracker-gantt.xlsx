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Tasks" state="visible" r:id="rId5"/>
    <sheet sheetId="3" name="Summary" state="visible" r:id="rId6"/>
  </sheets>
  <calcPr calcId="171027"/>
</workbook>
</file>

<file path=xl/sharedStrings.xml><?xml version="1.0" encoding="utf-8"?>
<sst xmlns="http://schemas.openxmlformats.org/spreadsheetml/2006/main" count="67" uniqueCount="57">
  <si>
    <t>Project tracker with Gantt</t>
  </si>
  <si>
    <t>How to use this template</t>
  </si>
  <si>
    <t>What this does</t>
  </si>
  <si>
    <t>Tracks tasks, owners, dates and progress, and draws a Gantt chart from the dates without a single manual bar.</t>
  </si>
  <si>
    <t/>
  </si>
  <si>
    <t>Using it</t>
  </si>
  <si>
    <t>1. Set the chart start date in cell N3 on the Tasks sheet. The timeline runs from there.</t>
  </si>
  <si>
    <t>2. Enter each task with a start date, a duration in days, and an owner.</t>
  </si>
  <si>
    <t>3. The End date and the Gantt bars calculate themselves.</t>
  </si>
  <si>
    <t>4. Update Progress as work proceeds. The Status column follows it automatically.</t>
  </si>
  <si>
    <t>How the Gantt works</t>
  </si>
  <si>
    <t>There are no shapes and no drawing. Each timeline cell holds a conditional formatting rule that fills it when that day falls between the task start and end. Change a date and the chart redraws instantly.</t>
  </si>
  <si>
    <t>Extending the timeline</t>
  </si>
  <si>
    <t>The timeline is 28 days wide. To cover longer projects, change the chart start date to move the window, or widen the block by copying the last timeline column to the right.</t>
  </si>
  <si>
    <t>Cells with a white background are for you to fill in. Shaded cells hold formulas — changing one replaces the calculation with whatever you typed.</t>
  </si>
  <si>
    <t>Project tracker</t>
  </si>
  <si>
    <t>Dates drive the chart. Nothing is drawn by hand.</t>
  </si>
  <si>
    <t>Chart starts</t>
  </si>
  <si>
    <t>#</t>
  </si>
  <si>
    <t>Task</t>
  </si>
  <si>
    <t>Owner</t>
  </si>
  <si>
    <t>Start</t>
  </si>
  <si>
    <t>Days</t>
  </si>
  <si>
    <t>End</t>
  </si>
  <si>
    <t>Progress</t>
  </si>
  <si>
    <t>Status</t>
  </si>
  <si>
    <t>Scope and requirements</t>
  </si>
  <si>
    <t>Adams</t>
  </si>
  <si>
    <t>Data audit</t>
  </si>
  <si>
    <t>Brennan</t>
  </si>
  <si>
    <t>Build data model</t>
  </si>
  <si>
    <t>Reporting layer</t>
  </si>
  <si>
    <t>Raman</t>
  </si>
  <si>
    <t>User testing</t>
  </si>
  <si>
    <t>Okafor</t>
  </si>
  <si>
    <t>Fixes and polish</t>
  </si>
  <si>
    <t>Training and handover</t>
  </si>
  <si>
    <t>Project summary</t>
  </si>
  <si>
    <t>Everything here reads from the Tasks sheet</t>
  </si>
  <si>
    <t>Measure</t>
  </si>
  <si>
    <t>Value</t>
  </si>
  <si>
    <t>Notes</t>
  </si>
  <si>
    <t>Tasks total</t>
  </si>
  <si>
    <t>Rows with a task name</t>
  </si>
  <si>
    <t>Done</t>
  </si>
  <si>
    <t>Progress at 100%</t>
  </si>
  <si>
    <t>In progress</t>
  </si>
  <si>
    <t>Not started</t>
  </si>
  <si>
    <t>Late</t>
  </si>
  <si>
    <t>Started before today, no progress</t>
  </si>
  <si>
    <t>Overall progress</t>
  </si>
  <si>
    <t>Average of the progress column</t>
  </si>
  <si>
    <t>Earliest start</t>
  </si>
  <si>
    <t>Latest finish</t>
  </si>
  <si>
    <t>Calendar days</t>
  </si>
  <si>
    <t>Working days</t>
  </si>
  <si>
    <t>Excludes weekends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</si>
</sst>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 mmm yyyy"/>
    <numFmt numFmtId="165" formatCode="d"/>
  </numFmts>
  <fonts count="10" x14ac:knownFonts="1">
    <font>
      <color theme="1"/>
      <family val="2"/>
      <scheme val="minor"/>
      <sz val="11"/>
      <name val="Calibri"/>
    </font>
    <font>
      <b/>
      <color rgb="FF16324F"/>
      <sz val="16"/>
      <name val="Calibri"/>
    </font>
    <font>
      <i/>
      <color rgb="FF5A6B7B"/>
      <sz val="10"/>
      <name val="Calibri"/>
    </font>
    <font>
      <b/>
      <color rgb="FF16324F"/>
      <sz val="11"/>
      <name val="Calibri"/>
    </font>
    <font>
      <color rgb="FF16324F"/>
      <sz val="10"/>
      <name val="Calibri"/>
    </font>
    <font>
      <i/>
      <color rgb="FF5A6B7B"/>
      <sz val="9"/>
      <name val="Calibri"/>
    </font>
    <font>
      <b/>
      <color rgb="FF16324F"/>
      <sz val="9"/>
      <name val="Calibri"/>
    </font>
    <font>
      <b/>
      <color rgb="FF16324F"/>
      <sz val="10"/>
      <name val="Calibri"/>
    </font>
    <font>
      <b/>
      <color rgb="FFFFFFFF"/>
      <sz val="10"/>
      <name val="Calibri"/>
    </font>
    <font>
      <b/>
      <color rgb="FFFFFFFF"/>
      <sz val="8"/>
      <name val="Calibri"/>
    </font>
  </fonts>
  <fills count="5">
    <fill>
      <patternFill patternType="none"/>
    </fill>
    <fill>
      <patternFill patternType="gray125"/>
    </fill>
    <fill>
      <patternFill patternType="solid">
        <fgColor rgb="FFFDF0CE"/>
      </patternFill>
    </fill>
    <fill>
      <patternFill patternType="solid">
        <fgColor rgb="FF16324F"/>
      </patternFill>
    </fill>
    <fill>
      <patternFill patternType="solid">
        <fgColor rgb="FFF4F7F9"/>
      </patternFill>
    </fill>
  </fills>
  <borders count="2">
    <border>
      <left/>
      <right/>
      <top/>
      <bottom/>
      <diagonal/>
    </border>
    <border>
      <left style="thin">
        <color rgb="FFD8DEE4"/>
      </left>
      <right style="thin">
        <color rgb="FFD8DEE4"/>
      </right>
      <top style="thin">
        <color rgb="FFD8DEE4"/>
      </top>
      <bottom style="thin">
        <color rgb="FFD8DEE4"/>
      </bottom>
      <diagonal/>
    </border>
  </borders>
  <cellStyleXfs count="1">
    <xf numFmtId="0" fontId="0" fillId="0" borderId="0"/>
  </cellStyleXfs>
  <cellXfs count="21">
    <xf numFmtId="0" fontId="0" fillId="0" borderId="0" xfId="0"/>
    <xf numFmtId="0" fontId="1" fillId="0" borderId="0" xfId="0" applyFont="1" applyAlignment="1">
      <alignment horizontal="centerContinuous"/>
    </xf>
    <xf numFmtId="0" fontId="0" fillId="0" borderId="0" xfId="0" applyAlignment="1">
      <alignment horizontal="centerContinuous"/>
    </xf>
    <xf numFmtId="0" fontId="2" fillId="0" borderId="0" xfId="0" applyFont="1" applyAlignment="1">
      <alignment horizontal="centerContinuous"/>
    </xf>
    <xf numFmtId="0" fontId="3" fillId="0" borderId="0" xfId="0" applyFont="1"/>
    <xf numFmtId="0" fontId="4" fillId="0" borderId="0" xfId="0" applyFont="1" applyAlignment="1">
      <alignment vertical="top" wrapText="1"/>
    </xf>
    <xf numFmtId="0" fontId="5" fillId="0" borderId="0" xfId="0" applyFont="1" applyAlignment="1">
      <alignment vertical="top" wrapText="1"/>
    </xf>
    <xf numFmtId="0" fontId="6" fillId="0" borderId="0" xfId="0" applyFont="1" applyAlignment="1">
      <alignment horizontal="right"/>
    </xf>
    <xf numFmtId="164" fontId="7" fillId="2" borderId="1" xfId="0" applyNumberFormat="1" applyFont="1" applyFill="1" applyBorder="1"/>
    <xf numFmtId="0" fontId="8" fillId="3" borderId="1" xfId="0" applyFont="1" applyFill="1" applyBorder="1" applyAlignment="1">
      <alignment horizontal="center" vertical="center" wrapText="1"/>
    </xf>
    <xf numFmtId="165" fontId="9" fillId="3" borderId="1" xfId="0" applyNumberFormat="1" applyFont="1" applyFill="1" applyBorder="1" applyAlignment="1">
      <alignment horizontal="center"/>
    </xf>
    <xf numFmtId="0" fontId="4" fillId="0" borderId="1" xfId="0" applyFont="1" applyBorder="1" applyAlignment="1">
      <alignment horizontal="center"/>
    </xf>
    <xf numFmtId="0" fontId="4" fillId="0" borderId="1" xfId="0" applyFont="1" applyBorder="1"/>
    <xf numFmtId="164" fontId="4" fillId="0" borderId="1" xfId="0" applyNumberFormat="1" applyFont="1" applyBorder="1"/>
    <xf numFmtId="9" fontId="4" fillId="0" borderId="1" xfId="0" applyNumberFormat="1" applyFont="1" applyBorder="1" applyAlignment="1">
      <alignment horizontal="center"/>
    </xf>
    <xf numFmtId="0" fontId="0" fillId="0" borderId="1" xfId="0" applyBorder="1"/>
    <xf numFmtId="0" fontId="4" fillId="4" borderId="1" xfId="0" applyFont="1" applyFill="1" applyBorder="1" applyAlignment="1">
      <alignment horizontal="center"/>
    </xf>
    <xf numFmtId="0" fontId="4" fillId="4" borderId="1" xfId="0" applyFont="1" applyFill="1" applyBorder="1"/>
    <xf numFmtId="164" fontId="4" fillId="4" borderId="1" xfId="0" applyNumberFormat="1" applyFont="1" applyFill="1" applyBorder="1"/>
    <xf numFmtId="9" fontId="4" fillId="4" borderId="1" xfId="0" applyNumberFormat="1" applyFont="1" applyFill="1" applyBorder="1" applyAlignment="1">
      <alignment horizontal="center"/>
    </xf>
    <xf numFmtId="9" fontId="4" fillId="4" borderId="1" xfId="0" applyNumberFormat="1" applyFont="1" applyFill="1" applyBorder="1"/>
  </cellXfs>
  <cellStyles count="1">
    <cellStyle name="Normal" xfId="0" builtinId="0"/>
  </cellStyles>
  <dxfs count="5">
    <dxf>
      <fill>
        <patternFill patternType="solid">
          <fgColor rgb="FF2E7D5B"/>
        </patternFill>
      </fill>
    </dxf>
    <dxf>
      <fill>
        <patternFill patternType="solid">
          <fgColor rgb="FF7FA8C4"/>
        </patternFill>
      </fill>
    </dxf>
    <dxf>
      <fill>
        <patternFill patternType="solid">
          <fgColor rgb="FFEDF1F4"/>
        </patternFill>
      </fill>
    </dxf>
    <dxf>
      <font>
        <b/>
        <color rgb="FF2E7D5B"/>
      </font>
    </dxf>
    <dxf>
      <font>
        <b/>
        <color rgb="FFB4232B"/>
      </font>
      <fill>
        <patternFill patternType="solid">
          <fgColor rgb="FFFAD5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A6B7B"/>
    <pageSetUpPr fitToPage="1"/>
  </sheetPr>
  <dimension ref="A2:B20"/>
  <sheetViews>
    <sheetView workbookViewId="0">
      <pane topLeftCell="A1" activePane="bottomLeft" state="frozen"/>
      <selection pane="bottomLeft"/>
    </sheetView>
  </sheetViews>
  <sheetFormatPr defaultRowHeight="15" outlineLevelRow="0" outlineLevelCol="0" x14ac:dyDescent="55"/>
  <cols>
    <col min="1" max="1" width="3" customWidth="1"/>
    <col min="2" max="2" width="96" customWidth="1"/>
  </cols>
  <sheetData>
    <row r="2" ht="24" customHeight="1" spans="1:2" x14ac:dyDescent="0.25">
      <c r="A2" s="1" t="s">
        <v>0</v>
      </c>
      <c r="B2" s="2"/>
    </row>
    <row r="3" ht="16" customHeight="1" spans="1:2" x14ac:dyDescent="0.25">
      <c r="A3" s="3" t="s">
        <v>1</v>
      </c>
      <c r="B3" s="2"/>
    </row>
    <row r="5" ht="22" customHeight="1" spans="2:2" x14ac:dyDescent="0.25">
      <c r="B5" s="4" t="s">
        <v>2</v>
      </c>
    </row>
    <row r="6" ht="28" customHeight="1" spans="2:2" x14ac:dyDescent="0.25">
      <c r="B6" s="5" t="s">
        <v>3</v>
      </c>
    </row>
    <row r="7" ht="16" customHeight="1" spans="2:2" x14ac:dyDescent="0.25">
      <c r="B7" s="5" t="s">
        <v>4</v>
      </c>
    </row>
    <row r="8" ht="22" customHeight="1" spans="2:2" x14ac:dyDescent="0.25">
      <c r="B8" s="4" t="s">
        <v>5</v>
      </c>
    </row>
    <row r="9" ht="16" customHeight="1" spans="2:2" x14ac:dyDescent="0.25">
      <c r="B9" s="5" t="s">
        <v>6</v>
      </c>
    </row>
    <row r="10" ht="16" customHeight="1" spans="2:2" x14ac:dyDescent="0.25">
      <c r="B10" s="5" t="s">
        <v>7</v>
      </c>
    </row>
    <row r="11" ht="16" customHeight="1" spans="2:2" x14ac:dyDescent="0.25">
      <c r="B11" s="5" t="s">
        <v>8</v>
      </c>
    </row>
    <row r="12" ht="16" customHeight="1" spans="2:2" x14ac:dyDescent="0.25">
      <c r="B12" s="5" t="s">
        <v>9</v>
      </c>
    </row>
    <row r="13" ht="16" customHeight="1" spans="2:2" x14ac:dyDescent="0.25">
      <c r="B13" s="5" t="s">
        <v>4</v>
      </c>
    </row>
    <row r="14" ht="22" customHeight="1" spans="2:2" x14ac:dyDescent="0.25">
      <c r="B14" s="4" t="s">
        <v>10</v>
      </c>
    </row>
    <row r="15" ht="28" customHeight="1" spans="2:2" x14ac:dyDescent="0.25">
      <c r="B15" s="5" t="s">
        <v>11</v>
      </c>
    </row>
    <row r="16" ht="16" customHeight="1" spans="2:2" x14ac:dyDescent="0.25">
      <c r="B16" s="5" t="s">
        <v>4</v>
      </c>
    </row>
    <row r="17" ht="22" customHeight="1" spans="2:2" x14ac:dyDescent="0.25">
      <c r="B17" s="4" t="s">
        <v>12</v>
      </c>
    </row>
    <row r="18" ht="28" customHeight="1" spans="2:2" x14ac:dyDescent="0.25">
      <c r="B18" s="5" t="s">
        <v>13</v>
      </c>
    </row>
    <row r="20" ht="28" customHeight="1" spans="2:2" x14ac:dyDescent="0.25">
      <c r="B20" s="6" t="s">
        <v>14</v>
      </c>
    </row>
  </sheetData>
  <pageMargins left="0.4" right="0.4" top="0.6" bottom="0.6" header="0.3" footer="0.3"/>
  <pageSetup orientation="portrait" fitToWidth="1" fitToHeight="0"/>
  <headerFooter>
    <oddFooter>&amp;L&amp;"Calibri,Italic"Explore Excel&amp;R&amp;"Calibri,Italic"Page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24F"/>
    <pageSetUpPr fitToPage="1"/>
  </sheetPr>
  <dimension ref="A1:AP12"/>
  <sheetViews>
    <sheetView workbookViewId="0">
      <pane xSplit="8" ySplit="6" topLeftCell="I7" activePane="bottomRight" state="frozen"/>
      <selection pane="bottomRight"/>
    </sheetView>
  </sheetViews>
  <sheetFormatPr defaultRowHeight="15" outlineLevelRow="0" outlineLevelCol="0" x14ac:dyDescent="55"/>
  <cols>
    <col min="1" max="1" width="6" customWidth="1"/>
    <col min="2" max="2" width="34" customWidth="1"/>
    <col min="3" max="3" width="16" customWidth="1"/>
    <col min="4" max="4" width="13" customWidth="1"/>
    <col min="5" max="5" width="10" customWidth="1"/>
    <col min="6" max="6" width="13" customWidth="1"/>
    <col min="7" max="7" width="11" customWidth="1"/>
    <col min="8" max="8" width="13" customWidth="1"/>
    <col min="9" max="14" width="2" customWidth="1"/>
    <col min="15" max="42" width="3.2" customWidth="1"/>
  </cols>
  <sheetData>
    <row r="1" ht="24" customHeight="1" spans="1:8" x14ac:dyDescent="0.25">
      <c r="A1" s="1" t="s">
        <v>15</v>
      </c>
      <c r="B1" s="2"/>
      <c r="C1" s="2"/>
      <c r="D1" s="2"/>
      <c r="E1" s="2"/>
      <c r="F1" s="2"/>
      <c r="G1" s="2"/>
      <c r="H1" s="2"/>
    </row>
    <row r="2" ht="16" customHeight="1" spans="1:8" x14ac:dyDescent="0.25">
      <c r="A2" s="3" t="s">
        <v>16</v>
      </c>
      <c r="B2" s="2"/>
      <c r="C2" s="2"/>
      <c r="D2" s="2"/>
      <c r="E2" s="2"/>
      <c r="F2" s="2"/>
      <c r="G2" s="2"/>
      <c r="H2" s="2"/>
    </row>
    <row r="3" spans="13:14" x14ac:dyDescent="0.25">
      <c r="M3" s="7" t="s">
        <v>17</v>
      </c>
      <c r="N3" s="8">
        <v>46027</v>
      </c>
    </row>
    <row r="5" ht="28" customHeight="1" spans="1:42" x14ac:dyDescent="0.25">
      <c r="A5" s="9" t="s">
        <v>18</v>
      </c>
      <c r="B5" s="9" t="s">
        <v>19</v>
      </c>
      <c r="C5" s="9" t="s">
        <v>20</v>
      </c>
      <c r="D5" s="9" t="s">
        <v>21</v>
      </c>
      <c r="E5" s="9" t="s">
        <v>22</v>
      </c>
      <c r="F5" s="9" t="s">
        <v>23</v>
      </c>
      <c r="G5" s="9" t="s">
        <v>24</v>
      </c>
      <c r="H5" s="9" t="s">
        <v>25</v>
      </c>
      <c r="O5" s="10">
        <f>$N$3+0</f>
      </c>
      <c r="P5" s="10">
        <f>$N$3+1</f>
      </c>
      <c r="Q5" s="10">
        <f>$N$3+2</f>
      </c>
      <c r="R5" s="10">
        <f>$N$3+3</f>
      </c>
      <c r="S5" s="10">
        <f>$N$3+4</f>
      </c>
      <c r="T5" s="10">
        <f>$N$3+5</f>
      </c>
      <c r="U5" s="10">
        <f>$N$3+6</f>
      </c>
      <c r="V5" s="10">
        <f>$N$3+7</f>
      </c>
      <c r="W5" s="10">
        <f>$N$3+8</f>
      </c>
      <c r="X5" s="10">
        <f>$N$3+9</f>
      </c>
      <c r="Y5" s="10">
        <f>$N$3+10</f>
      </c>
      <c r="Z5" s="10">
        <f>$N$3+11</f>
      </c>
      <c r="AA5" s="10">
        <f>$N$3+12</f>
      </c>
      <c r="AB5" s="10">
        <f>$N$3+13</f>
      </c>
      <c r="AC5" s="10">
        <f>$N$3+14</f>
      </c>
      <c r="AD5" s="10">
        <f>$N$3+15</f>
      </c>
      <c r="AE5" s="10">
        <f>$N$3+16</f>
      </c>
      <c r="AF5" s="10">
        <f>$N$3+17</f>
      </c>
      <c r="AG5" s="10">
        <f>$N$3+18</f>
      </c>
      <c r="AH5" s="10">
        <f>$N$3+19</f>
      </c>
      <c r="AI5" s="10">
        <f>$N$3+20</f>
      </c>
      <c r="AJ5" s="10">
        <f>$N$3+21</f>
      </c>
      <c r="AK5" s="10">
        <f>$N$3+22</f>
      </c>
      <c r="AL5" s="10">
        <f>$N$3+23</f>
      </c>
      <c r="AM5" s="10">
        <f>$N$3+24</f>
      </c>
      <c r="AN5" s="10">
        <f>$N$3+25</f>
      </c>
      <c r="AO5" s="10">
        <f>$N$3+26</f>
      </c>
      <c r="AP5" s="10">
        <f>$N$3+27</f>
      </c>
    </row>
    <row r="6" spans="1:42" x14ac:dyDescent="0.25">
      <c r="A6" s="11">
        <v>1</v>
      </c>
      <c r="B6" s="12" t="s">
        <v>26</v>
      </c>
      <c r="C6" s="12" t="s">
        <v>27</v>
      </c>
      <c r="D6" s="13">
        <v>46027</v>
      </c>
      <c r="E6" s="11">
        <v>4</v>
      </c>
      <c r="F6" s="13">
        <f>IF(D6="","",D6+E6-1)</f>
      </c>
      <c r="G6" s="14">
        <v>1</v>
      </c>
      <c r="H6" s="11">
        <f>IF(G6=1,"Done",IF(G6&gt;0,"In progress",IF(D6&lt;TODAY(),"Late","Not started")))</f>
      </c>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row>
    <row r="7" spans="1:42" x14ac:dyDescent="0.25">
      <c r="A7" s="16">
        <v>2</v>
      </c>
      <c r="B7" s="17" t="s">
        <v>28</v>
      </c>
      <c r="C7" s="17" t="s">
        <v>29</v>
      </c>
      <c r="D7" s="18">
        <v>46031</v>
      </c>
      <c r="E7" s="16">
        <v>3</v>
      </c>
      <c r="F7" s="18">
        <f>IF(D7="","",D7+E7-1)</f>
      </c>
      <c r="G7" s="19">
        <v>1</v>
      </c>
      <c r="H7" s="16">
        <f>IF(G7=1,"Done",IF(G7&gt;0,"In progress",IF(D7&lt;TODAY(),"Late","Not started")))</f>
      </c>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row>
    <row r="8" spans="1:42" x14ac:dyDescent="0.25">
      <c r="A8" s="11">
        <v>3</v>
      </c>
      <c r="B8" s="12" t="s">
        <v>30</v>
      </c>
      <c r="C8" s="12" t="s">
        <v>27</v>
      </c>
      <c r="D8" s="13">
        <v>46034</v>
      </c>
      <c r="E8" s="11">
        <v>6</v>
      </c>
      <c r="F8" s="13">
        <f>IF(D8="","",D8+E8-1)</f>
      </c>
      <c r="G8" s="14">
        <v>0.6</v>
      </c>
      <c r="H8" s="11">
        <f>IF(G8=1,"Done",IF(G8&gt;0,"In progress",IF(D8&lt;TODAY(),"Late","Not started")))</f>
      </c>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row>
    <row r="9" spans="1:42" x14ac:dyDescent="0.25">
      <c r="A9" s="16">
        <v>4</v>
      </c>
      <c r="B9" s="17" t="s">
        <v>31</v>
      </c>
      <c r="C9" s="17" t="s">
        <v>32</v>
      </c>
      <c r="D9" s="18">
        <v>46040</v>
      </c>
      <c r="E9" s="16">
        <v>5</v>
      </c>
      <c r="F9" s="18">
        <f>IF(D9="","",D9+E9-1)</f>
      </c>
      <c r="G9" s="19">
        <v>0.2</v>
      </c>
      <c r="H9" s="16">
        <f>IF(G9=1,"Done",IF(G9&gt;0,"In progress",IF(D9&lt;TODAY(),"Late","Not started")))</f>
      </c>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row>
    <row r="10" spans="1:42" x14ac:dyDescent="0.25">
      <c r="A10" s="11">
        <v>5</v>
      </c>
      <c r="B10" s="12" t="s">
        <v>33</v>
      </c>
      <c r="C10" s="12" t="s">
        <v>34</v>
      </c>
      <c r="D10" s="13">
        <v>46045</v>
      </c>
      <c r="E10" s="11">
        <v>4</v>
      </c>
      <c r="F10" s="13">
        <f>IF(D10="","",D10+E10-1)</f>
      </c>
      <c r="G10" s="14">
        <v>0</v>
      </c>
      <c r="H10" s="11">
        <f>IF(G10=1,"Done",IF(G10&gt;0,"In progress",IF(D10&lt;TODAY(),"Late","Not started")))</f>
      </c>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row>
    <row r="11" spans="1:42" x14ac:dyDescent="0.25">
      <c r="A11" s="16">
        <v>6</v>
      </c>
      <c r="B11" s="17" t="s">
        <v>35</v>
      </c>
      <c r="C11" s="17" t="s">
        <v>27</v>
      </c>
      <c r="D11" s="18">
        <v>46049</v>
      </c>
      <c r="E11" s="16">
        <v>3</v>
      </c>
      <c r="F11" s="18">
        <f>IF(D11="","",D11+E11-1)</f>
      </c>
      <c r="G11" s="19">
        <v>0</v>
      </c>
      <c r="H11" s="16">
        <f>IF(G11=1,"Done",IF(G11&gt;0,"In progress",IF(D11&lt;TODAY(),"Late","Not started")))</f>
      </c>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row>
    <row r="12" spans="1:42" x14ac:dyDescent="0.25">
      <c r="A12" s="11">
        <v>7</v>
      </c>
      <c r="B12" s="12" t="s">
        <v>36</v>
      </c>
      <c r="C12" s="12" t="s">
        <v>32</v>
      </c>
      <c r="D12" s="13">
        <v>46052</v>
      </c>
      <c r="E12" s="11">
        <v>2</v>
      </c>
      <c r="F12" s="13">
        <f>IF(D12="","",D12+E12-1)</f>
      </c>
      <c r="G12" s="14">
        <v>0</v>
      </c>
      <c r="H12" s="11">
        <f>IF(G12=1,"Done",IF(G12&gt;0,"In progress",IF(D12&lt;TODAY(),"Late","Not started")))</f>
      </c>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row>
  </sheetData>
  <conditionalFormatting sqref="O6:AP12">
    <cfRule type="expression" dxfId="0" priority="1">
      <formula>AND(O$5&gt;=$D6,O$5&lt;=$F6,$G6=1)</formula>
    </cfRule>
    <cfRule type="expression" dxfId="1" priority="2">
      <formula>AND(O$5&gt;=$D6,O$5&lt;=$F6)</formula>
    </cfRule>
    <cfRule type="expression" dxfId="2" priority="3">
      <formula>WEEKDAY(O$5,2)&gt;5</formula>
    </cfRule>
  </conditionalFormatting>
  <conditionalFormatting sqref="H6:H12">
    <cfRule type="cellIs" dxfId="3" priority="1" operator="equal">
      <formula>"Done"</formula>
    </cfRule>
    <cfRule type="cellIs" dxfId="4" priority="2" operator="equal">
      <formula>"Late"</formula>
    </cfRule>
  </conditionalFormatting>
  <pageMargins left="0.4" right="0.4" top="0.6" bottom="0.6" header="0.3" footer="0.3"/>
  <pageSetup orientation="landscape" fitToWidth="1" fitToHeight="0"/>
  <headerFooter>
    <oddFooter>&amp;L&amp;"Calibri,Italic"Explore Excel&amp;R&amp;"Calibri,Italic"Page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D5B"/>
    <pageSetUpPr fitToPage="1"/>
  </sheetPr>
  <dimension ref="A1:C13"/>
  <sheetFormatPr defaultRowHeight="15" outlineLevelRow="0" outlineLevelCol="0" x14ac:dyDescent="55"/>
  <cols>
    <col min="1" max="1" width="30" customWidth="1"/>
    <col min="2" max="3" width="16" customWidth="1"/>
  </cols>
  <sheetData>
    <row r="1" ht="24" customHeight="1" spans="1:3" x14ac:dyDescent="0.25">
      <c r="A1" s="1" t="s">
        <v>37</v>
      </c>
      <c r="B1" s="2"/>
      <c r="C1" s="2"/>
    </row>
    <row r="2" ht="16" customHeight="1" spans="1:3" x14ac:dyDescent="0.25">
      <c r="A2" s="3" t="s">
        <v>38</v>
      </c>
      <c r="B2" s="2"/>
      <c r="C2" s="2"/>
    </row>
    <row r="3" ht="28" customHeight="1" spans="1:3" x14ac:dyDescent="0.25">
      <c r="A3" s="9" t="s">
        <v>39</v>
      </c>
      <c r="B3" s="9" t="s">
        <v>40</v>
      </c>
      <c r="C3" s="9" t="s">
        <v>41</v>
      </c>
    </row>
    <row r="4" spans="1:3" x14ac:dyDescent="0.25">
      <c r="A4" s="12" t="s">
        <v>42</v>
      </c>
      <c r="B4" s="12">
        <f>COUNTA(Tasks!B6:B12)</f>
      </c>
      <c r="C4" s="12" t="s">
        <v>43</v>
      </c>
    </row>
    <row r="5" spans="1:3" x14ac:dyDescent="0.25">
      <c r="A5" s="17" t="s">
        <v>44</v>
      </c>
      <c r="B5" s="17">
        <f>COUNTIF(Tasks!H6:H12,"Done")</f>
      </c>
      <c r="C5" s="17" t="s">
        <v>45</v>
      </c>
    </row>
    <row r="6" spans="1:3" x14ac:dyDescent="0.25">
      <c r="A6" s="12" t="s">
        <v>46</v>
      </c>
      <c r="B6" s="12">
        <f>COUNTIF(Tasks!H6:H12,"In progress")</f>
      </c>
      <c r="C6" s="12" t="s">
        <v>4</v>
      </c>
    </row>
    <row r="7" spans="1:3" x14ac:dyDescent="0.25">
      <c r="A7" s="17" t="s">
        <v>47</v>
      </c>
      <c r="B7" s="17">
        <f>COUNTIF(Tasks!H6:H12,"Not started")</f>
      </c>
      <c r="C7" s="17" t="s">
        <v>4</v>
      </c>
    </row>
    <row r="8" spans="1:3" x14ac:dyDescent="0.25">
      <c r="A8" s="12" t="s">
        <v>48</v>
      </c>
      <c r="B8" s="12">
        <f>COUNTIF(Tasks!H6:H12,"Late")</f>
      </c>
      <c r="C8" s="12" t="s">
        <v>49</v>
      </c>
    </row>
    <row r="9" spans="1:3" x14ac:dyDescent="0.25">
      <c r="A9" s="17" t="s">
        <v>50</v>
      </c>
      <c r="B9" s="20">
        <f>IFERROR(AVERAGE(Tasks!G6:G12),0)</f>
      </c>
      <c r="C9" s="17" t="s">
        <v>51</v>
      </c>
    </row>
    <row r="10" spans="1:3" x14ac:dyDescent="0.25">
      <c r="A10" s="12" t="s">
        <v>52</v>
      </c>
      <c r="B10" s="13">
        <f>MIN(Tasks!D6:D12)</f>
      </c>
      <c r="C10" s="12" t="s">
        <v>4</v>
      </c>
    </row>
    <row r="11" spans="1:3" x14ac:dyDescent="0.25">
      <c r="A11" s="17" t="s">
        <v>53</v>
      </c>
      <c r="B11" s="18">
        <f>MAX(Tasks!F6:F12)</f>
      </c>
      <c r="C11" s="17" t="s">
        <v>4</v>
      </c>
    </row>
    <row r="12" spans="1:3" x14ac:dyDescent="0.25">
      <c r="A12" s="12" t="s">
        <v>54</v>
      </c>
      <c r="B12" s="12">
        <f>MAX(Tasks!F6:F12)-MIN(Tasks!D6:D12)+1</f>
      </c>
      <c r="C12" s="12" t="s">
        <v>4</v>
      </c>
    </row>
    <row r="13" spans="1:3" x14ac:dyDescent="0.25">
      <c r="A13" s="17" t="s">
        <v>55</v>
      </c>
      <c r="B13" s="17">
        <f>NETWORKDAYS(MIN(Tasks!D6:D12),MAX(Tasks!F6:F12))</f>
      </c>
      <c r="C13" s="17" t="s">
        <v>56</v>
      </c>
    </row>
  </sheetData>
  <pageMargins left="0.4" right="0.4" top="0.6" bottom="0.6" header="0.3" footer="0.3"/>
  <pageSetup orientation="portrait" fitToWidth="1" fitToHeight="0"/>
  <headerFooter>
    <oddFooter>&amp;L&amp;"Calibri,Italic"Explore Excel&amp;R&amp;"Calibri,Italic"Page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Tasks</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2026-08-02T09:56:21Z</dcterms:created>
  <dcterms:modified xsi:type="dcterms:W3CDTF">2026-08-02T09:56:21Z</dcterms:modified>
</cp:coreProperties>
</file>